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2"/>
  </bookViews>
  <sheets>
    <sheet sheetId="14" name="📋 Cover &amp; Index" state="visible" r:id="rId4"/>
    <sheet sheetId="12" name="KPI Dashboard" state="visible" r:id="rId5"/>
    <sheet sheetId="13" name="Weekly Order Tracker" state="visible" r:id="rId6"/>
    <sheet sheetId="5" name="Sales Trend Analysis" state="visible" r:id="rId7"/>
    <sheet sheetId="6" name="Product Margin Analysis" state="visible" r:id="rId8"/>
    <sheet sheetId="7" name="COGS &amp; Profitability by Channel" state="visible" r:id="rId9"/>
    <sheet sheetId="8" name="Inventory &amp; MOS Analysis" state="visible" r:id="rId10"/>
    <sheet sheetId="9" name="Inventory Movements" state="visible" r:id="rId11"/>
    <sheet sheetId="11" name="Profitability Dashboard" state="visible" r:id="rId12"/>
    <sheet sheetId="10" name="Sales Dashboard" state="visible" r:id="rId13"/>
    <sheet sheetId="16" name="Sheet1" state="visible" r:id="rId14"/>
    <sheet sheetId="1" name="Sales Transactions Raw Data" state="visible" r:id="rId15"/>
    <sheet sheetId="2" name="Inventory On Hand Raw Data" state="visible" r:id="rId16"/>
    <sheet sheetId="3" name="Purchase Transactions Raw data" state="visible" r:id="rId17"/>
    <sheet sheetId="4" name="Cost Inputs" state="visible" r:id="rId18"/>
    <sheet sheetId="17" name="Sync Log" state="visible" r:id="rId19"/>
  </sheets>
  <calcPr calcId="171027"/>
</workbook>
</file>

<file path=xl/sharedStrings.xml><?xml version="1.0" encoding="utf-8"?>
<sst xmlns="http://schemas.openxmlformats.org/spreadsheetml/2006/main" count="772" uniqueCount="420">
  <si>
    <t>{{COMPANY_NAME}}</t>
  </si>
  <si>
    <t>Monthly Controller Reporting Model</t>
  </si>
  <si>
    <t>Powered by Cin7 Core | Multi-Channel Ecommerce &amp; Wholesale</t>
  </si>
  <si>
    <t>Data Period: {{DATA_PERIOD}}  |  Generated: {{GENERATED_DATE}}</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</si>
  <si>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</si>
  <si>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</si>
  <si>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</si>
  <si>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</si>
  <si>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</si>
  <si>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</si>
  <si>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</si>
  <si>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</si>
  <si>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</si>
  <si>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</si>
  <si>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</si>
  <si>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</si>
  <si>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</si>
  <si>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</si>
  <si>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</si>
  <si>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</si>
  <si>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</si>
  <si>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</si>
  <si>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</si>
  <si>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</si>
  <si>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</si>
  <si>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</si>
  <si>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</si>
  <si>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</si>
  <si>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</si>
  <si>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</si>
  <si>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</si>
  <si>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</si>
  <si>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</si>
  <si>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</si>
  <si>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</si>
  <si>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</si>
  <si>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</si>
  <si>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</si>
  <si>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</si>
  <si>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</si>
  <si>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</si>
  <si>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</si>
  <si>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</si>
  <si>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</si>
  <si>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</si>
  <si>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</si>
  <si>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</si>
  <si>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</si>
  <si>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</si>
  <si>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</si>
  <si>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</si>
  <si>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</si>
  <si>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</si>
  <si>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</si>
  <si>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</si>
  <si>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</si>
  <si>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</si>
  <si>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</si>
  <si>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</si>
  <si>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</si>
  <si>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</si>
  <si>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</si>
  <si>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</si>
  <si>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</si>
  <si>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</si>
  <si>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</si>
  <si>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</si>
  <si>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</si>
  <si>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</si>
  <si>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</si>
  <si>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</si>
  <si>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</si>
  <si>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</si>
  <si>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Example</t>
  </si>
  <si>
    <t>EXAMPLE — TEMPLATE INSTRUCTION</t>
  </si>
  <si>
    <t>Example recommendation</t>
  </si>
  <si>
    <t>Medium</t>
  </si>
  <si>
    <t>Unassigned</t>
  </si>
  <si>
    <t>Pending</t>
  </si>
  <si>
    <t>Not Started</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</si>
  <si>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</si>
  <si>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</si>
  <si>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</si>
  <si>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</si>
  <si>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</si>
  <si>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</si>
  <si>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</si>
  <si>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</si>
  <si>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</si>
  <si>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</si>
  <si>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</si>
  <si>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</si>
  <si>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</si>
  <si>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</si>
  <si>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</si>
  <si>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</si>
  <si>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</si>
  <si>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</si>
  <si>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</si>
  <si>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</si>
  <si>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</si>
  <si>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</si>
  <si>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</si>
  <si>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</si>
  <si>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</si>
  <si>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{{COMPANY_NAME}}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</si>
  <si>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</si>
  <si>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</si>
  <si>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</si>
  <si>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</si>
  <si>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</si>
  <si>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</si>
  <si>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</si>
  <si>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</si>
  <si>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</si>
  <si>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</si>
  <si>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</si>
  <si>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</si>
  <si>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</si>
  <si>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</si>
  <si>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</si>
  <si>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</si>
  <si>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</si>
  <si>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</si>
  <si>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</si>
  <si>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</si>
  <si>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</si>
  <si>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</si>
  <si>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</si>
  <si>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</si>
  <si>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</si>
  <si>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</si>
  <si>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</si>
  <si>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</si>
  <si>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</si>
  <si>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</si>
  <si>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</si>
  <si>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</si>
  <si>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</si>
  <si>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</si>
  <si>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</si>
  <si>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</si>
  <si>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</si>
  <si>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</si>
  <si>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</si>
  <si>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</si>
  <si>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</si>
  <si>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</si>
  <si>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</si>
  <si>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</si>
  <si>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</si>
  <si>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</si>
  <si>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</si>
  <si>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</si>
  <si>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</si>
  <si>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</si>
  <si>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</si>
  <si>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</si>
  <si>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</si>
  <si>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</si>
  <si>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</si>
  <si>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</si>
  <si>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</si>
  <si>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</si>
  <si>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</si>
  <si>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</si>
  <si>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</si>
  <si>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</si>
  <si>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</si>
  <si>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</si>
  <si>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</si>
  <si>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</si>
  <si>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</si>
  <si>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</si>
  <si>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</si>
  <si>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</si>
  <si>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</si>
  <si>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</si>
  <si>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</si>
  <si>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</si>
  <si>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</si>
  <si>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</si>
  <si>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</si>
  <si>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</si>
  <si>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</si>
  <si>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</si>
  <si>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</si>
  <si>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</si>
  <si>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</si>
  <si>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</si>
  <si>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</si>
  <si>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</si>
  <si>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</si>
  <si>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</si>
  <si>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</si>
  <si>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</si>
  <si>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</si>
  <si>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</si>
  <si>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</si>
  <si>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</si>
  <si>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</si>
  <si>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</si>
  <si>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</si>
  <si>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</si>
  <si>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</si>
  <si>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</si>
  <si>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</si>
  <si>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</si>
  <si>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</si>
  <si>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</si>
  <si>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</si>
  <si>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</si>
  <si>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</si>
  <si>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</si>
  <si>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</si>
  <si>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</si>
  <si>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</si>
  <si>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</si>
  <si>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</si>
  <si>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</si>
  <si>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</si>
  <si>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</si>
  <si>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</si>
  <si>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</si>
  <si>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</si>
  <si>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</si>
  <si>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</si>
  <si>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</si>
  <si>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</si>
  <si>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</si>
  <si>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</si>
  <si>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</si>
  <si>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</si>
  <si>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</si>
  <si>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</si>
  <si>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</si>
  <si>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</si>
  <si>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</si>
  <si>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</si>
  <si>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</si>
  <si>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</si>
  <si>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</si>
  <si>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</si>
  <si>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</si>
  <si>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</si>
  <si>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</si>
  <si>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</si>
  <si>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</si>
  <si>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</si>
  <si>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</si>
  <si>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</si>
  <si>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</si>
  <si>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</si>
  <si>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</si>
  <si>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</si>
  <si>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</si>
  <si>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</si>
  <si>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</si>
  <si>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</si>
  <si>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</si>
  <si>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</si>
  <si>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</si>
  <si>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</si>
  <si>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</si>
  <si>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</si>
  <si>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</si>
  <si>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</si>
  <si>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</si>
  <si>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</si>
  <si>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</si>
  <si>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</si>
  <si>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</si>
  <si>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</si>
  <si>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</si>
  <si>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</si>
  <si>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</si>
  <si>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</si>
  <si>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</si>
  <si>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</si>
  <si>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</si>
  <si>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</si>
  <si>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</si>
  <si>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</si>
  <si>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{{COMPANY_NAME}}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</si>
  <si>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</si>
  <si>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</si>
  <si>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</si>
  <si>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</si>
  <si>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</si>
  <si>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</si>
  <si>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</si>
  <si>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</si>
  <si>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</si>
  <si>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</si>
  <si>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</si>
  <si>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(blank)</t>
  </si>
  <si>
    <t>Grand Total</t>
  </si>
  <si>
    <t>⚡  CIN7 ENTERPRISE ANALYTICS SUITE   |   CIN7 SYNC PLATFORM</t>
  </si>
  <si>
    <t>{{DATA_PERIOD}}</t>
  </si>
  <si>
    <t>{{SYNC_STATUS}}</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</si>
  <si>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</si>
  <si>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</si>
  <si>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</si>
  <si>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</si>
  <si>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</si>
  <si>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</si>
  <si>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</si>
  <si>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</si>
  <si>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</si>
  <si>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</si>
  <si>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</si>
  <si>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</si>
  <si>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</si>
  <si>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</si>
  <si>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</si>
  <si>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</si>
  <si>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</si>
  <si>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</si>
  <si>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</si>
  <si>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</si>
  <si>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</si>
  <si>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</si>
  <si>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</si>
  <si>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</si>
  <si>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</si>
  <si>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</si>
  <si>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</si>
  <si>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</si>
  <si>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</si>
  <si>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2026-08-20</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</si>
  <si>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</si>
  <si>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</si>
  <si>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</si>
  <si>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</si>
  <si>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</si>
  <si>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</si>
  <si>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</si>
  <si>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</si>
  <si>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</si>
  <si>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</si>
  <si>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</si>
  <si>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</si>
  <si>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</si>
  <si>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</si>
  <si>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2026-08-21</t>
  </si>
  <si>
    <t>ORD-2026-002</t>
  </si>
  <si>
    <t>INV-ORD-2026-002</t>
  </si>
  <si>
    <t>SKU-SO-892102</t>
  </si>
  <si>
    <t>Cin7 Commercial Item (ORD-2026-002)</t>
  </si>
  <si>
    <t>Global Business Edge</t>
  </si>
  <si>
    <t>2026-08-22</t>
  </si>
  <si>
    <t>ORD-2026-003</t>
  </si>
  <si>
    <t>INV-ORD-2026-003</t>
  </si>
  <si>
    <t>SKU-SO-892103</t>
  </si>
  <si>
    <t>Cin7 Commercial Item (ORD-2026-003)</t>
  </si>
  <si>
    <t>Apex Trading Co</t>
  </si>
  <si>
    <t>2026-08-23</t>
  </si>
  <si>
    <t>ORD-2026-004</t>
  </si>
  <si>
    <t>INV-ORD-2026-004</t>
  </si>
  <si>
    <t>SKU-SO-892104</t>
  </si>
  <si>
    <t>Cin7 Commercial Item (ORD-2026-004)</t>
  </si>
  <si>
    <t>VNC Enterprise Hub</t>
  </si>
  <si>
    <t>2026-08-24</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</si>
  <si>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</si>
  <si>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</si>
  <si>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</si>
  <si>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</si>
  <si>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</si>
  <si>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</si>
  <si>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</si>
  <si>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</si>
  <si>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</si>
  <si>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</si>
  <si>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</si>
  <si>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</si>
  <si>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</si>
  <si>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</si>
  <si>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Location</t>
  </si>
  <si>
    <r>
      <rPr>
        <b/>
        <family val="2"/>
        <sz val="9"/>
        <rFont val="Arial"/>
      </rPr>
      <t>Currency: Base Currency</t>
    </r>
  </si>
  <si>
    <t>Year</t>
  </si>
  <si>
    <t>Supplier</t>
  </si>
  <si>
    <t>Expiry date</t>
  </si>
  <si>
    <t>PO #</t>
  </si>
  <si>
    <t>Invoice #</t>
  </si>
  <si>
    <t>Batch #</t>
  </si>
  <si>
    <t>Main cost</t>
  </si>
  <si>
    <t>Additional cost</t>
  </si>
  <si>
    <t>Journal cost</t>
  </si>
  <si>
    <t>Tax</t>
  </si>
  <si>
    <t>{{COMPANY_NAME}}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</si>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</sst>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
    <numFmt numFmtId="172" formatCode="#,##0.0000000;(#,##0.000000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334155"/>
      <sz val="9"/>
      <name val="Segoe UI"/>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8FAFC"/>
      </patternFill>
    </fill>
    <fill>
      <patternFill patternType="solid">
        <fgColor rgb="FFFEF3C7"/>
        <bgColor indexed="64"/>
      </patternFill>
    </fill>
  </fills>
  <borders count="8">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77">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0" fontId="30" fillId="25" borderId="0" xfId="0" applyFont="1" applyFill="1"/>
    <xf numFmtId="171" fontId="30" fillId="25" borderId="0" xfId="0" applyNumberFormat="1" applyFont="1" applyFill="1"/>
    <xf numFmtId="165" fontId="30" fillId="25" borderId="0" xfId="0" applyNumberFormat="1" applyFont="1" applyFill="1"/>
    <xf numFmtId="0" fontId="30" fillId="26" borderId="0" xfId="0" applyFont="1" applyFill="1"/>
    <xf numFmtId="171" fontId="30" fillId="26" borderId="0" xfId="0" applyNumberFormat="1" applyFont="1" applyFill="1"/>
    <xf numFmtId="165" fontId="30" fillId="26" borderId="0" xfId="0" applyNumberFormat="1" applyFont="1" applyFill="1"/>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7" borderId="7"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1.xml"/><Relationship Id="rId13" Type="http://schemas.openxmlformats.org/officeDocument/2006/relationships/worksheet" Target="worksheets/sheet10.xml"/><Relationship Id="rId14" Type="http://schemas.openxmlformats.org/officeDocument/2006/relationships/worksheet" Target="worksheets/sheet16.xml"/><Relationship Id="rId15" Type="http://schemas.openxmlformats.org/officeDocument/2006/relationships/worksheet" Target="worksheets/sheet1.xml"/><Relationship Id="rId16" Type="http://schemas.openxmlformats.org/officeDocument/2006/relationships/worksheet" Target="worksheets/sheet2.xml"/><Relationship Id="rId17" Type="http://schemas.openxmlformats.org/officeDocument/2006/relationships/worksheet" Target="worksheets/sheet3.xml"/><Relationship Id="rId18" Type="http://schemas.openxmlformats.org/officeDocument/2006/relationships/worksheet" Target="worksheets/sheet4.xml"/><Relationship Id="rId19"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1"/>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38" t="s">
        <v>297</v>
      </c>
      <c r="B1" s="139" t="s">
        <v>298</v>
      </c>
      <c r="C1" s="139"/>
      <c r="D1" s="139" t="s">
        <v>299</v>
      </c>
      <c r="E1" s="139"/>
      <c r="F1" s="139"/>
      <c r="G1" s="139"/>
      <c r="H1" s="138"/>
      <c r="I1" s="138"/>
      <c r="J1" s="138"/>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41" t="s">
        <v>304</v>
      </c>
      <c r="F2" s="141" t="s">
        <v>305</v>
      </c>
      <c r="G2" s="142"/>
      <c r="H2" s="142"/>
      <c r="I2" s="142"/>
      <c r="J2" s="142"/>
      <c r="K2" s="142"/>
      <c r="L2" s="142"/>
      <c r="M2" s="2"/>
      <c r="N2" s="2"/>
      <c r="O2" s="2"/>
      <c r="P2" s="2"/>
      <c r="Q2" s="2"/>
      <c r="R2" s="2"/>
      <c r="S2" s="2"/>
      <c r="T2" s="2"/>
      <c r="U2" s="2"/>
      <c r="V2" s="2"/>
      <c r="W2" s="2"/>
      <c r="X2" s="2"/>
      <c r="Y2" s="2"/>
      <c r="Z2" s="2"/>
    </row>
    <row r="3" ht="26.25" customHeight="1" spans="1:26" x14ac:dyDescent="0.25">
      <c r="A3" s="143" t="s">
        <v>306</v>
      </c>
      <c r="B3" s="144" t="s">
        <v>298</v>
      </c>
      <c r="C3" s="145"/>
      <c r="D3" s="146" t="s">
        <v>299</v>
      </c>
      <c r="E3" s="145"/>
      <c r="F3" s="145"/>
      <c r="G3" s="145"/>
      <c r="H3" s="145"/>
      <c r="I3" s="145"/>
      <c r="J3" s="145"/>
      <c r="K3" s="145"/>
      <c r="L3" s="145"/>
      <c r="M3" s="2"/>
      <c r="N3" s="2"/>
      <c r="O3" s="2"/>
      <c r="P3" s="2"/>
      <c r="Q3" s="2"/>
      <c r="R3" s="2"/>
      <c r="S3" s="2"/>
      <c r="T3" s="2"/>
      <c r="U3" s="2"/>
      <c r="V3" s="2"/>
      <c r="W3" s="2"/>
      <c r="X3" s="2"/>
      <c r="Y3" s="2"/>
      <c r="Z3" s="2"/>
    </row>
    <row r="4" ht="16.5" customHeight="1" spans="1:26" x14ac:dyDescent="0.25">
      <c r="A4" s="2" t="s">
        <v>307</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7" t="s">
        <v>296</v>
      </c>
      <c r="U5" s="147" t="s">
        <v>296</v>
      </c>
      <c r="V5" s="147" t="s">
        <v>296</v>
      </c>
      <c r="W5" s="147" t="s">
        <v>296</v>
      </c>
      <c r="X5" s="147" t="s">
        <v>296</v>
      </c>
      <c r="Y5" s="147" t="s">
        <v>296</v>
      </c>
      <c r="Z5" s="147" t="s">
        <v>296</v>
      </c>
    </row>
    <row r="6" spans="1:26" x14ac:dyDescent="0.25">
      <c r="A6" s="148" t="s">
        <v>175</v>
      </c>
      <c r="B6" s="148" t="s">
        <v>308</v>
      </c>
      <c r="C6" s="148" t="s">
        <v>309</v>
      </c>
      <c r="D6" s="148" t="s">
        <v>310</v>
      </c>
      <c r="E6" s="148" t="s">
        <v>311</v>
      </c>
      <c r="F6" s="148" t="s">
        <v>231</v>
      </c>
      <c r="G6" s="148" t="s">
        <v>290</v>
      </c>
      <c r="H6" s="148" t="s">
        <v>312</v>
      </c>
      <c r="I6" s="148" t="s">
        <v>67</v>
      </c>
      <c r="J6" s="148" t="s">
        <v>313</v>
      </c>
      <c r="K6" s="148" t="s">
        <v>314</v>
      </c>
      <c r="L6" s="148" t="s">
        <v>315</v>
      </c>
      <c r="M6" s="148" t="s">
        <v>316</v>
      </c>
      <c r="N6" s="148" t="s">
        <v>317</v>
      </c>
      <c r="O6" s="148" t="s">
        <v>318</v>
      </c>
      <c r="P6" s="148" t="s">
        <v>319</v>
      </c>
      <c r="Q6" s="148" t="s">
        <v>320</v>
      </c>
      <c r="R6" s="148" t="s">
        <v>321</v>
      </c>
      <c r="S6" s="148" t="s">
        <v>322</v>
      </c>
      <c r="T6" s="148" t="s">
        <v>323</v>
      </c>
      <c r="U6" s="148" t="s">
        <v>324</v>
      </c>
      <c r="V6" s="148" t="s">
        <v>148</v>
      </c>
      <c r="W6" s="148" t="s">
        <v>325</v>
      </c>
      <c r="X6" s="148" t="s">
        <v>326</v>
      </c>
      <c r="Y6" s="148" t="s">
        <v>327</v>
      </c>
      <c r="Z6" s="148" t="s">
        <v>327</v>
      </c>
    </row>
    <row r="7" ht="20" customHeight="1" spans="1:26" x14ac:dyDescent="0.25">
      <c r="A7" s="149" t="s">
        <v>328</v>
      </c>
      <c r="B7" s="149" t="s">
        <v>329</v>
      </c>
      <c r="C7" s="149" t="s">
        <v>330</v>
      </c>
      <c r="D7" s="149" t="s">
        <v>329</v>
      </c>
      <c r="E7" s="149" t="s">
        <v>331</v>
      </c>
      <c r="F7" s="149" t="s">
        <v>332</v>
      </c>
      <c r="G7" s="149" t="s">
        <v>333</v>
      </c>
      <c r="H7" s="149" t="s">
        <v>334</v>
      </c>
      <c r="I7" s="149" t="s">
        <v>335</v>
      </c>
      <c r="J7" s="149" t="s">
        <v>209</v>
      </c>
      <c r="K7" s="149" t="s">
        <v>336</v>
      </c>
      <c r="L7" s="149" t="s">
        <v>337</v>
      </c>
      <c r="M7" s="149" t="s">
        <v>338</v>
      </c>
      <c r="N7" s="149" t="s">
        <v>339</v>
      </c>
      <c r="O7" s="149" t="s">
        <v>340</v>
      </c>
      <c r="P7" s="149" t="s">
        <v>341</v>
      </c>
      <c r="Q7" s="149" t="s">
        <v>342</v>
      </c>
      <c r="R7" s="149" t="s">
        <v>343</v>
      </c>
      <c r="S7" s="150">
        <v>1</v>
      </c>
      <c r="T7" s="150">
        <v>14500</v>
      </c>
      <c r="U7" s="150">
        <v>14500</v>
      </c>
      <c r="V7" s="150">
        <v>7975</v>
      </c>
      <c r="W7" s="150">
        <v>6525</v>
      </c>
      <c r="X7" s="150">
        <v>0</v>
      </c>
      <c r="Y7" s="150">
        <v>6525</v>
      </c>
      <c r="Z7" s="151">
        <v>0.45</v>
      </c>
    </row>
    <row r="8" ht="20" customHeight="1" spans="1:26" x14ac:dyDescent="0.25">
      <c r="A8" s="152" t="s">
        <v>328</v>
      </c>
      <c r="B8" s="152" t="s">
        <v>344</v>
      </c>
      <c r="C8" s="152" t="s">
        <v>345</v>
      </c>
      <c r="D8" s="152" t="s">
        <v>344</v>
      </c>
      <c r="E8" s="152" t="s">
        <v>346</v>
      </c>
      <c r="F8" s="152" t="s">
        <v>347</v>
      </c>
      <c r="G8" s="152" t="s">
        <v>348</v>
      </c>
      <c r="H8" s="152" t="s">
        <v>334</v>
      </c>
      <c r="I8" s="152" t="s">
        <v>335</v>
      </c>
      <c r="J8" s="152" t="s">
        <v>209</v>
      </c>
      <c r="K8" s="152" t="s">
        <v>336</v>
      </c>
      <c r="L8" s="152" t="s">
        <v>349</v>
      </c>
      <c r="M8" s="152" t="s">
        <v>338</v>
      </c>
      <c r="N8" s="152" t="s">
        <v>339</v>
      </c>
      <c r="O8" s="152" t="s">
        <v>340</v>
      </c>
      <c r="P8" s="152" t="s">
        <v>341</v>
      </c>
      <c r="Q8" s="152" t="s">
        <v>342</v>
      </c>
      <c r="R8" s="152" t="s">
        <v>343</v>
      </c>
      <c r="S8" s="153">
        <v>1</v>
      </c>
      <c r="T8" s="153">
        <v>8900.5</v>
      </c>
      <c r="U8" s="153">
        <v>8900.5</v>
      </c>
      <c r="V8" s="153">
        <v>4895.28</v>
      </c>
      <c r="W8" s="153">
        <v>4005.22</v>
      </c>
      <c r="X8" s="153">
        <v>0</v>
      </c>
      <c r="Y8" s="153">
        <v>4005.22</v>
      </c>
      <c r="Z8" s="154">
        <v>0.45</v>
      </c>
    </row>
    <row r="9" ht="20" customHeight="1" spans="1:26" x14ac:dyDescent="0.25">
      <c r="A9" s="149" t="s">
        <v>328</v>
      </c>
      <c r="B9" s="149" t="s">
        <v>350</v>
      </c>
      <c r="C9" s="149" t="s">
        <v>351</v>
      </c>
      <c r="D9" s="149" t="s">
        <v>350</v>
      </c>
      <c r="E9" s="149" t="s">
        <v>352</v>
      </c>
      <c r="F9" s="149" t="s">
        <v>353</v>
      </c>
      <c r="G9" s="149" t="s">
        <v>354</v>
      </c>
      <c r="H9" s="149" t="s">
        <v>334</v>
      </c>
      <c r="I9" s="149" t="s">
        <v>335</v>
      </c>
      <c r="J9" s="149" t="s">
        <v>209</v>
      </c>
      <c r="K9" s="149" t="s">
        <v>336</v>
      </c>
      <c r="L9" s="149" t="s">
        <v>355</v>
      </c>
      <c r="M9" s="149" t="s">
        <v>78</v>
      </c>
      <c r="N9" s="149" t="s">
        <v>339</v>
      </c>
      <c r="O9" s="149" t="s">
        <v>340</v>
      </c>
      <c r="P9" s="149" t="s">
        <v>341</v>
      </c>
      <c r="Q9" s="149" t="s">
        <v>342</v>
      </c>
      <c r="R9" s="149" t="s">
        <v>343</v>
      </c>
      <c r="S9" s="150">
        <v>1</v>
      </c>
      <c r="T9" s="150">
        <v>3200</v>
      </c>
      <c r="U9" s="150">
        <v>3200</v>
      </c>
      <c r="V9" s="150">
        <v>1760</v>
      </c>
      <c r="W9" s="150">
        <v>1440</v>
      </c>
      <c r="X9" s="150">
        <v>0</v>
      </c>
      <c r="Y9" s="150">
        <v>1440</v>
      </c>
      <c r="Z9" s="151">
        <v>0.45</v>
      </c>
    </row>
    <row r="10" ht="20" customHeight="1" spans="1:26" x14ac:dyDescent="0.25">
      <c r="A10" s="152" t="s">
        <v>328</v>
      </c>
      <c r="B10" s="152" t="s">
        <v>356</v>
      </c>
      <c r="C10" s="152" t="s">
        <v>357</v>
      </c>
      <c r="D10" s="152" t="s">
        <v>356</v>
      </c>
      <c r="E10" s="152" t="s">
        <v>358</v>
      </c>
      <c r="F10" s="152" t="s">
        <v>359</v>
      </c>
      <c r="G10" s="152" t="s">
        <v>360</v>
      </c>
      <c r="H10" s="152" t="s">
        <v>334</v>
      </c>
      <c r="I10" s="152" t="s">
        <v>335</v>
      </c>
      <c r="J10" s="152" t="s">
        <v>209</v>
      </c>
      <c r="K10" s="152" t="s">
        <v>336</v>
      </c>
      <c r="L10" s="152" t="s">
        <v>361</v>
      </c>
      <c r="M10" s="152" t="s">
        <v>338</v>
      </c>
      <c r="N10" s="152" t="s">
        <v>339</v>
      </c>
      <c r="O10" s="152" t="s">
        <v>340</v>
      </c>
      <c r="P10" s="152" t="s">
        <v>341</v>
      </c>
      <c r="Q10" s="152" t="s">
        <v>342</v>
      </c>
      <c r="R10" s="152" t="s">
        <v>343</v>
      </c>
      <c r="S10" s="153">
        <v>1</v>
      </c>
      <c r="T10" s="153">
        <v>27400.75</v>
      </c>
      <c r="U10" s="153">
        <v>27400.75</v>
      </c>
      <c r="V10" s="153">
        <v>15070.41</v>
      </c>
      <c r="W10" s="153">
        <v>12330.34</v>
      </c>
      <c r="X10" s="153">
        <v>0</v>
      </c>
      <c r="Y10" s="153">
        <v>12330.34</v>
      </c>
      <c r="Z10" s="154">
        <v>0.45</v>
      </c>
    </row>
    <row r="11" ht="20" customHeight="1" spans="1:26" x14ac:dyDescent="0.25">
      <c r="A11" s="149" t="s">
        <v>328</v>
      </c>
      <c r="B11" s="149" t="s">
        <v>362</v>
      </c>
      <c r="C11" s="149" t="s">
        <v>363</v>
      </c>
      <c r="D11" s="149" t="s">
        <v>362</v>
      </c>
      <c r="E11" s="149" t="s">
        <v>364</v>
      </c>
      <c r="F11" s="149" t="s">
        <v>365</v>
      </c>
      <c r="G11" s="149" t="s">
        <v>366</v>
      </c>
      <c r="H11" s="149" t="s">
        <v>334</v>
      </c>
      <c r="I11" s="149" t="s">
        <v>335</v>
      </c>
      <c r="J11" s="149" t="s">
        <v>209</v>
      </c>
      <c r="K11" s="149" t="s">
        <v>336</v>
      </c>
      <c r="L11" s="149" t="s">
        <v>367</v>
      </c>
      <c r="M11" s="149" t="s">
        <v>368</v>
      </c>
      <c r="N11" s="149" t="s">
        <v>339</v>
      </c>
      <c r="O11" s="149" t="s">
        <v>340</v>
      </c>
      <c r="P11" s="149" t="s">
        <v>341</v>
      </c>
      <c r="Q11" s="149" t="s">
        <v>342</v>
      </c>
      <c r="R11" s="149" t="s">
        <v>343</v>
      </c>
      <c r="S11" s="150">
        <v>1</v>
      </c>
      <c r="T11" s="150">
        <v>11250</v>
      </c>
      <c r="U11" s="150">
        <v>11250</v>
      </c>
      <c r="V11" s="150">
        <v>6187.5</v>
      </c>
      <c r="W11" s="150">
        <v>5062.5</v>
      </c>
      <c r="X11" s="150">
        <v>0</v>
      </c>
      <c r="Y11" s="150">
        <v>5062.5</v>
      </c>
      <c r="Z11" s="151">
        <v>0.45</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38" t="s">
        <v>297</v>
      </c>
      <c r="B1" s="138" t="s">
        <v>298</v>
      </c>
      <c r="C1" s="155" t="s">
        <v>369</v>
      </c>
      <c r="D1" s="138" t="s">
        <v>299</v>
      </c>
      <c r="E1" s="138"/>
      <c r="F1" s="138"/>
      <c r="G1" s="138"/>
      <c r="H1" s="138"/>
      <c r="I1" s="138"/>
      <c r="J1" s="138"/>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56" t="s">
        <v>304</v>
      </c>
      <c r="F2" s="156" t="s">
        <v>305</v>
      </c>
      <c r="G2" s="157" t="s">
        <v>296</v>
      </c>
      <c r="H2" s="157" t="s">
        <v>296</v>
      </c>
      <c r="I2" s="157" t="s">
        <v>296</v>
      </c>
      <c r="J2" s="157" t="s">
        <v>296</v>
      </c>
      <c r="K2" s="157" t="s">
        <v>296</v>
      </c>
      <c r="L2" s="142"/>
      <c r="M2" s="2"/>
      <c r="N2" s="2"/>
      <c r="O2" s="2"/>
      <c r="P2" s="2"/>
      <c r="Q2" s="2"/>
      <c r="R2" s="2"/>
      <c r="S2" s="2"/>
      <c r="T2" s="2"/>
      <c r="U2" s="2"/>
      <c r="V2" s="2"/>
      <c r="W2" s="2"/>
      <c r="X2" s="2"/>
      <c r="Y2" s="2"/>
      <c r="Z2" s="2"/>
    </row>
    <row r="3" ht="26.25" customHeight="1" spans="1:26" x14ac:dyDescent="0.25">
      <c r="A3" s="158" t="s">
        <v>306</v>
      </c>
      <c r="B3" s="159" t="s">
        <v>298</v>
      </c>
      <c r="C3" s="160" t="s">
        <v>290</v>
      </c>
      <c r="D3" s="161" t="s">
        <v>299</v>
      </c>
      <c r="E3" s="162" t="s">
        <v>370</v>
      </c>
      <c r="F3" s="163" t="s">
        <v>371</v>
      </c>
      <c r="G3" s="163" t="s">
        <v>372</v>
      </c>
      <c r="H3" s="163" t="s">
        <v>373</v>
      </c>
      <c r="I3" s="163" t="s">
        <v>374</v>
      </c>
      <c r="J3" s="163" t="s">
        <v>375</v>
      </c>
      <c r="K3" s="163" t="s">
        <v>376</v>
      </c>
      <c r="L3" s="145"/>
      <c r="M3" s="2"/>
      <c r="N3" s="2"/>
      <c r="O3" s="2"/>
      <c r="P3" s="2"/>
      <c r="Q3" s="2"/>
      <c r="R3" s="2"/>
      <c r="S3" s="2"/>
      <c r="T3" s="2"/>
      <c r="U3" s="2"/>
      <c r="V3" s="2"/>
      <c r="W3" s="2"/>
      <c r="X3" s="2"/>
      <c r="Y3" s="2"/>
      <c r="Z3" s="2"/>
    </row>
    <row r="6" ht="16.5" customHeight="1" spans="1:26" x14ac:dyDescent="0.25">
      <c r="A6" s="148" t="s">
        <v>377</v>
      </c>
      <c r="B6" s="148" t="s">
        <v>231</v>
      </c>
      <c r="C6" s="148" t="s">
        <v>290</v>
      </c>
      <c r="D6" s="148" t="s">
        <v>317</v>
      </c>
      <c r="E6" s="164" t="s">
        <v>370</v>
      </c>
      <c r="F6" s="164" t="s">
        <v>371</v>
      </c>
      <c r="G6" s="164" t="s">
        <v>372</v>
      </c>
      <c r="H6" s="164" t="s">
        <v>373</v>
      </c>
      <c r="I6" s="165" t="s">
        <v>374</v>
      </c>
      <c r="J6" s="165" t="s">
        <v>375</v>
      </c>
      <c r="K6" s="164" t="s">
        <v>376</v>
      </c>
      <c r="L6" s="2"/>
      <c r="M6" s="2"/>
      <c r="N6" s="2"/>
      <c r="O6" s="2"/>
      <c r="P6" s="2"/>
      <c r="Q6" s="2"/>
      <c r="R6" s="2"/>
      <c r="S6" s="2"/>
      <c r="T6" s="2"/>
      <c r="U6" s="2"/>
      <c r="V6" s="2"/>
      <c r="W6" s="2"/>
      <c r="X6" s="2"/>
      <c r="Y6" s="2"/>
      <c r="Z6"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showGridLines="0" zoomScale="100" zoomScaleNormal="100">
      <pane ySplit="3" topLeftCell="A4" activePane="bottomLeft" state="frozen"/>
      <selection pane="bottomLeft"/>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38" t="s">
        <v>297</v>
      </c>
      <c r="B1" s="138" t="s">
        <v>298</v>
      </c>
      <c r="C1" s="138"/>
      <c r="D1" s="139" t="s">
        <v>299</v>
      </c>
      <c r="E1" s="139"/>
      <c r="F1" s="139"/>
      <c r="G1" s="139"/>
      <c r="H1" s="139"/>
      <c r="I1" s="139"/>
      <c r="J1" s="139"/>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41" t="s">
        <v>304</v>
      </c>
      <c r="F2" s="141" t="s">
        <v>305</v>
      </c>
      <c r="G2" s="142"/>
      <c r="H2" s="142"/>
      <c r="I2" s="142"/>
      <c r="J2" s="142"/>
      <c r="K2" s="142"/>
      <c r="L2" s="142"/>
      <c r="M2" s="2"/>
      <c r="N2" s="2"/>
      <c r="O2" s="2"/>
      <c r="P2" s="2"/>
      <c r="Q2" s="2"/>
      <c r="R2" s="2"/>
      <c r="S2" s="2"/>
      <c r="T2" s="2"/>
      <c r="U2" s="2"/>
      <c r="V2" s="2"/>
      <c r="W2" s="2"/>
      <c r="X2" s="2"/>
      <c r="Y2" s="2"/>
      <c r="Z2" s="2"/>
    </row>
    <row r="3" ht="26.25" customHeight="1" spans="1:26" x14ac:dyDescent="0.25">
      <c r="A3" s="143" t="s">
        <v>306</v>
      </c>
      <c r="B3" s="144" t="s">
        <v>298</v>
      </c>
      <c r="C3" s="145"/>
      <c r="D3" s="146" t="s">
        <v>299</v>
      </c>
      <c r="E3" s="145"/>
      <c r="F3" s="145"/>
      <c r="G3" s="145"/>
      <c r="H3" s="145"/>
      <c r="I3" s="145"/>
      <c r="J3" s="145"/>
      <c r="K3" s="145"/>
      <c r="L3" s="145"/>
      <c r="M3" s="2"/>
      <c r="N3" s="2"/>
      <c r="O3" s="2"/>
      <c r="P3" s="2"/>
      <c r="Q3" s="2"/>
      <c r="R3" s="2"/>
      <c r="S3" s="2"/>
      <c r="T3" s="2"/>
      <c r="U3" s="2"/>
      <c r="V3" s="2"/>
      <c r="W3" s="2"/>
      <c r="X3" s="2"/>
      <c r="Y3" s="2"/>
      <c r="Z3" s="2"/>
    </row>
    <row r="4" ht="16.5" customHeight="1" spans="1:26" x14ac:dyDescent="0.25">
      <c r="A4" s="2" t="s">
        <v>378</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7" t="s">
        <v>296</v>
      </c>
      <c r="Q5" s="147" t="s">
        <v>296</v>
      </c>
      <c r="R5" s="147" t="s">
        <v>296</v>
      </c>
      <c r="S5" s="147" t="s">
        <v>296</v>
      </c>
      <c r="T5" s="147" t="s">
        <v>296</v>
      </c>
      <c r="U5" s="2"/>
      <c r="V5" s="2"/>
      <c r="W5" s="2"/>
      <c r="X5" s="2"/>
      <c r="Y5" s="2"/>
      <c r="Z5" s="2"/>
    </row>
    <row r="6" ht="16.5" customHeight="1" spans="1:26" x14ac:dyDescent="0.25">
      <c r="A6" s="148" t="s">
        <v>379</v>
      </c>
      <c r="B6" s="148" t="s">
        <v>175</v>
      </c>
      <c r="C6" s="148" t="s">
        <v>380</v>
      </c>
      <c r="D6" s="148" t="s">
        <v>381</v>
      </c>
      <c r="E6" s="148" t="s">
        <v>382</v>
      </c>
      <c r="F6" s="148" t="s">
        <v>383</v>
      </c>
      <c r="G6" s="148" t="s">
        <v>312</v>
      </c>
      <c r="H6" s="148" t="s">
        <v>67</v>
      </c>
      <c r="I6" s="148" t="s">
        <v>313</v>
      </c>
      <c r="J6" s="148" t="s">
        <v>231</v>
      </c>
      <c r="K6" s="148" t="s">
        <v>290</v>
      </c>
      <c r="L6" s="148" t="s">
        <v>317</v>
      </c>
      <c r="M6" s="148" t="s">
        <v>377</v>
      </c>
      <c r="N6" s="148" t="s">
        <v>384</v>
      </c>
      <c r="O6" s="148" t="s">
        <v>18</v>
      </c>
      <c r="P6" s="148" t="s">
        <v>322</v>
      </c>
      <c r="Q6" s="148" t="s">
        <v>385</v>
      </c>
      <c r="R6" s="148" t="s">
        <v>386</v>
      </c>
      <c r="S6" s="148" t="s">
        <v>387</v>
      </c>
      <c r="T6" s="148" t="s">
        <v>388</v>
      </c>
      <c r="U6" s="2"/>
      <c r="V6" s="2"/>
      <c r="W6" s="2"/>
      <c r="X6" s="2"/>
      <c r="Y6" s="2"/>
      <c r="Z6"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25"/>
  <cols>
    <col min="1" max="1" width="68.42578125" customWidth="1"/>
  </cols>
  <sheetData>
    <row r="1" ht="20.25" customHeight="1" spans="1:26" x14ac:dyDescent="0.25">
      <c r="A1" s="62" t="s">
        <v>389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390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391</v>
      </c>
      <c r="B4" s="166">
        <v>46106</v>
      </c>
      <c r="C4" s="166">
        <v>46228</v>
      </c>
      <c r="D4" s="166">
        <v>46259</v>
      </c>
      <c r="E4" s="166">
        <v>46290</v>
      </c>
      <c r="F4" s="166">
        <v>46320</v>
      </c>
      <c r="G4" s="166">
        <v>46351</v>
      </c>
      <c r="H4" s="166">
        <v>46381</v>
      </c>
      <c r="I4" s="166">
        <v>46048</v>
      </c>
      <c r="J4" s="166">
        <v>46079</v>
      </c>
      <c r="K4" s="166">
        <v>46107</v>
      </c>
      <c r="L4" s="2"/>
      <c r="M4" s="167" t="s">
        <v>183</v>
      </c>
      <c r="N4" s="168" t="s">
        <v>392</v>
      </c>
      <c r="O4" s="2"/>
      <c r="P4" s="2"/>
      <c r="Q4" s="2"/>
      <c r="R4" s="2"/>
      <c r="S4" s="2"/>
      <c r="T4" s="2"/>
      <c r="U4" s="2"/>
      <c r="V4" s="2"/>
      <c r="W4" s="2"/>
      <c r="X4" s="2"/>
      <c r="Y4" s="2"/>
      <c r="Z4" s="2"/>
    </row>
    <row r="5" ht="16.5" customHeight="1" spans="1:26" x14ac:dyDescent="0.25">
      <c r="A5" s="169" t="s">
        <v>393</v>
      </c>
      <c r="B5" s="170">
        <v>0</v>
      </c>
      <c r="C5" s="170">
        <v>0</v>
      </c>
      <c r="D5" s="170">
        <v>0</v>
      </c>
      <c r="E5" s="170">
        <v>0</v>
      </c>
      <c r="F5" s="170">
        <v>0</v>
      </c>
      <c r="G5" s="170">
        <v>0</v>
      </c>
      <c r="H5" s="170">
        <v>0</v>
      </c>
      <c r="I5" s="170">
        <v>0</v>
      </c>
      <c r="J5" s="170">
        <v>0</v>
      </c>
      <c r="K5" s="170">
        <v>0</v>
      </c>
      <c r="L5" s="2"/>
      <c r="M5" s="87">
        <f>SUM(B5:K5)</f>
        <v>0</v>
      </c>
      <c r="N5" s="171" t="s">
        <v>394</v>
      </c>
      <c r="O5" s="2"/>
      <c r="P5" s="2"/>
      <c r="Q5" s="2"/>
      <c r="R5" s="2"/>
      <c r="S5" s="2"/>
      <c r="T5" s="2"/>
      <c r="U5" s="2"/>
      <c r="V5" s="2"/>
      <c r="W5" s="2"/>
      <c r="X5" s="2"/>
      <c r="Y5" s="2"/>
      <c r="Z5" s="2"/>
    </row>
    <row r="6" ht="16.5" customHeight="1" spans="1:26" x14ac:dyDescent="0.25">
      <c r="A6" s="169" t="s">
        <v>395</v>
      </c>
      <c r="B6" s="170">
        <v>0</v>
      </c>
      <c r="C6" s="170">
        <v>0</v>
      </c>
      <c r="D6" s="170">
        <v>0</v>
      </c>
      <c r="E6" s="170">
        <v>0</v>
      </c>
      <c r="F6" s="170">
        <v>0</v>
      </c>
      <c r="G6" s="170">
        <v>0</v>
      </c>
      <c r="H6" s="170">
        <v>0</v>
      </c>
      <c r="I6" s="170">
        <v>0</v>
      </c>
      <c r="J6" s="170">
        <v>0</v>
      </c>
      <c r="K6" s="170">
        <v>0</v>
      </c>
      <c r="L6" s="2"/>
      <c r="M6" s="87">
        <f>SUM(B6:K6)</f>
        <v>0</v>
      </c>
      <c r="N6" s="171" t="s">
        <v>396</v>
      </c>
      <c r="O6" s="2"/>
      <c r="P6" s="2"/>
      <c r="Q6" s="2"/>
      <c r="R6" s="2"/>
      <c r="S6" s="2"/>
      <c r="T6" s="2"/>
      <c r="U6" s="2"/>
      <c r="V6" s="2"/>
      <c r="W6" s="2"/>
      <c r="X6" s="2"/>
      <c r="Y6" s="2"/>
      <c r="Z6" s="2"/>
    </row>
    <row r="7" ht="16.5" customHeight="1" spans="1:26" x14ac:dyDescent="0.25">
      <c r="A7" s="169" t="s">
        <v>397</v>
      </c>
      <c r="B7" s="170">
        <v>0</v>
      </c>
      <c r="C7" s="170">
        <v>0</v>
      </c>
      <c r="D7" s="170">
        <v>0</v>
      </c>
      <c r="E7" s="170">
        <v>0</v>
      </c>
      <c r="F7" s="170">
        <v>0</v>
      </c>
      <c r="G7" s="170">
        <v>0</v>
      </c>
      <c r="H7" s="170">
        <v>0</v>
      </c>
      <c r="I7" s="170">
        <v>0</v>
      </c>
      <c r="J7" s="170">
        <v>0</v>
      </c>
      <c r="K7" s="170">
        <v>0</v>
      </c>
      <c r="L7" s="2"/>
      <c r="M7" s="87">
        <f>SUM(B7:K7)</f>
        <v>0</v>
      </c>
      <c r="N7" s="171" t="s">
        <v>398</v>
      </c>
      <c r="O7" s="2"/>
      <c r="P7" s="2"/>
      <c r="Q7" s="2"/>
      <c r="R7" s="2"/>
      <c r="S7" s="2"/>
      <c r="T7" s="2"/>
      <c r="U7" s="2"/>
      <c r="V7" s="2"/>
      <c r="W7" s="2"/>
      <c r="X7" s="2"/>
      <c r="Y7" s="2"/>
      <c r="Z7" s="2"/>
    </row>
    <row r="8" ht="16.5" customHeight="1" spans="1:26" x14ac:dyDescent="0.25">
      <c r="A8" s="169" t="s">
        <v>399</v>
      </c>
      <c r="B8" s="170">
        <v>0</v>
      </c>
      <c r="C8" s="170">
        <v>0</v>
      </c>
      <c r="D8" s="170">
        <v>0</v>
      </c>
      <c r="E8" s="170">
        <v>0</v>
      </c>
      <c r="F8" s="170">
        <v>0</v>
      </c>
      <c r="G8" s="170">
        <v>0</v>
      </c>
      <c r="H8" s="170">
        <v>0</v>
      </c>
      <c r="I8" s="170">
        <v>0</v>
      </c>
      <c r="J8" s="170">
        <v>0</v>
      </c>
      <c r="K8" s="170">
        <v>0</v>
      </c>
      <c r="L8" s="2"/>
      <c r="M8" s="87">
        <f>SUM(B8:K8)</f>
        <v>0</v>
      </c>
      <c r="N8" s="171" t="s">
        <v>400</v>
      </c>
      <c r="O8" s="2"/>
      <c r="P8" s="2"/>
      <c r="Q8" s="2"/>
      <c r="R8" s="2"/>
      <c r="S8" s="2"/>
      <c r="T8" s="2"/>
      <c r="U8" s="2"/>
      <c r="V8" s="2"/>
      <c r="W8" s="2"/>
      <c r="X8" s="2"/>
      <c r="Y8" s="2"/>
      <c r="Z8" s="2"/>
    </row>
    <row r="9" ht="16.5" customHeight="1" spans="1:26" x14ac:dyDescent="0.25">
      <c r="A9" s="172" t="s">
        <v>401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402</v>
      </c>
      <c r="B11" s="166">
        <v>46106</v>
      </c>
      <c r="C11" s="166">
        <v>46228</v>
      </c>
      <c r="D11" s="166">
        <v>46259</v>
      </c>
      <c r="E11" s="166">
        <v>46290</v>
      </c>
      <c r="F11" s="166">
        <v>46320</v>
      </c>
      <c r="G11" s="166">
        <v>46351</v>
      </c>
      <c r="H11" s="166">
        <v>46381</v>
      </c>
      <c r="I11" s="166">
        <v>46048</v>
      </c>
      <c r="J11" s="166">
        <v>46079</v>
      </c>
      <c r="K11" s="166">
        <v>46107</v>
      </c>
      <c r="L11" s="2"/>
      <c r="M11" s="167" t="s">
        <v>183</v>
      </c>
      <c r="N11" s="173" t="s">
        <v>392</v>
      </c>
      <c r="O11" s="2"/>
      <c r="P11" s="2"/>
      <c r="Q11" s="2"/>
      <c r="R11" s="2"/>
      <c r="S11" s="2"/>
      <c r="T11" s="2"/>
      <c r="U11" s="2"/>
      <c r="V11" s="2"/>
      <c r="W11" s="2"/>
      <c r="X11" s="2"/>
      <c r="Y11" s="2"/>
      <c r="Z11" s="2"/>
    </row>
    <row r="12" ht="16.5" customHeight="1" spans="1:26" x14ac:dyDescent="0.25">
      <c r="A12" s="169" t="s">
        <v>403</v>
      </c>
      <c r="B12" s="170">
        <v>0</v>
      </c>
      <c r="C12" s="170">
        <v>0</v>
      </c>
      <c r="D12" s="170">
        <v>0</v>
      </c>
      <c r="E12" s="170">
        <v>0</v>
      </c>
      <c r="F12" s="170">
        <v>0</v>
      </c>
      <c r="G12" s="170">
        <v>0</v>
      </c>
      <c r="H12" s="170">
        <v>0</v>
      </c>
      <c r="I12" s="170">
        <v>0</v>
      </c>
      <c r="J12" s="170">
        <v>0</v>
      </c>
      <c r="K12" s="170">
        <v>0</v>
      </c>
      <c r="L12" s="2"/>
      <c r="M12" s="87">
        <f t="shared" ref="M12:M18" si="1">SUM(B12:K12)</f>
        <v>0</v>
      </c>
      <c r="N12" s="171" t="s">
        <v>404</v>
      </c>
      <c r="O12" s="2"/>
      <c r="P12" s="2"/>
      <c r="Q12" s="2"/>
      <c r="R12" s="2"/>
      <c r="S12" s="2"/>
      <c r="T12" s="2"/>
      <c r="U12" s="2"/>
      <c r="V12" s="2"/>
      <c r="W12" s="2"/>
      <c r="X12" s="2"/>
      <c r="Y12" s="2"/>
      <c r="Z12" s="2"/>
    </row>
    <row r="13" ht="16.5" customHeight="1" spans="1:26" x14ac:dyDescent="0.25">
      <c r="A13" s="169" t="s">
        <v>405</v>
      </c>
      <c r="B13" s="170">
        <v>0</v>
      </c>
      <c r="C13" s="170">
        <v>0</v>
      </c>
      <c r="D13" s="170">
        <v>0</v>
      </c>
      <c r="E13" s="170">
        <v>0</v>
      </c>
      <c r="F13" s="170">
        <v>0</v>
      </c>
      <c r="G13" s="170">
        <v>0</v>
      </c>
      <c r="H13" s="170">
        <v>0</v>
      </c>
      <c r="I13" s="170">
        <v>0</v>
      </c>
      <c r="J13" s="170">
        <v>0</v>
      </c>
      <c r="K13" s="170">
        <v>0</v>
      </c>
      <c r="L13" s="2"/>
      <c r="M13" s="87">
        <f t="shared" si="1"/>
        <v>0</v>
      </c>
      <c r="N13" s="171" t="s">
        <v>406</v>
      </c>
      <c r="O13" s="2"/>
      <c r="P13" s="2"/>
      <c r="Q13" s="2"/>
      <c r="R13" s="2"/>
      <c r="S13" s="2"/>
      <c r="T13" s="2"/>
      <c r="U13" s="2"/>
      <c r="V13" s="2"/>
      <c r="W13" s="2"/>
      <c r="X13" s="2"/>
      <c r="Y13" s="2"/>
      <c r="Z13" s="2"/>
    </row>
    <row r="14" ht="16.5" customHeight="1" spans="1:26" x14ac:dyDescent="0.25">
      <c r="A14" s="169" t="s">
        <v>407</v>
      </c>
      <c r="B14" s="170">
        <v>0</v>
      </c>
      <c r="C14" s="170">
        <v>0</v>
      </c>
      <c r="D14" s="170">
        <v>0</v>
      </c>
      <c r="E14" s="170">
        <v>0</v>
      </c>
      <c r="F14" s="170">
        <v>0</v>
      </c>
      <c r="G14" s="170">
        <v>0</v>
      </c>
      <c r="H14" s="170">
        <v>0</v>
      </c>
      <c r="I14" s="170">
        <v>0</v>
      </c>
      <c r="J14" s="170">
        <v>0</v>
      </c>
      <c r="K14" s="170">
        <v>0</v>
      </c>
      <c r="L14" s="2"/>
      <c r="M14" s="87">
        <f t="shared" si="1"/>
        <v>0</v>
      </c>
      <c r="N14" s="171" t="s">
        <v>408</v>
      </c>
      <c r="O14" s="2"/>
      <c r="P14" s="2"/>
      <c r="Q14" s="2"/>
      <c r="R14" s="2"/>
      <c r="S14" s="2"/>
      <c r="T14" s="2"/>
      <c r="U14" s="2"/>
      <c r="V14" s="2"/>
      <c r="W14" s="2"/>
      <c r="X14" s="2"/>
      <c r="Y14" s="2"/>
      <c r="Z14" s="2"/>
    </row>
    <row r="15" ht="16.5" customHeight="1" spans="1:26" x14ac:dyDescent="0.25">
      <c r="A15" s="169" t="s">
        <v>409</v>
      </c>
      <c r="B15" s="170">
        <v>0</v>
      </c>
      <c r="C15" s="170">
        <v>0</v>
      </c>
      <c r="D15" s="170">
        <v>0</v>
      </c>
      <c r="E15" s="170">
        <v>0</v>
      </c>
      <c r="F15" s="170">
        <v>0</v>
      </c>
      <c r="G15" s="170">
        <v>0</v>
      </c>
      <c r="H15" s="170">
        <v>0</v>
      </c>
      <c r="I15" s="170">
        <v>0</v>
      </c>
      <c r="J15" s="170">
        <v>0</v>
      </c>
      <c r="K15" s="170">
        <v>0</v>
      </c>
      <c r="L15" s="2"/>
      <c r="M15" s="87">
        <f t="shared" si="1"/>
        <v>0</v>
      </c>
      <c r="N15" s="171" t="s">
        <v>410</v>
      </c>
      <c r="O15" s="2"/>
      <c r="P15" s="2"/>
      <c r="Q15" s="2"/>
      <c r="R15" s="2"/>
      <c r="S15" s="2"/>
      <c r="T15" s="2"/>
      <c r="U15" s="2"/>
      <c r="V15" s="2"/>
      <c r="W15" s="2"/>
      <c r="X15" s="2"/>
      <c r="Y15" s="2"/>
      <c r="Z15" s="2"/>
    </row>
    <row r="16" ht="16.5" customHeight="1" spans="1:26" x14ac:dyDescent="0.25">
      <c r="A16" s="169" t="s">
        <v>411</v>
      </c>
      <c r="B16" s="170">
        <v>0</v>
      </c>
      <c r="C16" s="170">
        <v>0</v>
      </c>
      <c r="D16" s="170">
        <v>0</v>
      </c>
      <c r="E16" s="170">
        <v>0</v>
      </c>
      <c r="F16" s="170">
        <v>0</v>
      </c>
      <c r="G16" s="170">
        <v>0</v>
      </c>
      <c r="H16" s="170">
        <v>0</v>
      </c>
      <c r="I16" s="170">
        <v>0</v>
      </c>
      <c r="J16" s="170">
        <v>0</v>
      </c>
      <c r="K16" s="170">
        <v>0</v>
      </c>
      <c r="L16" s="2"/>
      <c r="M16" s="87">
        <f t="shared" si="1"/>
        <v>0</v>
      </c>
      <c r="N16" s="171" t="s">
        <v>412</v>
      </c>
      <c r="O16" s="2"/>
      <c r="P16" s="2"/>
      <c r="Q16" s="2"/>
      <c r="R16" s="2"/>
      <c r="S16" s="2"/>
      <c r="T16" s="2"/>
      <c r="U16" s="2"/>
      <c r="V16" s="2"/>
      <c r="W16" s="2"/>
      <c r="X16" s="2"/>
      <c r="Y16" s="2"/>
      <c r="Z16" s="2"/>
    </row>
    <row r="17" ht="16.5" customHeight="1" spans="1:26" x14ac:dyDescent="0.25">
      <c r="A17" s="172" t="s">
        <v>413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414</v>
      </c>
      <c r="B18" s="174">
        <f t="shared" ref="B18:J18" si="3">B9+B17</f>
        <v>0</v>
      </c>
      <c r="C18" s="174">
        <f t="shared" si="3"/>
        <v>0</v>
      </c>
      <c r="D18" s="174">
        <f t="shared" si="3"/>
        <v>0</v>
      </c>
      <c r="E18" s="174">
        <f t="shared" si="3"/>
        <v>0</v>
      </c>
      <c r="F18" s="174">
        <f t="shared" si="3"/>
        <v>0</v>
      </c>
      <c r="G18" s="174">
        <f t="shared" si="3"/>
        <v>0</v>
      </c>
      <c r="H18" s="174">
        <f t="shared" si="3"/>
        <v>0</v>
      </c>
      <c r="I18" s="174">
        <f t="shared" si="3"/>
        <v>0</v>
      </c>
      <c r="J18" s="174">
        <f t="shared" si="3"/>
        <v>0</v>
      </c>
      <c r="K18" s="174">
        <f>K9+K17</f>
        <v>0</v>
      </c>
      <c r="L18" s="2"/>
      <c r="M18" s="174">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0"/>
      <c r="G36" s="170"/>
      <c r="H36" s="170"/>
      <c r="I36" s="170"/>
      <c r="J36" s="170"/>
      <c r="K36" s="170"/>
      <c r="L36" s="2"/>
      <c r="M36" s="2"/>
      <c r="N36" s="2"/>
      <c r="O36" s="2"/>
      <c r="P36" s="2"/>
      <c r="Q36" s="2"/>
      <c r="R36" s="2"/>
      <c r="S36" s="2"/>
      <c r="T36" s="2"/>
      <c r="U36" s="2"/>
      <c r="V36" s="2"/>
      <c r="W36" s="2"/>
      <c r="X36" s="2"/>
      <c r="Y36" s="2"/>
      <c r="Z36" s="2"/>
    </row>
    <row r="37" ht="16.5" customHeight="1" spans="1:26" x14ac:dyDescent="0.25">
      <c r="A37" s="2"/>
      <c r="B37" s="2"/>
      <c r="C37" s="2"/>
      <c r="D37" s="2"/>
      <c r="E37" s="2"/>
      <c r="F37" s="170"/>
      <c r="G37" s="170"/>
      <c r="H37" s="170"/>
      <c r="I37" s="170"/>
      <c r="J37" s="170"/>
      <c r="K37" s="170"/>
      <c r="L37" s="2"/>
      <c r="M37" s="2"/>
      <c r="N37" s="2"/>
      <c r="O37" s="2"/>
      <c r="P37" s="2"/>
      <c r="Q37" s="2"/>
      <c r="R37" s="2"/>
      <c r="S37" s="2"/>
      <c r="T37" s="2"/>
      <c r="U37" s="2"/>
      <c r="V37" s="2"/>
      <c r="W37" s="2"/>
      <c r="X37" s="2"/>
      <c r="Y37" s="2"/>
      <c r="Z37" s="2"/>
    </row>
    <row r="38" ht="16.5" customHeight="1" spans="1:26" x14ac:dyDescent="0.25">
      <c r="A38" s="2"/>
      <c r="B38" s="2"/>
      <c r="C38" s="2"/>
      <c r="D38" s="2"/>
      <c r="E38" s="2"/>
      <c r="F38" s="170"/>
      <c r="G38" s="170"/>
      <c r="H38" s="170"/>
      <c r="I38" s="170"/>
      <c r="J38" s="170"/>
      <c r="K38" s="170"/>
      <c r="L38" s="2"/>
      <c r="M38" s="2"/>
      <c r="N38" s="2"/>
      <c r="O38" s="2"/>
      <c r="P38" s="2"/>
      <c r="Q38" s="2"/>
      <c r="R38" s="2"/>
      <c r="S38" s="2"/>
      <c r="T38" s="2"/>
      <c r="U38" s="2"/>
      <c r="V38" s="2"/>
      <c r="W38" s="2"/>
      <c r="X38" s="2"/>
      <c r="Y38" s="2"/>
      <c r="Z38" s="2"/>
    </row>
    <row r="39" ht="16.5" customHeight="1" spans="1:26" x14ac:dyDescent="0.25">
      <c r="A39" s="2"/>
      <c r="B39" s="2"/>
      <c r="C39" s="2"/>
      <c r="D39" s="2"/>
      <c r="E39" s="2"/>
      <c r="F39" s="170"/>
      <c r="G39" s="170"/>
      <c r="H39" s="170"/>
      <c r="I39" s="170"/>
      <c r="J39" s="170"/>
      <c r="K39" s="170"/>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0</v>
      </c>
      <c r="G40" s="70">
        <f t="shared" si="4"/>
        <v>0</v>
      </c>
      <c r="H40" s="70">
        <f t="shared" si="4"/>
        <v>0</v>
      </c>
      <c r="I40" s="70">
        <f t="shared" si="4"/>
        <v>0</v>
      </c>
      <c r="J40" s="70">
        <f t="shared" si="4"/>
        <v>0</v>
      </c>
      <c r="K40" s="70">
        <f t="shared" si="4"/>
        <v>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66"/>
      <c r="G42" s="166"/>
      <c r="H42" s="166"/>
      <c r="I42" s="166"/>
      <c r="J42" s="166"/>
      <c r="K42" s="166"/>
      <c r="L42" s="2"/>
      <c r="M42" s="2"/>
      <c r="N42" s="2"/>
      <c r="O42" s="2"/>
      <c r="P42" s="2"/>
      <c r="Q42" s="2"/>
      <c r="R42" s="2"/>
      <c r="S42" s="2"/>
      <c r="T42" s="2"/>
      <c r="U42" s="2"/>
      <c r="V42" s="2"/>
      <c r="W42" s="2"/>
      <c r="X42" s="2"/>
      <c r="Y42" s="2"/>
      <c r="Z42" s="2"/>
    </row>
    <row r="43" ht="16.5" customHeight="1" spans="1:26" x14ac:dyDescent="0.25">
      <c r="A43" s="2"/>
      <c r="B43" s="2"/>
      <c r="C43" s="2"/>
      <c r="D43" s="2"/>
      <c r="E43" s="2"/>
      <c r="F43" s="170"/>
      <c r="G43" s="170"/>
      <c r="H43" s="170"/>
      <c r="I43" s="170"/>
      <c r="J43" s="170"/>
      <c r="K43" s="170"/>
      <c r="L43" s="2"/>
      <c r="M43" s="2"/>
      <c r="N43" s="2"/>
      <c r="O43" s="2"/>
      <c r="P43" s="2"/>
      <c r="Q43" s="2"/>
      <c r="R43" s="2"/>
      <c r="S43" s="2"/>
      <c r="T43" s="2"/>
      <c r="U43" s="2"/>
      <c r="V43" s="2"/>
      <c r="W43" s="2"/>
      <c r="X43" s="2"/>
      <c r="Y43" s="2"/>
      <c r="Z43" s="2"/>
    </row>
    <row r="44" ht="16.5" customHeight="1" spans="1:26" x14ac:dyDescent="0.25">
      <c r="A44" s="2"/>
      <c r="B44" s="2"/>
      <c r="C44" s="2"/>
      <c r="D44" s="2"/>
      <c r="E44" s="2"/>
      <c r="F44" s="170"/>
      <c r="G44" s="170"/>
      <c r="H44" s="170"/>
      <c r="I44" s="170"/>
      <c r="J44" s="170"/>
      <c r="K44" s="170"/>
      <c r="L44" s="2"/>
      <c r="M44" s="2"/>
      <c r="N44" s="2"/>
      <c r="O44" s="2"/>
      <c r="P44" s="2"/>
      <c r="Q44" s="2"/>
      <c r="R44" s="2"/>
      <c r="S44" s="2"/>
      <c r="T44" s="2"/>
      <c r="U44" s="2"/>
      <c r="V44" s="2"/>
      <c r="W44" s="2"/>
      <c r="X44" s="2"/>
      <c r="Y44" s="2"/>
      <c r="Z44" s="2"/>
    </row>
    <row r="45" ht="16.5" customHeight="1" spans="1:26" x14ac:dyDescent="0.25">
      <c r="A45" s="2"/>
      <c r="B45" s="2"/>
      <c r="C45" s="2"/>
      <c r="D45" s="2"/>
      <c r="E45" s="2"/>
      <c r="F45" s="170"/>
      <c r="G45" s="170"/>
      <c r="H45" s="170"/>
      <c r="I45" s="170"/>
      <c r="J45" s="170"/>
      <c r="K45" s="170"/>
      <c r="L45" s="2"/>
      <c r="M45" s="2"/>
      <c r="N45" s="2"/>
      <c r="O45" s="2"/>
      <c r="P45" s="2"/>
      <c r="Q45" s="2"/>
      <c r="R45" s="2"/>
      <c r="S45" s="2"/>
      <c r="T45" s="2"/>
      <c r="U45" s="2"/>
      <c r="V45" s="2"/>
      <c r="W45" s="2"/>
      <c r="X45" s="2"/>
      <c r="Y45" s="2"/>
      <c r="Z45" s="2"/>
    </row>
    <row r="46" ht="16.5" customHeight="1" spans="1:26" x14ac:dyDescent="0.25">
      <c r="A46" s="2"/>
      <c r="B46" s="2"/>
      <c r="C46" s="2"/>
      <c r="D46" s="2"/>
      <c r="E46" s="2"/>
      <c r="F46" s="170"/>
      <c r="G46" s="170"/>
      <c r="H46" s="170"/>
      <c r="I46" s="170"/>
      <c r="J46" s="170"/>
      <c r="K46" s="170"/>
      <c r="L46" s="2"/>
      <c r="M46" s="2"/>
      <c r="N46" s="2"/>
      <c r="O46" s="2"/>
      <c r="P46" s="2"/>
      <c r="Q46" s="2"/>
      <c r="R46" s="2"/>
      <c r="S46" s="2"/>
      <c r="T46" s="2"/>
      <c r="U46" s="2"/>
      <c r="V46" s="2"/>
      <c r="W46" s="2"/>
      <c r="X46" s="2"/>
      <c r="Y46" s="2"/>
      <c r="Z46" s="2"/>
    </row>
    <row r="47" ht="16.5" customHeight="1" spans="1:26" x14ac:dyDescent="0.25">
      <c r="A47" s="2"/>
      <c r="B47" s="2"/>
      <c r="C47" s="2"/>
      <c r="D47" s="2"/>
      <c r="E47" s="2"/>
      <c r="F47" s="170"/>
      <c r="G47" s="170"/>
      <c r="H47" s="170"/>
      <c r="I47" s="170"/>
      <c r="J47" s="170"/>
      <c r="K47" s="170"/>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181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182</v>
      </c>
      <c r="B3" s="84">
        <v>46106</v>
      </c>
      <c r="C3" s="84">
        <v>46228</v>
      </c>
      <c r="D3" s="84">
        <v>46259</v>
      </c>
      <c r="E3" s="84">
        <v>46290</v>
      </c>
      <c r="F3" s="84">
        <v>46320</v>
      </c>
      <c r="G3" s="84">
        <v>46351</v>
      </c>
      <c r="H3" s="84">
        <v>46381</v>
      </c>
      <c r="I3" s="84">
        <v>46048</v>
      </c>
      <c r="J3" s="84">
        <v>46079</v>
      </c>
      <c r="K3" s="84">
        <v>46107</v>
      </c>
      <c r="L3" s="85" t="s">
        <v>183</v>
      </c>
      <c r="M3" s="2"/>
      <c r="N3" s="2"/>
      <c r="O3" s="2"/>
      <c r="P3" s="2"/>
      <c r="Q3" s="2"/>
      <c r="R3" s="2"/>
      <c r="S3" s="2"/>
      <c r="T3" s="2"/>
      <c r="U3" s="2"/>
      <c r="V3" s="2"/>
      <c r="W3" s="2"/>
      <c r="X3" s="2"/>
      <c r="Y3" s="2"/>
      <c r="Z3" s="2"/>
    </row>
    <row r="4" ht="16.5" customHeight="1" spans="1:26" x14ac:dyDescent="0.25">
      <c r="A4" s="21" t="s">
        <v>184</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185</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186</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187</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188</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124</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125</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189</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127</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128</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190</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191</v>
      </c>
      <c r="B15" s="89" t="s">
        <v>192</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193</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194</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195</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196</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197</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198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199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200</v>
      </c>
      <c r="B4" s="85" t="s">
        <v>201</v>
      </c>
      <c r="C4" s="85" t="s">
        <v>116</v>
      </c>
      <c r="D4" s="85" t="s">
        <v>148</v>
      </c>
      <c r="E4" s="85" t="s">
        <v>6</v>
      </c>
      <c r="F4" s="85" t="s">
        <v>117</v>
      </c>
      <c r="G4" s="85" t="s">
        <v>202</v>
      </c>
      <c r="H4" s="85" t="s">
        <v>203</v>
      </c>
      <c r="I4" s="2"/>
      <c r="J4" s="2"/>
      <c r="K4" s="2"/>
      <c r="L4" s="2"/>
      <c r="M4" s="2"/>
      <c r="N4" s="2"/>
      <c r="O4" s="2"/>
      <c r="P4" s="2"/>
      <c r="Q4" s="2"/>
      <c r="R4" s="2"/>
      <c r="S4" s="2"/>
      <c r="T4" s="2"/>
      <c r="U4" s="2"/>
      <c r="V4" s="2"/>
      <c r="W4" s="2"/>
      <c r="X4" s="2"/>
      <c r="Y4" s="2"/>
      <c r="Z4" s="2"/>
    </row>
    <row r="5" ht="16.5" customHeight="1" spans="1:26" x14ac:dyDescent="0.25">
      <c r="A5" s="2" t="s">
        <v>129</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130</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131</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132</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133</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204</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205</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206</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207</v>
      </c>
      <c r="B14" s="85" t="s">
        <v>201</v>
      </c>
      <c r="C14" s="85" t="s">
        <v>116</v>
      </c>
      <c r="D14" s="85" t="s">
        <v>148</v>
      </c>
      <c r="E14" s="85" t="s">
        <v>6</v>
      </c>
      <c r="F14" s="85" t="s">
        <v>117</v>
      </c>
      <c r="G14" s="85" t="s">
        <v>208</v>
      </c>
      <c r="H14" s="85" t="s">
        <v>202</v>
      </c>
      <c r="I14" s="2"/>
      <c r="J14" s="2"/>
      <c r="K14" s="2"/>
      <c r="L14" s="2"/>
      <c r="M14" s="2"/>
      <c r="N14" s="2"/>
      <c r="O14" s="2"/>
      <c r="P14" s="2"/>
      <c r="Q14" s="2"/>
      <c r="R14" s="2"/>
      <c r="S14" s="2"/>
      <c r="T14" s="2"/>
      <c r="U14" s="2"/>
      <c r="V14" s="2"/>
      <c r="W14" s="2"/>
      <c r="X14" s="2"/>
      <c r="Y14" s="2"/>
      <c r="Z14" s="2"/>
    </row>
    <row r="15" ht="16.5" customHeight="1" spans="1:26" x14ac:dyDescent="0.25">
      <c r="A15" s="2" t="s">
        <v>209</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210</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211</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212</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213</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214</v>
      </c>
      <c r="B4" s="85" t="s">
        <v>119</v>
      </c>
      <c r="C4" s="85" t="s">
        <v>215</v>
      </c>
      <c r="D4" s="85" t="s">
        <v>121</v>
      </c>
      <c r="E4" s="85" t="s">
        <v>122</v>
      </c>
      <c r="F4" s="85" t="s">
        <v>123</v>
      </c>
      <c r="G4" s="85" t="s">
        <v>216</v>
      </c>
      <c r="H4" s="85" t="s">
        <v>217</v>
      </c>
      <c r="I4" s="85" t="s">
        <v>218</v>
      </c>
      <c r="J4" s="85" t="s">
        <v>219</v>
      </c>
      <c r="K4" s="85" t="s">
        <v>220</v>
      </c>
      <c r="L4" s="85" t="s">
        <v>221</v>
      </c>
      <c r="M4" s="85" t="s">
        <v>222</v>
      </c>
      <c r="N4" s="85" t="s">
        <v>183</v>
      </c>
      <c r="O4" s="2"/>
      <c r="P4" s="2"/>
      <c r="Q4" s="2"/>
      <c r="R4" s="2"/>
      <c r="S4" s="2"/>
      <c r="T4" s="2"/>
      <c r="U4" s="2"/>
      <c r="V4" s="2"/>
      <c r="W4" s="2"/>
      <c r="X4" s="2"/>
      <c r="Y4" s="2"/>
      <c r="Z4" s="2"/>
    </row>
    <row r="5" ht="16.5" customHeight="1" spans="1:26" x14ac:dyDescent="0.25">
      <c r="A5" s="19" t="s">
        <v>129</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130</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131</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132</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133</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223</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194</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224</v>
      </c>
      <c r="B13" s="108" t="s">
        <v>119</v>
      </c>
      <c r="C13" s="108" t="s">
        <v>215</v>
      </c>
      <c r="D13" s="108" t="s">
        <v>121</v>
      </c>
      <c r="E13" s="108" t="s">
        <v>122</v>
      </c>
      <c r="F13" s="108" t="s">
        <v>123</v>
      </c>
      <c r="G13" s="108" t="s">
        <v>216</v>
      </c>
      <c r="H13" s="108" t="s">
        <v>217</v>
      </c>
      <c r="I13" s="108" t="s">
        <v>218</v>
      </c>
      <c r="J13" s="108" t="s">
        <v>219</v>
      </c>
      <c r="K13" s="108" t="s">
        <v>220</v>
      </c>
      <c r="L13" s="108" t="s">
        <v>221</v>
      </c>
      <c r="M13" s="108" t="s">
        <v>222</v>
      </c>
      <c r="N13" s="108" t="s">
        <v>183</v>
      </c>
      <c r="O13" s="2"/>
      <c r="P13" s="2"/>
      <c r="Q13" s="2"/>
      <c r="R13" s="2"/>
      <c r="S13" s="2"/>
      <c r="T13" s="2"/>
      <c r="U13" s="2"/>
      <c r="V13" s="2"/>
      <c r="W13" s="2"/>
      <c r="X13" s="2"/>
      <c r="Y13" s="2"/>
      <c r="Z13" s="2"/>
    </row>
    <row r="14" ht="16.5" customHeight="1" spans="1:26" x14ac:dyDescent="0.25">
      <c r="A14" s="109" t="s">
        <v>129</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130</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131</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132</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133</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223</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225</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226</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227</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228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229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230</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231</v>
      </c>
      <c r="B4" s="85" t="s">
        <v>232</v>
      </c>
      <c r="C4" s="85" t="s">
        <v>233</v>
      </c>
      <c r="D4" s="85" t="s">
        <v>234</v>
      </c>
      <c r="E4" s="85" t="s">
        <v>235</v>
      </c>
      <c r="F4" s="85" t="s">
        <v>236</v>
      </c>
      <c r="G4" s="85" t="s">
        <v>237</v>
      </c>
      <c r="H4" s="85" t="s">
        <v>238</v>
      </c>
      <c r="I4" s="85" t="s">
        <v>239</v>
      </c>
      <c r="J4" s="85" t="s">
        <v>240</v>
      </c>
      <c r="K4" s="85" t="s">
        <v>241</v>
      </c>
      <c r="L4" s="2"/>
      <c r="M4" s="2"/>
      <c r="N4" s="2"/>
      <c r="O4" s="2"/>
      <c r="P4" s="2"/>
      <c r="Q4" s="2"/>
      <c r="R4" s="2"/>
      <c r="S4" s="2"/>
      <c r="T4" s="2"/>
      <c r="U4" s="2"/>
      <c r="V4" s="2"/>
      <c r="W4" s="2"/>
      <c r="X4" s="2"/>
      <c r="Y4" s="2"/>
      <c r="Z4" s="2"/>
    </row>
    <row r="5" ht="16.5" customHeight="1" spans="1:26" x14ac:dyDescent="0.25">
      <c r="A5" s="19" t="s">
        <v>242</v>
      </c>
      <c r="B5" s="19" t="s">
        <v>129</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243</v>
      </c>
      <c r="B6" s="21" t="s">
        <v>130</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244</v>
      </c>
      <c r="B7" s="19" t="s">
        <v>132</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245</v>
      </c>
      <c r="B8" s="21" t="s">
        <v>131</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246</v>
      </c>
      <c r="B9" s="19" t="s">
        <v>133</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247</v>
      </c>
      <c r="B10" s="21" t="s">
        <v>248</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249</v>
      </c>
      <c r="B11" s="19" t="s">
        <v>250</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251</v>
      </c>
      <c r="B12" s="21" t="s">
        <v>252</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254</v>
      </c>
      <c r="B15" s="69" t="s">
        <v>255</v>
      </c>
      <c r="C15" s="69" t="s">
        <v>137</v>
      </c>
      <c r="D15" s="69" t="s">
        <v>256</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136</v>
      </c>
      <c r="B16" s="26">
        <f>COUNTIF(K5:K12,"*CRITICAL*")</f>
        <v>0</v>
      </c>
      <c r="C16" s="20"/>
      <c r="D16" s="26" t="s">
        <v>257</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138</v>
      </c>
      <c r="B17" s="20">
        <f>COUNTIF(K5:K12,"*LOW*")</f>
        <v>0</v>
      </c>
      <c r="C17" s="20">
        <f t="array" ref="C17">IFERROR(_xlfn.TEXTJOIN(", ",TRUE,IF(K5:K12="🟡 LOW",A5:A12,"")),"None")</f>
      </c>
      <c r="D17" s="20" t="s">
        <v>258</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139</v>
      </c>
      <c r="B18" s="23">
        <f>COUNTIF(K5:K12,"*HEALTHY*")</f>
        <v>0</v>
      </c>
      <c r="C18" s="23"/>
      <c r="D18" s="23" t="s">
        <v>259</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140</v>
      </c>
      <c r="B19" s="60">
        <f>COUNTIF(K5:K12,"*OVERSTOCK*")</f>
        <v>0</v>
      </c>
      <c r="C19" s="60"/>
      <c r="D19" s="60" t="s">
        <v>260</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261</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262</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263</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264</v>
      </c>
      <c r="B4" s="85" t="s">
        <v>265</v>
      </c>
      <c r="C4" s="85" t="s">
        <v>266</v>
      </c>
      <c r="D4" s="85" t="s">
        <v>267</v>
      </c>
      <c r="E4" s="85" t="s">
        <v>268</v>
      </c>
      <c r="F4" s="85" t="s">
        <v>269</v>
      </c>
      <c r="G4" s="85" t="s">
        <v>270</v>
      </c>
      <c r="H4" s="85" t="s">
        <v>271</v>
      </c>
      <c r="I4" s="2"/>
      <c r="J4" s="2"/>
      <c r="K4" s="2"/>
      <c r="L4" s="2"/>
      <c r="M4" s="2"/>
      <c r="N4" s="2"/>
      <c r="O4" s="2"/>
      <c r="P4" s="2"/>
      <c r="Q4" s="2"/>
      <c r="R4" s="2"/>
      <c r="S4" s="2"/>
      <c r="T4" s="2"/>
      <c r="U4" s="2"/>
      <c r="V4" s="2"/>
      <c r="W4" s="2"/>
      <c r="X4" s="2"/>
      <c r="Y4" s="2"/>
      <c r="Z4" s="2"/>
    </row>
    <row r="5" ht="16.5" customHeight="1" spans="1:26" x14ac:dyDescent="0.25">
      <c r="A5" s="18" t="s">
        <v>129</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242</v>
      </c>
      <c r="B6" s="123" t="s">
        <v>201</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242</v>
      </c>
      <c r="B7" s="23" t="s">
        <v>272</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242</v>
      </c>
      <c r="B8" s="113" t="s">
        <v>273</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130</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243</v>
      </c>
      <c r="B10" s="123" t="s">
        <v>201</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243</v>
      </c>
      <c r="B11" s="23" t="s">
        <v>272</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243</v>
      </c>
      <c r="B12" s="113" t="s">
        <v>273</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132</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244</v>
      </c>
      <c r="B14" s="123" t="s">
        <v>201</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244</v>
      </c>
      <c r="B15" s="23" t="s">
        <v>272</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244</v>
      </c>
      <c r="B16" s="113" t="s">
        <v>273</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131</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245</v>
      </c>
      <c r="B18" s="123" t="s">
        <v>201</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245</v>
      </c>
      <c r="B19" s="23" t="s">
        <v>272</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245</v>
      </c>
      <c r="B20" s="113" t="s">
        <v>273</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133</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246</v>
      </c>
      <c r="B22" s="123" t="s">
        <v>201</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246</v>
      </c>
      <c r="B23" s="23" t="s">
        <v>272</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246</v>
      </c>
      <c r="B24" s="113" t="s">
        <v>273</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248</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247</v>
      </c>
      <c r="B26" s="123" t="s">
        <v>201</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247</v>
      </c>
      <c r="B27" s="23" t="s">
        <v>272</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247</v>
      </c>
      <c r="B28" s="113" t="s">
        <v>273</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250</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249</v>
      </c>
      <c r="B30" s="123" t="s">
        <v>201</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249</v>
      </c>
      <c r="B31" s="23" t="s">
        <v>272</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249</v>
      </c>
      <c r="B32" s="113" t="s">
        <v>273</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252</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251</v>
      </c>
      <c r="B34" s="123" t="s">
        <v>201</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251</v>
      </c>
      <c r="B35" s="23" t="s">
        <v>272</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251</v>
      </c>
      <c r="B36" s="113" t="s">
        <v>273</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274</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151</v>
      </c>
      <c r="B39" s="69" t="s">
        <v>201</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283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284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285</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115</v>
      </c>
      <c r="B5" s="18" t="s">
        <v>116</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119</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121</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122</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123</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286</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287</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288</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175</v>
      </c>
      <c r="B15" s="18" t="s">
        <v>116</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289</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290</v>
      </c>
      <c r="B25" s="18" t="s">
        <v>116</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129</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130</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131</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132</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133</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291</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275</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276</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277</v>
      </c>
      <c r="B4" s="85" t="s">
        <v>119</v>
      </c>
      <c r="C4" s="85" t="s">
        <v>215</v>
      </c>
      <c r="D4" s="85" t="s">
        <v>121</v>
      </c>
      <c r="E4" s="85" t="s">
        <v>122</v>
      </c>
      <c r="F4" s="85" t="s">
        <v>123</v>
      </c>
      <c r="G4" s="85" t="s">
        <v>216</v>
      </c>
      <c r="H4" s="85" t="s">
        <v>217</v>
      </c>
      <c r="I4" s="85" t="s">
        <v>218</v>
      </c>
      <c r="J4" s="85" t="s">
        <v>219</v>
      </c>
      <c r="K4" s="85" t="s">
        <v>220</v>
      </c>
      <c r="L4" s="85" t="s">
        <v>151</v>
      </c>
      <c r="M4" s="2"/>
      <c r="N4" s="2"/>
      <c r="O4" s="2"/>
      <c r="P4" s="2"/>
      <c r="Q4" s="2"/>
      <c r="R4" s="2"/>
      <c r="S4" s="2"/>
      <c r="T4" s="2"/>
      <c r="U4" s="2"/>
      <c r="V4" s="2"/>
      <c r="W4" s="2"/>
      <c r="X4" s="2"/>
      <c r="Y4" s="2"/>
      <c r="Z4" s="2"/>
    </row>
    <row r="5" ht="16.5" customHeight="1" spans="1:26" x14ac:dyDescent="0.25">
      <c r="A5" s="36" t="s">
        <v>116</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148</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117</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278</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279</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280</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112</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281</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282</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105</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106</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107</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108</v>
      </c>
      <c r="B5" s="41">
        <f>SUMIFS('Sales Transactions Raw Data'!V:V,'Sales Transactions Raw Data'!J:J,"Finished Goods")</f>
        <v>0</v>
      </c>
      <c r="C5" s="21" t="s">
        <v>109</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110</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111</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112</v>
      </c>
      <c r="B8" s="43" t="str">
        <f>IF(B5=0,"-",'Profitability Dashboard'!L13)</f>
        <v>-</v>
      </c>
      <c r="C8" s="21" t="s">
        <v>113</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114</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115</v>
      </c>
      <c r="B11" s="18" t="s">
        <v>116</v>
      </c>
      <c r="C11" s="18" t="s">
        <v>117</v>
      </c>
      <c r="D11" s="18" t="s">
        <v>118</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119</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120</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121</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122</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123</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124</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125</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126</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127</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128</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129</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130</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131</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132</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133</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134</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135</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136</v>
      </c>
      <c r="B31" s="57">
        <f>'Inventory &amp; MOS Analysis'!B16</f>
        <v>0</v>
      </c>
      <c r="C31" s="26" t="s">
        <v>137</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138</v>
      </c>
      <c r="B32" s="58">
        <f>'Inventory &amp; MOS Analysis'!B17</f>
        <v>0</v>
      </c>
      <c r="C32" s="20" t="s">
        <v>137</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139</v>
      </c>
      <c r="B33" s="59">
        <f>'Inventory &amp; MOS Analysis'!B18</f>
        <v>0</v>
      </c>
      <c r="C33" s="23" t="s">
        <v>137</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140</v>
      </c>
      <c r="B34" s="61">
        <f>'Inventory &amp; MOS Analysis'!B19</f>
        <v>0</v>
      </c>
      <c r="C34" s="60" t="s">
        <v>137</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141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142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143</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144</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145</v>
      </c>
      <c r="C6" s="18" t="s">
        <v>146</v>
      </c>
      <c r="D6" s="18" t="s">
        <v>147</v>
      </c>
      <c r="E6" s="18" t="s">
        <v>148</v>
      </c>
      <c r="F6" s="18" t="s">
        <v>6</v>
      </c>
      <c r="G6" s="2"/>
      <c r="H6" s="2"/>
      <c r="I6" s="2"/>
      <c r="J6" s="2"/>
      <c r="K6" s="2"/>
      <c r="L6" s="2"/>
      <c r="M6" s="2"/>
      <c r="N6" s="2"/>
      <c r="O6" s="2"/>
      <c r="P6" s="2"/>
      <c r="Q6" s="2"/>
      <c r="R6" s="2"/>
      <c r="S6" s="2"/>
      <c r="T6" s="2"/>
      <c r="U6" s="2"/>
      <c r="V6" s="2"/>
      <c r="W6" s="2"/>
      <c r="X6" s="2"/>
      <c r="Y6" s="2"/>
      <c r="Z6" s="2"/>
    </row>
    <row r="7" ht="16.5" customHeight="1" spans="1:26" x14ac:dyDescent="0.25">
      <c r="A7" s="23" t="s">
        <v>149</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150</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151</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152</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153</v>
      </c>
      <c r="B12" s="18" t="s">
        <v>154</v>
      </c>
      <c r="C12" s="18" t="s">
        <v>146</v>
      </c>
      <c r="D12" s="18" t="s">
        <v>147</v>
      </c>
      <c r="E12" s="18" t="s">
        <v>148</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155</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156</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157</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151</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158</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159</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160</v>
      </c>
      <c r="B21" s="18" t="s">
        <v>145</v>
      </c>
      <c r="C21" s="18" t="s">
        <v>161</v>
      </c>
      <c r="D21" s="18" t="s">
        <v>162</v>
      </c>
      <c r="E21" s="18" t="s">
        <v>163</v>
      </c>
      <c r="F21" s="18" t="s">
        <v>164</v>
      </c>
      <c r="G21" s="18" t="s">
        <v>82</v>
      </c>
      <c r="H21" s="2"/>
      <c r="I21" s="2"/>
      <c r="J21" s="2"/>
      <c r="K21" s="2"/>
      <c r="L21" s="2"/>
      <c r="M21" s="2"/>
      <c r="N21" s="2"/>
      <c r="O21" s="2"/>
      <c r="P21" s="2"/>
      <c r="Q21" s="2"/>
      <c r="R21" s="2"/>
      <c r="S21" s="2"/>
      <c r="T21" s="2"/>
      <c r="U21" s="2"/>
      <c r="V21" s="2"/>
      <c r="W21" s="2"/>
      <c r="X21" s="2"/>
      <c r="Y21" s="2"/>
      <c r="Z21" s="2"/>
    </row>
    <row r="22" ht="16.5" customHeight="1" spans="1:26" x14ac:dyDescent="0.25">
      <c r="A22" s="26" t="s">
        <v>165</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166</v>
      </c>
      <c r="G22" s="26" t="s">
        <v>167</v>
      </c>
      <c r="H22" s="2"/>
      <c r="I22" s="2"/>
      <c r="J22" s="2"/>
      <c r="K22" s="2"/>
      <c r="L22" s="2"/>
      <c r="M22" s="2"/>
      <c r="N22" s="2"/>
      <c r="O22" s="2"/>
      <c r="P22" s="2"/>
      <c r="Q22" s="2"/>
      <c r="R22" s="2"/>
      <c r="S22" s="2"/>
      <c r="T22" s="2"/>
      <c r="U22" s="2"/>
      <c r="V22" s="2"/>
      <c r="W22" s="2"/>
      <c r="X22" s="2"/>
      <c r="Y22" s="2"/>
      <c r="Z22" s="2"/>
    </row>
    <row r="23" ht="16.5" customHeight="1" spans="1:26" x14ac:dyDescent="0.25">
      <c r="A23" s="20" t="s">
        <v>168</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169</v>
      </c>
      <c r="G23" s="20" t="s">
        <v>170</v>
      </c>
      <c r="H23" s="2"/>
      <c r="I23" s="2"/>
      <c r="J23" s="2"/>
      <c r="K23" s="2"/>
      <c r="L23" s="2"/>
      <c r="M23" s="2"/>
      <c r="N23" s="2"/>
      <c r="O23" s="2"/>
      <c r="P23" s="2"/>
      <c r="Q23" s="2"/>
      <c r="R23" s="2"/>
      <c r="S23" s="2"/>
      <c r="T23" s="2"/>
      <c r="U23" s="2"/>
      <c r="V23" s="2"/>
      <c r="W23" s="2"/>
      <c r="X23" s="2"/>
      <c r="Y23" s="2"/>
      <c r="Z23" s="2"/>
    </row>
    <row r="24" ht="16.5" customHeight="1" spans="1:26" x14ac:dyDescent="0.25">
      <c r="A24" s="20" t="s">
        <v>171</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172</v>
      </c>
      <c r="G24" s="20" t="s">
        <v>173</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174</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175</v>
      </c>
      <c r="B28" s="18" t="s">
        <v>176</v>
      </c>
      <c r="C28" s="18" t="s">
        <v>177</v>
      </c>
      <c r="D28" s="18" t="s">
        <v>178</v>
      </c>
      <c r="E28" s="18" t="s">
        <v>179</v>
      </c>
      <c r="F28" s="18" t="s">
        <v>180</v>
      </c>
      <c r="G28" s="18" t="s">
        <v>116</v>
      </c>
      <c r="H28" s="18" t="s">
        <v>148</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151</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16.5" customHeight="1" spans="1:26" x14ac:dyDescent="0.25">
      <c r="A32" s="29">
        <v>1</v>
      </c>
      <c r="B32" s="29" t="s">
        <v>73</v>
      </c>
      <c r="C32" s="30" t="s">
        <v>74</v>
      </c>
      <c r="D32" s="30" t="s">
        <v>75</v>
      </c>
      <c r="E32" s="31" t="s">
        <v>76</v>
      </c>
      <c r="F32" s="29" t="s">
        <v>77</v>
      </c>
      <c r="G32" s="29" t="s">
        <v>78</v>
      </c>
      <c r="H32" s="29" t="s">
        <v>79</v>
      </c>
      <c r="I32" s="2"/>
      <c r="J32" s="2"/>
      <c r="K32" s="2"/>
      <c r="L32" s="2"/>
      <c r="M32" s="2"/>
      <c r="N32" s="2"/>
      <c r="O32" s="2"/>
      <c r="P32" s="2"/>
      <c r="Q32" s="2"/>
      <c r="R32" s="2"/>
      <c r="S32" s="2"/>
      <c r="T32" s="2"/>
      <c r="U32" s="2"/>
      <c r="V32" s="2"/>
      <c r="W32" s="2"/>
      <c r="X32" s="2"/>
      <c r="Y32" s="2"/>
      <c r="Z32" s="2"/>
    </row>
    <row r="33" ht="16.5" customHeight="1" spans="1:26" x14ac:dyDescent="0.25">
      <c r="A33" s="32"/>
      <c r="B33" s="32"/>
      <c r="C33" s="33"/>
      <c r="D33" s="33"/>
      <c r="E33" s="31"/>
      <c r="F33" s="32"/>
      <c r="G33" s="32"/>
      <c r="H33" s="32"/>
      <c r="I33" s="2"/>
      <c r="J33" s="2"/>
      <c r="K33" s="2"/>
      <c r="L33" s="2"/>
      <c r="M33" s="2"/>
      <c r="N33" s="2"/>
      <c r="O33" s="2"/>
      <c r="P33" s="2"/>
      <c r="Q33" s="2"/>
      <c r="R33" s="2"/>
      <c r="S33" s="2"/>
      <c r="T33" s="2"/>
      <c r="U33" s="2"/>
      <c r="V33" s="2"/>
      <c r="W33" s="2"/>
      <c r="X33" s="2"/>
      <c r="Y33" s="2"/>
      <c r="Z33" s="2"/>
    </row>
    <row r="34" ht="16.5" customHeight="1" spans="1:26" x14ac:dyDescent="0.25">
      <c r="A34" s="29"/>
      <c r="B34" s="29"/>
      <c r="C34" s="30"/>
      <c r="D34" s="30"/>
      <c r="E34" s="31"/>
      <c r="F34" s="29"/>
      <c r="G34" s="29"/>
      <c r="H34" s="29"/>
      <c r="I34" s="2"/>
      <c r="J34" s="2"/>
      <c r="K34" s="2"/>
      <c r="L34" s="2"/>
      <c r="M34" s="2"/>
      <c r="N34" s="2"/>
      <c r="O34" s="2"/>
      <c r="P34" s="2"/>
      <c r="Q34" s="2"/>
      <c r="R34" s="2"/>
      <c r="S34" s="2"/>
      <c r="T34" s="2"/>
      <c r="U34" s="2"/>
      <c r="V34" s="2"/>
      <c r="W34" s="2"/>
      <c r="X34" s="2"/>
      <c r="Y34" s="2"/>
      <c r="Z34" s="2"/>
    </row>
    <row r="35" ht="16.5" customHeight="1" spans="1:26" x14ac:dyDescent="0.25">
      <c r="A35" s="32"/>
      <c r="B35" s="32"/>
      <c r="C35" s="33"/>
      <c r="D35" s="33"/>
      <c r="E35" s="34"/>
      <c r="F35" s="32"/>
      <c r="G35" s="32"/>
      <c r="H35" s="32"/>
      <c r="I35" s="2"/>
      <c r="J35" s="2"/>
      <c r="K35" s="2"/>
      <c r="L35" s="2"/>
      <c r="M35" s="2"/>
      <c r="N35" s="2"/>
      <c r="O35" s="2"/>
      <c r="P35" s="2"/>
      <c r="Q35" s="2"/>
      <c r="R35" s="2"/>
      <c r="S35" s="2"/>
      <c r="T35" s="2"/>
      <c r="U35" s="2"/>
      <c r="V35" s="2"/>
      <c r="W35" s="2"/>
      <c r="X35" s="2"/>
      <c r="Y35" s="2"/>
      <c r="Z35" s="2"/>
    </row>
    <row r="36" ht="16.5" customHeight="1" spans="1:26" x14ac:dyDescent="0.25">
      <c r="A36" s="29"/>
      <c r="B36" s="29"/>
      <c r="C36" s="30"/>
      <c r="D36" s="30"/>
      <c r="E36" s="31"/>
      <c r="F36" s="29"/>
      <c r="G36" s="29"/>
      <c r="H36" s="29"/>
      <c r="I36" s="2"/>
      <c r="J36" s="2"/>
      <c r="K36" s="2"/>
      <c r="L36" s="2"/>
      <c r="M36" s="2"/>
      <c r="N36" s="2"/>
      <c r="O36" s="2"/>
      <c r="P36" s="2"/>
      <c r="Q36" s="2"/>
      <c r="R36" s="2"/>
      <c r="S36" s="2"/>
      <c r="T36" s="2"/>
      <c r="U36" s="2"/>
      <c r="V36" s="2"/>
      <c r="W36" s="2"/>
      <c r="X36" s="2"/>
      <c r="Y36" s="2"/>
      <c r="Z36" s="2"/>
    </row>
    <row r="37" ht="16.5" customHeight="1" spans="1:26" x14ac:dyDescent="0.25">
      <c r="A37" s="32"/>
      <c r="B37" s="32"/>
      <c r="C37" s="33"/>
      <c r="D37" s="33"/>
      <c r="E37" s="34"/>
      <c r="F37" s="32"/>
      <c r="G37" s="32"/>
      <c r="H37" s="32"/>
      <c r="I37" s="2"/>
      <c r="J37" s="2"/>
      <c r="K37" s="2"/>
      <c r="L37" s="2"/>
      <c r="M37" s="2"/>
      <c r="N37" s="2"/>
      <c r="O37" s="2"/>
      <c r="P37" s="2"/>
      <c r="Q37" s="2"/>
      <c r="R37" s="2"/>
      <c r="S37" s="2"/>
      <c r="T37" s="2"/>
      <c r="U37" s="2"/>
      <c r="V37" s="2"/>
      <c r="W37" s="2"/>
      <c r="X37" s="2"/>
      <c r="Y37" s="2"/>
      <c r="Z37" s="2"/>
    </row>
    <row r="38" ht="16.5" customHeight="1" spans="1:26" x14ac:dyDescent="0.25">
      <c r="A38" s="29"/>
      <c r="B38" s="29"/>
      <c r="C38" s="30"/>
      <c r="D38" s="30"/>
      <c r="E38" s="34"/>
      <c r="F38" s="29"/>
      <c r="G38" s="29"/>
      <c r="H38" s="29"/>
      <c r="I38" s="2"/>
      <c r="J38" s="2"/>
      <c r="K38" s="2"/>
      <c r="L38" s="2"/>
      <c r="M38" s="2"/>
      <c r="N38" s="2"/>
      <c r="O38" s="2"/>
      <c r="P38" s="2"/>
      <c r="Q38" s="2"/>
      <c r="R38" s="2"/>
      <c r="S38" s="2"/>
      <c r="T38" s="2"/>
      <c r="U38" s="2"/>
      <c r="V38" s="2"/>
      <c r="W38" s="2"/>
      <c r="X38" s="2"/>
      <c r="Y38" s="2"/>
      <c r="Z38" s="2"/>
    </row>
    <row r="39" ht="16.5" customHeight="1" spans="1:26" x14ac:dyDescent="0.25">
      <c r="A39" s="32"/>
      <c r="B39" s="32"/>
      <c r="C39" s="33"/>
      <c r="D39" s="33"/>
      <c r="E39" s="34"/>
      <c r="F39" s="32"/>
      <c r="G39" s="32"/>
      <c r="H39" s="32"/>
      <c r="I39" s="2"/>
      <c r="J39" s="2"/>
      <c r="K39" s="2"/>
      <c r="L39" s="2"/>
      <c r="M39" s="2"/>
      <c r="N39" s="2"/>
      <c r="O39" s="2"/>
      <c r="P39" s="2"/>
      <c r="Q39" s="2"/>
      <c r="R39" s="2"/>
      <c r="S39" s="2"/>
      <c r="T39" s="2"/>
      <c r="U39" s="2"/>
      <c r="V39" s="2"/>
      <c r="W39" s="2"/>
      <c r="X39" s="2"/>
      <c r="Y39" s="2"/>
      <c r="Z39" s="2"/>
    </row>
    <row r="40" ht="16.5" customHeight="1" spans="1:26" x14ac:dyDescent="0.25">
      <c r="A40" s="29"/>
      <c r="B40" s="29"/>
      <c r="C40" s="30"/>
      <c r="D40" s="30"/>
      <c r="E40" s="34"/>
      <c r="F40" s="29"/>
      <c r="G40" s="29"/>
      <c r="H40" s="29"/>
      <c r="I40" s="2"/>
      <c r="J40" s="2"/>
      <c r="K40" s="2"/>
      <c r="L40" s="2"/>
      <c r="M40" s="2"/>
      <c r="N40" s="2"/>
      <c r="O40" s="2"/>
      <c r="P40" s="2"/>
      <c r="Q40" s="2"/>
      <c r="R40" s="2"/>
      <c r="S40" s="2"/>
      <c r="T40" s="2"/>
      <c r="U40" s="2"/>
      <c r="V40" s="2"/>
      <c r="W40" s="2"/>
      <c r="X40" s="2"/>
      <c r="Y40" s="2"/>
      <c r="Z40" s="2"/>
    </row>
    <row r="41" ht="16.5" customHeight="1" spans="1:26" x14ac:dyDescent="0.25">
      <c r="A41" s="32"/>
      <c r="B41" s="32"/>
      <c r="C41" s="33"/>
      <c r="D41" s="33"/>
      <c r="E41" s="35"/>
      <c r="F41" s="32"/>
      <c r="G41" s="32"/>
      <c r="H41" s="32"/>
      <c r="I41" s="2"/>
      <c r="J41" s="2"/>
      <c r="K41" s="2"/>
      <c r="L41" s="2"/>
      <c r="M41" s="2"/>
      <c r="N41" s="2"/>
      <c r="O41" s="2"/>
      <c r="P41" s="2"/>
      <c r="Q41" s="2"/>
      <c r="R41" s="2"/>
      <c r="S41" s="2"/>
      <c r="T41" s="2"/>
      <c r="U41" s="2"/>
      <c r="V41" s="2"/>
      <c r="W41" s="2"/>
      <c r="X41" s="2"/>
      <c r="Y41" s="2"/>
      <c r="Z41" s="2"/>
    </row>
    <row r="42" ht="16.5" customHeight="1" spans="1:26" x14ac:dyDescent="0.25">
      <c r="A42" s="29"/>
      <c r="B42" s="29"/>
      <c r="C42" s="30"/>
      <c r="D42" s="30"/>
      <c r="E42" s="35"/>
      <c r="F42" s="29"/>
      <c r="G42" s="29"/>
      <c r="H42" s="29"/>
      <c r="I42" s="2"/>
      <c r="J42" s="2"/>
      <c r="K42" s="2"/>
      <c r="L42" s="2"/>
      <c r="M42" s="2"/>
      <c r="N42" s="2"/>
      <c r="O42" s="2"/>
      <c r="P42" s="2"/>
      <c r="Q42" s="2"/>
      <c r="R42" s="2"/>
      <c r="S42" s="2"/>
      <c r="T42" s="2"/>
      <c r="U42" s="2"/>
      <c r="V42" s="2"/>
      <c r="W42" s="2"/>
      <c r="X42" s="2"/>
      <c r="Y42" s="2"/>
      <c r="Z42" s="2"/>
    </row>
    <row r="43" ht="16.5" customHeight="1" spans="1:26" x14ac:dyDescent="0.25">
      <c r="A43" s="32"/>
      <c r="B43" s="32"/>
      <c r="C43" s="33"/>
      <c r="D43" s="33"/>
      <c r="E43" s="35"/>
      <c r="F43" s="32"/>
      <c r="G43" s="32"/>
      <c r="H43" s="3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80</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81</v>
      </c>
      <c r="B46" s="18" t="s">
        <v>82</v>
      </c>
      <c r="C46" s="18" t="s">
        <v>83</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84</v>
      </c>
      <c r="B47" s="19" t="s">
        <v>85</v>
      </c>
      <c r="C47" s="37" t="s">
        <v>86</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87</v>
      </c>
      <c r="B48" s="21" t="s">
        <v>88</v>
      </c>
      <c r="C48" s="38" t="s">
        <v>89</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90</v>
      </c>
      <c r="B49" s="19" t="s">
        <v>91</v>
      </c>
      <c r="C49" s="37" t="s">
        <v>92</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93</v>
      </c>
      <c r="B50" s="21" t="s">
        <v>94</v>
      </c>
      <c r="C50" s="38" t="s">
        <v>95</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96</v>
      </c>
      <c r="B51" s="19" t="s">
        <v>97</v>
      </c>
      <c r="C51" s="37" t="s">
        <v>98</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99</v>
      </c>
      <c r="B52" s="21" t="s">
        <v>100</v>
      </c>
      <c r="C52" s="38" t="s">
        <v>101</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102</v>
      </c>
      <c r="B53" s="19" t="s">
        <v>103</v>
      </c>
      <c r="C53" s="37" t="s">
        <v>104</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5" sqref="G15"/>
    </sheetView>
  </sheetViews>
  <sheetFormatPr defaultRowHeight="15" outlineLevelRow="0" outlineLevelCol="0" x14ac:dyDescent="0.25"/>
  <cols>
    <col min="1" max="1" width="14.85546875" customWidth="1"/>
    <col min="2" max="2" width="18.28515625" customWidth="1"/>
    <col min="3" max="3" width="13.140625"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292</v>
      </c>
      <c r="B3" s="2" t="s">
        <v>293</v>
      </c>
      <c r="C3" s="2"/>
      <c r="H3" s="2"/>
      <c r="I3" s="2"/>
      <c r="J3" s="2"/>
      <c r="K3" s="2"/>
      <c r="L3" s="2"/>
      <c r="M3" s="2"/>
      <c r="N3" s="2"/>
      <c r="O3" s="2"/>
      <c r="P3" s="2"/>
      <c r="Q3" s="2"/>
      <c r="R3" s="2"/>
      <c r="S3" s="2"/>
      <c r="T3" s="2"/>
      <c r="U3" s="2"/>
      <c r="V3" s="2"/>
      <c r="W3" s="2"/>
      <c r="X3" s="2"/>
      <c r="Y3" s="2"/>
      <c r="Z3" s="2"/>
    </row>
    <row r="4" ht="16.5" customHeight="1" spans="1:26" x14ac:dyDescent="0.25">
      <c r="A4" s="2" t="s">
        <v>294</v>
      </c>
      <c r="B4" s="2" t="s">
        <v>295</v>
      </c>
      <c r="C4" s="2" t="s">
        <v>296</v>
      </c>
      <c r="H4" s="2"/>
      <c r="I4" s="2"/>
      <c r="J4" s="2"/>
      <c r="K4" s="2"/>
      <c r="L4" s="2"/>
      <c r="M4" s="2"/>
      <c r="N4" s="2"/>
      <c r="O4" s="2"/>
      <c r="P4" s="2"/>
      <c r="Q4" s="2"/>
      <c r="R4" s="2"/>
      <c r="S4" s="2"/>
      <c r="T4" s="2"/>
      <c r="U4" s="2"/>
      <c r="V4" s="2"/>
      <c r="W4" s="2"/>
      <c r="X4" s="2"/>
      <c r="Y4" s="2"/>
      <c r="Z4" s="2"/>
    </row>
    <row r="5" ht="16.5" customHeight="1" spans="1:26" x14ac:dyDescent="0.25">
      <c r="A5" s="136" t="s">
        <v>295</v>
      </c>
      <c r="H5" s="2"/>
      <c r="I5" s="2"/>
      <c r="J5" s="2"/>
      <c r="K5" s="2"/>
      <c r="L5" s="2"/>
      <c r="M5" s="2"/>
      <c r="N5" s="2"/>
      <c r="O5" s="2"/>
      <c r="P5" s="2"/>
      <c r="Q5" s="2"/>
      <c r="R5" s="2"/>
      <c r="S5" s="2"/>
      <c r="T5" s="2"/>
      <c r="U5" s="2"/>
      <c r="V5" s="2"/>
      <c r="W5" s="2"/>
      <c r="X5" s="2"/>
      <c r="Y5" s="2"/>
      <c r="Z5" s="2"/>
    </row>
    <row r="6" ht="16.5" customHeight="1" spans="1:26" x14ac:dyDescent="0.25">
      <c r="A6" s="137" t="s">
        <v>295</v>
      </c>
      <c r="H6" s="2"/>
      <c r="I6" s="2"/>
      <c r="J6" s="2"/>
      <c r="K6" s="2"/>
      <c r="L6" s="2"/>
      <c r="M6" s="2"/>
      <c r="N6" s="2"/>
      <c r="O6" s="2"/>
      <c r="P6" s="2"/>
      <c r="Q6" s="2"/>
      <c r="R6" s="2"/>
      <c r="S6" s="2"/>
      <c r="T6" s="2"/>
      <c r="U6" s="2"/>
      <c r="V6" s="2"/>
      <c r="W6" s="2"/>
      <c r="X6" s="2"/>
      <c r="Y6" s="2"/>
      <c r="Z6" s="2"/>
    </row>
    <row r="7" ht="16.5" customHeight="1" spans="1:26" x14ac:dyDescent="0.25">
      <c r="A7" s="136" t="s">
        <v>296</v>
      </c>
      <c r="H7" s="2"/>
      <c r="I7" s="2"/>
      <c r="J7" s="2"/>
      <c r="K7" s="2"/>
      <c r="L7" s="2"/>
      <c r="M7" s="2"/>
      <c r="N7" s="2"/>
      <c r="O7" s="2"/>
      <c r="P7" s="2"/>
      <c r="Q7" s="2"/>
      <c r="R7" s="2"/>
      <c r="S7" s="2"/>
      <c r="T7" s="2"/>
      <c r="U7" s="2"/>
      <c r="V7" s="2"/>
      <c r="W7" s="2"/>
      <c r="X7" s="2"/>
      <c r="Y7" s="2"/>
      <c r="Z7" s="2"/>
    </row>
    <row r="8" ht="16.5" customHeight="1" spans="8:26" x14ac:dyDescent="0.25">
      <c r="H8" s="2"/>
      <c r="I8" s="2"/>
      <c r="J8" s="2"/>
      <c r="K8" s="2"/>
      <c r="L8" s="2"/>
      <c r="M8" s="2"/>
      <c r="N8" s="2"/>
      <c r="O8" s="2"/>
      <c r="P8" s="2"/>
      <c r="Q8" s="2"/>
      <c r="R8" s="2"/>
      <c r="S8" s="2"/>
      <c r="T8" s="2"/>
      <c r="U8" s="2"/>
      <c r="V8" s="2"/>
      <c r="W8" s="2"/>
      <c r="X8" s="2"/>
      <c r="Y8" s="2"/>
      <c r="Z8" s="2"/>
    </row>
    <row r="9" ht="16.5" customHeight="1" spans="8:26" x14ac:dyDescent="0.25">
      <c r="H9" s="2"/>
      <c r="I9" s="2"/>
      <c r="J9" s="2"/>
      <c r="K9" s="2"/>
      <c r="L9" s="2"/>
      <c r="M9" s="2"/>
      <c r="N9" s="2"/>
      <c r="O9" s="2"/>
      <c r="P9" s="2"/>
      <c r="Q9" s="2"/>
      <c r="R9" s="2"/>
      <c r="S9" s="2"/>
      <c r="T9" s="2"/>
      <c r="U9" s="2"/>
      <c r="V9" s="2"/>
      <c r="W9" s="2"/>
      <c r="X9" s="2"/>
      <c r="Y9" s="2"/>
      <c r="Z9" s="2"/>
    </row>
    <row r="10" ht="16.5" customHeight="1" spans="8:26" x14ac:dyDescent="0.25">
      <c r="H10" s="2"/>
      <c r="I10" s="2"/>
      <c r="J10" s="2"/>
      <c r="K10" s="2"/>
      <c r="L10" s="2"/>
      <c r="M10" s="2"/>
      <c r="N10" s="2"/>
      <c r="O10" s="2"/>
      <c r="P10" s="2"/>
      <c r="Q10" s="2"/>
      <c r="R10" s="2"/>
      <c r="S10" s="2"/>
      <c r="T10" s="2"/>
      <c r="U10" s="2"/>
      <c r="V10" s="2"/>
      <c r="W10" s="2"/>
      <c r="X10" s="2"/>
      <c r="Y10" s="2"/>
      <c r="Z10" s="2"/>
    </row>
    <row r="11" ht="16.5" customHeight="1" spans="8:26" x14ac:dyDescent="0.25">
      <c r="H11" s="2"/>
      <c r="I11" s="2"/>
      <c r="J11" s="2"/>
      <c r="K11" s="2"/>
      <c r="L11" s="2"/>
      <c r="M11" s="2"/>
      <c r="N11" s="2"/>
      <c r="O11" s="2"/>
      <c r="P11" s="2"/>
      <c r="Q11" s="2"/>
      <c r="R11" s="2"/>
      <c r="S11" s="2"/>
      <c r="T11" s="2"/>
      <c r="U11" s="2"/>
      <c r="V11" s="2"/>
      <c r="W11" s="2"/>
      <c r="X11" s="2"/>
      <c r="Y11" s="2"/>
      <c r="Z11" s="2"/>
    </row>
    <row r="12" ht="16.5" customHeight="1" spans="8:26" x14ac:dyDescent="0.25">
      <c r="H12" s="2"/>
      <c r="I12" s="2"/>
      <c r="J12" s="2"/>
      <c r="K12" s="2"/>
      <c r="L12" s="2"/>
      <c r="M12" s="2"/>
      <c r="N12" s="2"/>
      <c r="O12" s="2"/>
      <c r="P12" s="2"/>
      <c r="Q12" s="2"/>
      <c r="R12" s="2"/>
      <c r="S12" s="2"/>
      <c r="T12" s="2"/>
      <c r="U12" s="2"/>
      <c r="V12" s="2"/>
      <c r="W12" s="2"/>
      <c r="X12" s="2"/>
      <c r="Y12" s="2"/>
      <c r="Z12" s="2"/>
    </row>
    <row r="13" ht="16.5" customHeight="1" spans="8:26" x14ac:dyDescent="0.25">
      <c r="H13" s="2"/>
      <c r="I13" s="2"/>
      <c r="J13" s="2"/>
      <c r="K13" s="2"/>
      <c r="L13" s="2"/>
      <c r="M13" s="2"/>
      <c r="N13" s="2"/>
      <c r="O13" s="2"/>
      <c r="P13" s="2"/>
      <c r="Q13" s="2"/>
      <c r="R13" s="2"/>
      <c r="S13" s="2"/>
      <c r="T13" s="2"/>
      <c r="U13" s="2"/>
      <c r="V13" s="2"/>
      <c r="W13" s="2"/>
      <c r="X13" s="2"/>
      <c r="Y13" s="2"/>
      <c r="Z13" s="2"/>
    </row>
    <row r="14" ht="16.5" customHeight="1" spans="8:26" x14ac:dyDescent="0.25">
      <c r="H14" s="2"/>
      <c r="I14" s="2"/>
      <c r="J14" s="2"/>
      <c r="K14" s="2"/>
      <c r="L14" s="2"/>
      <c r="M14" s="2"/>
      <c r="N14" s="2"/>
      <c r="O14" s="2"/>
      <c r="P14" s="2"/>
      <c r="Q14" s="2"/>
      <c r="R14" s="2"/>
      <c r="S14" s="2"/>
      <c r="T14" s="2"/>
      <c r="U14" s="2"/>
      <c r="V14" s="2"/>
      <c r="W14" s="2"/>
      <c r="X14" s="2"/>
      <c r="Y14" s="2"/>
      <c r="Z14" s="2"/>
    </row>
    <row r="15" ht="16.5" customHeight="1" spans="8:26" x14ac:dyDescent="0.25">
      <c r="H15" s="2"/>
      <c r="I15" s="2"/>
      <c r="J15" s="2"/>
      <c r="K15" s="2"/>
      <c r="L15" s="2"/>
      <c r="M15" s="2"/>
      <c r="N15" s="2"/>
      <c r="O15" s="2"/>
      <c r="P15" s="2"/>
      <c r="Q15" s="2"/>
      <c r="R15" s="2"/>
      <c r="S15" s="2"/>
      <c r="T15" s="2"/>
      <c r="U15" s="2"/>
      <c r="V15" s="2"/>
      <c r="W15" s="2"/>
      <c r="X15" s="2"/>
      <c r="Y15" s="2"/>
      <c r="Z15" s="2"/>
    </row>
    <row r="16" ht="16.5" customHeight="1" spans="8:26" x14ac:dyDescent="0.25">
      <c r="H16" s="2"/>
      <c r="I16" s="2"/>
      <c r="J16" s="2"/>
      <c r="K16" s="2"/>
      <c r="L16" s="2"/>
      <c r="M16" s="2"/>
      <c r="N16" s="2"/>
      <c r="O16" s="2"/>
      <c r="P16" s="2"/>
      <c r="Q16" s="2"/>
      <c r="R16" s="2"/>
      <c r="S16" s="2"/>
      <c r="T16" s="2"/>
      <c r="U16" s="2"/>
      <c r="V16" s="2"/>
      <c r="W16" s="2"/>
      <c r="X16" s="2"/>
      <c r="Y16" s="2"/>
      <c r="Z16" s="2"/>
    </row>
    <row r="17" ht="16.5" customHeight="1" spans="8:26" x14ac:dyDescent="0.25">
      <c r="H17" s="2"/>
      <c r="I17" s="2"/>
      <c r="J17" s="2"/>
      <c r="K17" s="2"/>
      <c r="L17" s="2"/>
      <c r="M17" s="2"/>
      <c r="N17" s="2"/>
      <c r="O17" s="2"/>
      <c r="P17" s="2"/>
      <c r="Q17" s="2"/>
      <c r="R17" s="2"/>
      <c r="S17" s="2"/>
      <c r="T17" s="2"/>
      <c r="U17" s="2"/>
      <c r="V17" s="2"/>
      <c r="W17" s="2"/>
      <c r="X17" s="2"/>
      <c r="Y17" s="2"/>
      <c r="Z17" s="2"/>
    </row>
    <row r="18" ht="16.5" customHeight="1" spans="8:26" x14ac:dyDescent="0.25">
      <c r="H18" s="2"/>
      <c r="I18" s="2"/>
      <c r="J18" s="2"/>
      <c r="K18" s="2"/>
      <c r="L18" s="2"/>
      <c r="M18" s="2"/>
      <c r="N18" s="2"/>
      <c r="O18" s="2"/>
      <c r="P18" s="2"/>
      <c r="Q18" s="2"/>
      <c r="R18" s="2"/>
      <c r="S18" s="2"/>
      <c r="T18" s="2"/>
      <c r="U18" s="2"/>
      <c r="V18" s="2"/>
      <c r="W18" s="2"/>
      <c r="X18" s="2"/>
      <c r="Y18" s="2"/>
      <c r="Z18" s="2"/>
    </row>
    <row r="19" ht="16.5" customHeight="1" spans="8:26" x14ac:dyDescent="0.25">
      <c r="H19" s="2"/>
      <c r="I19" s="2"/>
      <c r="J19" s="2"/>
      <c r="K19" s="2"/>
      <c r="L19" s="2"/>
      <c r="M19" s="2"/>
      <c r="N19" s="2"/>
      <c r="O19" s="2"/>
      <c r="P19" s="2"/>
      <c r="Q19" s="2"/>
      <c r="R19" s="2"/>
      <c r="S19" s="2"/>
      <c r="T19" s="2"/>
      <c r="U19" s="2"/>
      <c r="V19" s="2"/>
      <c r="W19" s="2"/>
      <c r="X19" s="2"/>
      <c r="Y19" s="2"/>
      <c r="Z19" s="2"/>
    </row>
    <row r="20" ht="16.5" customHeight="1" spans="8:26" x14ac:dyDescent="0.25">
      <c r="H20" s="2"/>
      <c r="I20" s="2"/>
      <c r="J20" s="2"/>
      <c r="K20" s="2"/>
      <c r="L20" s="2"/>
      <c r="M20" s="2"/>
      <c r="N20" s="2"/>
      <c r="O20" s="2"/>
      <c r="P20" s="2"/>
      <c r="Q20" s="2"/>
      <c r="R20" s="2"/>
      <c r="S20" s="2"/>
      <c r="T20" s="2"/>
      <c r="U20" s="2"/>
      <c r="V20" s="2"/>
      <c r="W20" s="2"/>
      <c r="X20" s="2"/>
      <c r="Y20" s="2"/>
      <c r="Z20" s="2"/>
    </row>
    <row r="21" ht="16.5" customHeight="1" spans="8:26" x14ac:dyDescent="0.25">
      <c r="H21" s="2"/>
      <c r="I21" s="2"/>
      <c r="J21" s="2"/>
      <c r="K21" s="2"/>
      <c r="L21" s="2"/>
      <c r="M21" s="2"/>
      <c r="N21" s="2"/>
      <c r="O21" s="2"/>
      <c r="P21" s="2"/>
      <c r="Q21" s="2"/>
      <c r="R21" s="2"/>
      <c r="S21" s="2"/>
      <c r="T21" s="2"/>
      <c r="U21" s="2"/>
      <c r="V21" s="2"/>
      <c r="W21" s="2"/>
      <c r="X21" s="2"/>
      <c r="Y21" s="2"/>
      <c r="Z21" s="2"/>
    </row>
    <row r="22" ht="16.5" customHeight="1" spans="8:26" x14ac:dyDescent="0.25">
      <c r="H22" s="2"/>
      <c r="I22" s="2"/>
      <c r="J22" s="2"/>
      <c r="K22" s="2"/>
      <c r="L22" s="2"/>
      <c r="M22" s="2"/>
      <c r="N22" s="2"/>
      <c r="O22" s="2"/>
      <c r="P22" s="2"/>
      <c r="Q22" s="2"/>
      <c r="R22" s="2"/>
      <c r="S22" s="2"/>
      <c r="T22" s="2"/>
      <c r="U22" s="2"/>
      <c r="V22" s="2"/>
      <c r="W22" s="2"/>
      <c r="X22" s="2"/>
      <c r="Y22" s="2"/>
      <c r="Z22" s="2"/>
    </row>
    <row r="23" ht="16.5" customHeight="1" spans="8:26" x14ac:dyDescent="0.25">
      <c r="H23" s="2"/>
      <c r="I23" s="2"/>
      <c r="J23" s="2"/>
      <c r="K23" s="2"/>
      <c r="L23" s="2"/>
      <c r="M23" s="2"/>
      <c r="N23" s="2"/>
      <c r="O23" s="2"/>
      <c r="P23" s="2"/>
      <c r="Q23" s="2"/>
      <c r="R23" s="2"/>
      <c r="S23" s="2"/>
      <c r="T23" s="2"/>
      <c r="U23" s="2"/>
      <c r="V23" s="2"/>
      <c r="W23" s="2"/>
      <c r="X23" s="2"/>
      <c r="Y23" s="2"/>
      <c r="Z23" s="2"/>
    </row>
    <row r="24" ht="16.5" customHeight="1" spans="8:26" x14ac:dyDescent="0.25">
      <c r="H24" s="2"/>
      <c r="I24" s="2"/>
      <c r="J24" s="2"/>
      <c r="K24" s="2"/>
      <c r="L24" s="2"/>
      <c r="M24" s="2"/>
      <c r="N24" s="2"/>
      <c r="O24" s="2"/>
      <c r="P24" s="2"/>
      <c r="Q24" s="2"/>
      <c r="R24" s="2"/>
      <c r="S24" s="2"/>
      <c r="T24" s="2"/>
      <c r="U24" s="2"/>
      <c r="V24" s="2"/>
      <c r="W24" s="2"/>
      <c r="X24" s="2"/>
      <c r="Y24" s="2"/>
      <c r="Z24" s="2"/>
    </row>
    <row r="25" ht="16.5" customHeight="1" spans="8:26" x14ac:dyDescent="0.25">
      <c r="H25" s="2"/>
      <c r="I25" s="2"/>
      <c r="J25" s="2"/>
      <c r="K25" s="2"/>
      <c r="L25" s="2"/>
      <c r="M25" s="2"/>
      <c r="N25" s="2"/>
      <c r="O25" s="2"/>
      <c r="P25" s="2"/>
      <c r="Q25" s="2"/>
      <c r="R25" s="2"/>
      <c r="S25" s="2"/>
      <c r="T25" s="2"/>
      <c r="U25" s="2"/>
      <c r="V25" s="2"/>
      <c r="W25" s="2"/>
      <c r="X25" s="2"/>
      <c r="Y25" s="2"/>
      <c r="Z25" s="2"/>
    </row>
    <row r="26" ht="16.5" customHeight="1" spans="8:26" x14ac:dyDescent="0.25">
      <c r="H26" s="2"/>
      <c r="I26" s="2"/>
      <c r="J26" s="2"/>
      <c r="K26" s="2"/>
      <c r="L26" s="2"/>
      <c r="M26" s="2"/>
      <c r="N26" s="2"/>
      <c r="O26" s="2"/>
      <c r="P26" s="2"/>
      <c r="Q26" s="2"/>
      <c r="R26" s="2"/>
      <c r="S26" s="2"/>
      <c r="T26" s="2"/>
      <c r="U26" s="2"/>
      <c r="V26" s="2"/>
      <c r="W26" s="2"/>
      <c r="X26" s="2"/>
      <c r="Y26" s="2"/>
      <c r="Z26" s="2"/>
    </row>
    <row r="27" ht="16.5" customHeight="1" spans="8:26" x14ac:dyDescent="0.25">
      <c r="H27" s="2"/>
      <c r="I27" s="2"/>
      <c r="J27" s="2"/>
      <c r="K27" s="2"/>
      <c r="L27" s="2"/>
      <c r="M27" s="2"/>
      <c r="N27" s="2"/>
      <c r="O27" s="2"/>
      <c r="P27" s="2"/>
      <c r="Q27" s="2"/>
      <c r="R27" s="2"/>
      <c r="S27" s="2"/>
      <c r="T27" s="2"/>
      <c r="U27" s="2"/>
      <c r="V27" s="2"/>
      <c r="W27" s="2"/>
      <c r="X27" s="2"/>
      <c r="Y27" s="2"/>
      <c r="Z27" s="2"/>
    </row>
    <row r="28" ht="16.5" customHeight="1" spans="8:26" x14ac:dyDescent="0.25">
      <c r="H28" s="2"/>
      <c r="I28" s="2"/>
      <c r="J28" s="2"/>
      <c r="K28" s="2"/>
      <c r="L28" s="2"/>
      <c r="M28" s="2"/>
      <c r="N28" s="2"/>
      <c r="O28" s="2"/>
      <c r="P28" s="2"/>
      <c r="Q28" s="2"/>
      <c r="R28" s="2"/>
      <c r="S28" s="2"/>
      <c r="T28" s="2"/>
      <c r="U28" s="2"/>
      <c r="V28" s="2"/>
      <c r="W28" s="2"/>
      <c r="X28" s="2"/>
      <c r="Y28" s="2"/>
      <c r="Z28" s="2"/>
    </row>
    <row r="29" ht="16.5" customHeight="1" spans="8:26" x14ac:dyDescent="0.25">
      <c r="H29" s="2"/>
      <c r="I29" s="2"/>
      <c r="J29" s="2"/>
      <c r="K29" s="2"/>
      <c r="L29" s="2"/>
      <c r="M29" s="2"/>
      <c r="N29" s="2"/>
      <c r="O29" s="2"/>
      <c r="P29" s="2"/>
      <c r="Q29" s="2"/>
      <c r="R29" s="2"/>
      <c r="S29" s="2"/>
      <c r="T29" s="2"/>
      <c r="U29" s="2"/>
      <c r="V29" s="2"/>
      <c r="W29" s="2"/>
      <c r="X29" s="2"/>
      <c r="Y29" s="2"/>
      <c r="Z29" s="2"/>
    </row>
    <row r="30" ht="16.5" customHeight="1" spans="8:26" x14ac:dyDescent="0.25">
      <c r="H30" s="2"/>
      <c r="I30" s="2"/>
      <c r="J30" s="2"/>
      <c r="K30" s="2"/>
      <c r="L30" s="2"/>
      <c r="M30" s="2"/>
      <c r="N30" s="2"/>
      <c r="O30" s="2"/>
      <c r="P30" s="2"/>
      <c r="Q30" s="2"/>
      <c r="R30" s="2"/>
      <c r="S30" s="2"/>
      <c r="T30" s="2"/>
      <c r="U30" s="2"/>
      <c r="V30" s="2"/>
      <c r="W30" s="2"/>
      <c r="X30" s="2"/>
      <c r="Y30" s="2"/>
      <c r="Z30" s="2"/>
    </row>
    <row r="31" ht="16.5" customHeight="1" spans="8:26" x14ac:dyDescent="0.25">
      <c r="H31" s="2"/>
      <c r="I31" s="2"/>
      <c r="J31" s="2"/>
      <c r="K31" s="2"/>
      <c r="L31" s="2"/>
      <c r="M31" s="2"/>
      <c r="N31" s="2"/>
      <c r="O31" s="2"/>
      <c r="P31" s="2"/>
      <c r="Q31" s="2"/>
      <c r="R31" s="2"/>
      <c r="S31" s="2"/>
      <c r="T31" s="2"/>
      <c r="U31" s="2"/>
      <c r="V31" s="2"/>
      <c r="W31" s="2"/>
      <c r="X31" s="2"/>
      <c r="Y31" s="2"/>
      <c r="Z31" s="2"/>
    </row>
    <row r="32" ht="16.5" customHeight="1" spans="8:26" x14ac:dyDescent="0.25">
      <c r="H32" s="2"/>
      <c r="I32" s="2"/>
      <c r="J32" s="2"/>
      <c r="K32" s="2"/>
      <c r="L32" s="2"/>
      <c r="M32" s="2"/>
      <c r="N32" s="2"/>
      <c r="O32" s="2"/>
      <c r="P32" s="2"/>
      <c r="Q32" s="2"/>
      <c r="R32" s="2"/>
      <c r="S32" s="2"/>
      <c r="T32" s="2"/>
      <c r="U32" s="2"/>
      <c r="V32" s="2"/>
      <c r="W32" s="2"/>
      <c r="X32" s="2"/>
      <c r="Y32" s="2"/>
      <c r="Z32" s="2"/>
    </row>
    <row r="33" ht="16.5" customHeight="1" spans="8:26" x14ac:dyDescent="0.25">
      <c r="H33" s="2"/>
      <c r="I33" s="2"/>
      <c r="J33" s="2"/>
      <c r="K33" s="2"/>
      <c r="L33" s="2"/>
      <c r="M33" s="2"/>
      <c r="N33" s="2"/>
      <c r="O33" s="2"/>
      <c r="P33" s="2"/>
      <c r="Q33" s="2"/>
      <c r="R33" s="2"/>
      <c r="S33" s="2"/>
      <c r="T33" s="2"/>
      <c r="U33" s="2"/>
      <c r="V33" s="2"/>
      <c r="W33" s="2"/>
      <c r="X33" s="2"/>
      <c r="Y33" s="2"/>
      <c r="Z33" s="2"/>
    </row>
    <row r="34" ht="16.5" customHeight="1" spans="8:26" x14ac:dyDescent="0.25">
      <c r="H34" s="2"/>
      <c r="I34" s="2"/>
      <c r="J34" s="2"/>
      <c r="K34" s="2"/>
      <c r="L34" s="2"/>
      <c r="M34" s="2"/>
      <c r="N34" s="2"/>
      <c r="O34" s="2"/>
      <c r="P34" s="2"/>
      <c r="Q34" s="2"/>
      <c r="R34" s="2"/>
      <c r="S34" s="2"/>
      <c r="T34" s="2"/>
      <c r="U34" s="2"/>
      <c r="V34" s="2"/>
      <c r="W34" s="2"/>
      <c r="X34" s="2"/>
      <c r="Y34" s="2"/>
      <c r="Z34" s="2"/>
    </row>
    <row r="35" ht="16.5" customHeight="1" spans="8:26" x14ac:dyDescent="0.25">
      <c r="H35" s="2"/>
      <c r="I35" s="2"/>
      <c r="J35" s="2"/>
      <c r="K35" s="2"/>
      <c r="L35" s="2"/>
      <c r="M35" s="2"/>
      <c r="N35" s="2"/>
      <c r="O35" s="2"/>
      <c r="P35" s="2"/>
      <c r="Q35" s="2"/>
      <c r="R35" s="2"/>
      <c r="S35" s="2"/>
      <c r="T35" s="2"/>
      <c r="U35" s="2"/>
      <c r="V35" s="2"/>
      <c r="W35" s="2"/>
      <c r="X35" s="2"/>
      <c r="Y35" s="2"/>
      <c r="Z35" s="2"/>
    </row>
    <row r="36" ht="16.5" customHeight="1" spans="8:26" x14ac:dyDescent="0.25">
      <c r="H36" s="2"/>
      <c r="I36" s="2"/>
      <c r="J36" s="2"/>
      <c r="K36" s="2"/>
      <c r="L36" s="2"/>
      <c r="M36" s="2"/>
      <c r="N36" s="2"/>
      <c r="O36" s="2"/>
      <c r="P36" s="2"/>
      <c r="Q36" s="2"/>
      <c r="R36" s="2"/>
      <c r="S36" s="2"/>
      <c r="T36" s="2"/>
      <c r="U36" s="2"/>
      <c r="V36" s="2"/>
      <c r="W36" s="2"/>
      <c r="X36" s="2"/>
      <c r="Y36" s="2"/>
      <c r="Z36" s="2"/>
    </row>
    <row r="37" ht="16.5" customHeight="1" spans="8:26" x14ac:dyDescent="0.25">
      <c r="H37" s="2"/>
      <c r="I37" s="2"/>
      <c r="J37" s="2"/>
      <c r="K37" s="2"/>
      <c r="L37" s="2"/>
      <c r="M37" s="2"/>
      <c r="N37" s="2"/>
      <c r="O37" s="2"/>
      <c r="P37" s="2"/>
      <c r="Q37" s="2"/>
      <c r="R37" s="2"/>
      <c r="S37" s="2"/>
      <c r="T37" s="2"/>
      <c r="U37" s="2"/>
      <c r="V37" s="2"/>
      <c r="W37" s="2"/>
      <c r="X37" s="2"/>
      <c r="Y37" s="2"/>
      <c r="Z37" s="2"/>
    </row>
    <row r="38" ht="16.5" customHeight="1" spans="8:26" x14ac:dyDescent="0.25">
      <c r="H38" s="2"/>
      <c r="I38" s="2"/>
      <c r="J38" s="2"/>
      <c r="K38" s="2"/>
      <c r="L38" s="2"/>
      <c r="M38" s="2"/>
      <c r="N38" s="2"/>
      <c r="O38" s="2"/>
      <c r="P38" s="2"/>
      <c r="Q38" s="2"/>
      <c r="R38" s="2"/>
      <c r="S38" s="2"/>
      <c r="T38" s="2"/>
      <c r="U38" s="2"/>
      <c r="V38" s="2"/>
      <c r="W38" s="2"/>
      <c r="X38" s="2"/>
      <c r="Y38" s="2"/>
      <c r="Z38" s="2"/>
    </row>
    <row r="39" ht="16.5" customHeight="1" spans="8:26" x14ac:dyDescent="0.25">
      <c r="H39" s="2"/>
      <c r="I39" s="2"/>
      <c r="J39" s="2"/>
      <c r="K39" s="2"/>
      <c r="L39" s="2"/>
      <c r="M39" s="2"/>
      <c r="N39" s="2"/>
      <c r="O39" s="2"/>
      <c r="P39" s="2"/>
      <c r="Q39" s="2"/>
      <c r="R39" s="2"/>
      <c r="S39" s="2"/>
      <c r="T39" s="2"/>
      <c r="U39" s="2"/>
      <c r="V39" s="2"/>
      <c r="W39" s="2"/>
      <c r="X39" s="2"/>
      <c r="Y39" s="2"/>
      <c r="Z39" s="2"/>
    </row>
    <row r="40" ht="16.5" customHeight="1" spans="8:26" x14ac:dyDescent="0.25">
      <c r="H40" s="2"/>
      <c r="I40" s="2"/>
      <c r="J40" s="2"/>
      <c r="K40" s="2"/>
      <c r="L40" s="2"/>
      <c r="M40" s="2"/>
      <c r="N40" s="2"/>
      <c r="O40" s="2"/>
      <c r="P40" s="2"/>
      <c r="Q40" s="2"/>
      <c r="R40" s="2"/>
      <c r="S40" s="2"/>
      <c r="T40" s="2"/>
      <c r="U40" s="2"/>
      <c r="V40" s="2"/>
      <c r="W40" s="2"/>
      <c r="X40" s="2"/>
      <c r="Y40" s="2"/>
      <c r="Z40" s="2"/>
    </row>
    <row r="41" ht="16.5" customHeight="1" spans="8:26" x14ac:dyDescent="0.25">
      <c r="H41" s="2"/>
      <c r="I41" s="2"/>
      <c r="J41" s="2"/>
      <c r="K41" s="2"/>
      <c r="L41" s="2"/>
      <c r="M41" s="2"/>
      <c r="N41" s="2"/>
      <c r="O41" s="2"/>
      <c r="P41" s="2"/>
      <c r="Q41" s="2"/>
      <c r="R41" s="2"/>
      <c r="S41" s="2"/>
      <c r="T41" s="2"/>
      <c r="U41" s="2"/>
      <c r="V41" s="2"/>
      <c r="W41" s="2"/>
      <c r="X41" s="2"/>
      <c r="Y41" s="2"/>
      <c r="Z41" s="2"/>
    </row>
    <row r="42" ht="16.5" customHeight="1" spans="8:26" x14ac:dyDescent="0.25">
      <c r="H42" s="2"/>
      <c r="I42" s="2"/>
      <c r="J42" s="2"/>
      <c r="K42" s="2"/>
      <c r="L42" s="2"/>
      <c r="M42" s="2"/>
      <c r="N42" s="2"/>
      <c r="O42" s="2"/>
      <c r="P42" s="2"/>
      <c r="Q42" s="2"/>
      <c r="R42" s="2"/>
      <c r="S42" s="2"/>
      <c r="T42" s="2"/>
      <c r="U42" s="2"/>
      <c r="V42" s="2"/>
      <c r="W42" s="2"/>
      <c r="X42" s="2"/>
      <c r="Y42" s="2"/>
      <c r="Z42" s="2"/>
    </row>
    <row r="43" ht="16.5" customHeight="1" spans="8:26" x14ac:dyDescent="0.25">
      <c r="H43" s="2"/>
      <c r="I43" s="2"/>
      <c r="J43" s="2"/>
      <c r="K43" s="2"/>
      <c r="L43" s="2"/>
      <c r="M43" s="2"/>
      <c r="N43" s="2"/>
      <c r="O43" s="2"/>
      <c r="P43" s="2"/>
      <c r="Q43" s="2"/>
      <c r="R43" s="2"/>
      <c r="S43" s="2"/>
      <c r="T43" s="2"/>
      <c r="U43" s="2"/>
      <c r="V43" s="2"/>
      <c r="W43" s="2"/>
      <c r="X43" s="2"/>
      <c r="Y43" s="2"/>
      <c r="Z43" s="2"/>
    </row>
    <row r="44" ht="16.5" customHeight="1" spans="8:26" x14ac:dyDescent="0.25">
      <c r="H44" s="2"/>
      <c r="I44" s="2"/>
      <c r="J44" s="2"/>
      <c r="K44" s="2"/>
      <c r="L44" s="2"/>
      <c r="M44" s="2"/>
      <c r="N44" s="2"/>
      <c r="O44" s="2"/>
      <c r="P44" s="2"/>
      <c r="Q44" s="2"/>
      <c r="R44" s="2"/>
      <c r="S44" s="2"/>
      <c r="T44" s="2"/>
      <c r="U44" s="2"/>
      <c r="V44" s="2"/>
      <c r="W44" s="2"/>
      <c r="X44" s="2"/>
      <c r="Y44" s="2"/>
      <c r="Z44" s="2"/>
    </row>
    <row r="45" ht="16.5" customHeight="1" spans="8:26" x14ac:dyDescent="0.25">
      <c r="H45" s="2"/>
      <c r="I45" s="2"/>
      <c r="J45" s="2"/>
      <c r="K45" s="2"/>
      <c r="L45" s="2"/>
      <c r="M45" s="2"/>
      <c r="N45" s="2"/>
      <c r="O45" s="2"/>
      <c r="P45" s="2"/>
      <c r="Q45" s="2"/>
      <c r="R45" s="2"/>
      <c r="S45" s="2"/>
      <c r="T45" s="2"/>
      <c r="U45" s="2"/>
      <c r="V45" s="2"/>
      <c r="W45" s="2"/>
      <c r="X45" s="2"/>
      <c r="Y45" s="2"/>
      <c r="Z45" s="2"/>
    </row>
    <row r="46" ht="16.5" customHeight="1" spans="8:26" x14ac:dyDescent="0.25">
      <c r="H46" s="2"/>
      <c r="I46" s="2"/>
      <c r="J46" s="2"/>
      <c r="K46" s="2"/>
      <c r="L46" s="2"/>
      <c r="M46" s="2"/>
      <c r="N46" s="2"/>
      <c r="O46" s="2"/>
      <c r="P46" s="2"/>
      <c r="Q46" s="2"/>
      <c r="R46" s="2"/>
      <c r="S46" s="2"/>
      <c r="T46" s="2"/>
      <c r="U46" s="2"/>
      <c r="V46" s="2"/>
      <c r="W46" s="2"/>
      <c r="X46" s="2"/>
      <c r="Y46" s="2"/>
      <c r="Z46" s="2"/>
    </row>
    <row r="47" ht="16.5" customHeight="1" spans="8:26" x14ac:dyDescent="0.25">
      <c r="H47" s="2"/>
      <c r="I47" s="2"/>
      <c r="J47" s="2"/>
      <c r="K47" s="2"/>
      <c r="L47" s="2"/>
      <c r="M47" s="2"/>
      <c r="N47" s="2"/>
      <c r="O47" s="2"/>
      <c r="P47" s="2"/>
      <c r="Q47" s="2"/>
      <c r="R47" s="2"/>
      <c r="S47" s="2"/>
      <c r="T47" s="2"/>
      <c r="U47" s="2"/>
      <c r="V47" s="2"/>
      <c r="W47" s="2"/>
      <c r="X47" s="2"/>
      <c r="Y47" s="2"/>
      <c r="Z47" s="2"/>
    </row>
    <row r="48" ht="16.5" customHeight="1" spans="8:26" x14ac:dyDescent="0.25">
      <c r="H48" s="2"/>
      <c r="I48" s="2"/>
      <c r="J48" s="2"/>
      <c r="K48" s="2"/>
      <c r="L48" s="2"/>
      <c r="M48" s="2"/>
      <c r="N48" s="2"/>
      <c r="O48" s="2"/>
      <c r="P48" s="2"/>
      <c r="Q48" s="2"/>
      <c r="R48" s="2"/>
      <c r="S48" s="2"/>
      <c r="T48" s="2"/>
      <c r="U48" s="2"/>
      <c r="V48" s="2"/>
      <c r="W48" s="2"/>
      <c r="X48" s="2"/>
      <c r="Y48" s="2"/>
      <c r="Z48" s="2"/>
    </row>
    <row r="49" ht="16.5" customHeight="1" spans="8:26" x14ac:dyDescent="0.25">
      <c r="H49" s="2"/>
      <c r="I49" s="2"/>
      <c r="J49" s="2"/>
      <c r="K49" s="2"/>
      <c r="L49" s="2"/>
      <c r="M49" s="2"/>
      <c r="N49" s="2"/>
      <c r="O49" s="2"/>
      <c r="P49" s="2"/>
      <c r="Q49" s="2"/>
      <c r="R49" s="2"/>
      <c r="S49" s="2"/>
      <c r="T49" s="2"/>
      <c r="U49" s="2"/>
      <c r="V49" s="2"/>
      <c r="W49" s="2"/>
      <c r="X49" s="2"/>
      <c r="Y49" s="2"/>
      <c r="Z49" s="2"/>
    </row>
    <row r="50" ht="16.5" customHeight="1" spans="8:26" x14ac:dyDescent="0.25">
      <c r="H50" s="2"/>
      <c r="I50" s="2"/>
      <c r="J50" s="2"/>
      <c r="K50" s="2"/>
      <c r="L50" s="2"/>
      <c r="M50" s="2"/>
      <c r="N50" s="2"/>
      <c r="O50" s="2"/>
      <c r="P50" s="2"/>
      <c r="Q50" s="2"/>
      <c r="R50" s="2"/>
      <c r="S50" s="2"/>
      <c r="T50" s="2"/>
      <c r="U50" s="2"/>
      <c r="V50" s="2"/>
      <c r="W50" s="2"/>
      <c r="X50" s="2"/>
      <c r="Y50" s="2"/>
      <c r="Z50" s="2"/>
    </row>
    <row r="51" ht="16.5" customHeight="1" spans="8:26" x14ac:dyDescent="0.25">
      <c r="H51" s="2"/>
      <c r="I51" s="2"/>
      <c r="J51" s="2"/>
      <c r="K51" s="2"/>
      <c r="L51" s="2"/>
      <c r="M51" s="2"/>
      <c r="N51" s="2"/>
      <c r="O51" s="2"/>
      <c r="P51" s="2"/>
      <c r="Q51" s="2"/>
      <c r="R51" s="2"/>
      <c r="S51" s="2"/>
      <c r="T51" s="2"/>
      <c r="U51" s="2"/>
      <c r="V51" s="2"/>
      <c r="W51" s="2"/>
      <c r="X51" s="2"/>
      <c r="Y51" s="2"/>
      <c r="Z51" s="2"/>
    </row>
    <row r="52" ht="16.5" customHeight="1" spans="8:26" x14ac:dyDescent="0.25">
      <c r="H52" s="2"/>
      <c r="I52" s="2"/>
      <c r="J52" s="2"/>
      <c r="K52" s="2"/>
      <c r="L52" s="2"/>
      <c r="M52" s="2"/>
      <c r="N52" s="2"/>
      <c r="O52" s="2"/>
      <c r="P52" s="2"/>
      <c r="Q52" s="2"/>
      <c r="R52" s="2"/>
      <c r="S52" s="2"/>
      <c r="T52" s="2"/>
      <c r="U52" s="2"/>
      <c r="V52" s="2"/>
      <c r="W52" s="2"/>
      <c r="X52" s="2"/>
      <c r="Y52" s="2"/>
      <c r="Z52" s="2"/>
    </row>
    <row r="53" ht="16.5" customHeight="1" spans="8:26" x14ac:dyDescent="0.25">
      <c r="H53" s="2"/>
      <c r="I53" s="2"/>
      <c r="J53" s="2"/>
      <c r="K53" s="2"/>
      <c r="L53" s="2"/>
      <c r="M53" s="2"/>
      <c r="N53" s="2"/>
      <c r="O53" s="2"/>
      <c r="P53" s="2"/>
      <c r="Q53" s="2"/>
      <c r="R53" s="2"/>
      <c r="S53" s="2"/>
      <c r="T53" s="2"/>
      <c r="U53" s="2"/>
      <c r="V53" s="2"/>
      <c r="W53" s="2"/>
      <c r="X53" s="2"/>
      <c r="Y53" s="2"/>
      <c r="Z53" s="2"/>
    </row>
    <row r="54" ht="16.5" customHeight="1" spans="8:26" x14ac:dyDescent="0.25">
      <c r="H54" s="2"/>
      <c r="I54" s="2"/>
      <c r="J54" s="2"/>
      <c r="K54" s="2"/>
      <c r="L54" s="2"/>
      <c r="M54" s="2"/>
      <c r="N54" s="2"/>
      <c r="O54" s="2"/>
      <c r="P54" s="2"/>
      <c r="Q54" s="2"/>
      <c r="R54" s="2"/>
      <c r="S54" s="2"/>
      <c r="T54" s="2"/>
      <c r="U54" s="2"/>
      <c r="V54" s="2"/>
      <c r="W54" s="2"/>
      <c r="X54" s="2"/>
      <c r="Y54" s="2"/>
      <c r="Z54" s="2"/>
    </row>
    <row r="55" ht="16.5" customHeight="1" spans="8:26" x14ac:dyDescent="0.25">
      <c r="H55" s="2"/>
      <c r="I55" s="2"/>
      <c r="J55" s="2"/>
      <c r="K55" s="2"/>
      <c r="L55" s="2"/>
      <c r="M55" s="2"/>
      <c r="N55" s="2"/>
      <c r="O55" s="2"/>
      <c r="P55" s="2"/>
      <c r="Q55" s="2"/>
      <c r="R55" s="2"/>
      <c r="S55" s="2"/>
      <c r="T55" s="2"/>
      <c r="U55" s="2"/>
      <c r="V55" s="2"/>
      <c r="W55" s="2"/>
      <c r="X55" s="2"/>
      <c r="Y55" s="2"/>
      <c r="Z55" s="2"/>
    </row>
    <row r="56" ht="16.5" customHeight="1" spans="8:26" x14ac:dyDescent="0.25">
      <c r="H56" s="2"/>
      <c r="I56" s="2"/>
      <c r="J56" s="2"/>
      <c r="K56" s="2"/>
      <c r="L56" s="2"/>
      <c r="M56" s="2"/>
      <c r="N56" s="2"/>
      <c r="O56" s="2"/>
      <c r="P56" s="2"/>
      <c r="Q56" s="2"/>
      <c r="R56" s="2"/>
      <c r="S56" s="2"/>
      <c r="T56" s="2"/>
      <c r="U56" s="2"/>
      <c r="V56" s="2"/>
      <c r="W56" s="2"/>
      <c r="X56" s="2"/>
      <c r="Y56" s="2"/>
      <c r="Z56" s="2"/>
    </row>
    <row r="57" ht="16.5" customHeight="1" spans="8:26" x14ac:dyDescent="0.25">
      <c r="H57" s="2"/>
      <c r="I57" s="2"/>
      <c r="J57" s="2"/>
      <c r="K57" s="2"/>
      <c r="L57" s="2"/>
      <c r="M57" s="2"/>
      <c r="N57" s="2"/>
      <c r="O57" s="2"/>
      <c r="P57" s="2"/>
      <c r="Q57" s="2"/>
      <c r="R57" s="2"/>
      <c r="S57" s="2"/>
      <c r="T57" s="2"/>
      <c r="U57" s="2"/>
      <c r="V57" s="2"/>
      <c r="W57" s="2"/>
      <c r="X57" s="2"/>
      <c r="Y57" s="2"/>
      <c r="Z57" s="2"/>
    </row>
    <row r="58" ht="16.5" customHeight="1" spans="8:26" x14ac:dyDescent="0.25">
      <c r="H58" s="2"/>
      <c r="I58" s="2"/>
      <c r="J58" s="2"/>
      <c r="K58" s="2"/>
      <c r="L58" s="2"/>
      <c r="M58" s="2"/>
      <c r="N58" s="2"/>
      <c r="O58" s="2"/>
      <c r="P58" s="2"/>
      <c r="Q58" s="2"/>
      <c r="R58" s="2"/>
      <c r="S58" s="2"/>
      <c r="T58" s="2"/>
      <c r="U58" s="2"/>
      <c r="V58" s="2"/>
      <c r="W58" s="2"/>
      <c r="X58" s="2"/>
      <c r="Y58" s="2"/>
      <c r="Z58" s="2"/>
    </row>
    <row r="59" ht="16.5" customHeight="1" spans="8:26" x14ac:dyDescent="0.25">
      <c r="H59" s="2"/>
      <c r="I59" s="2"/>
      <c r="J59" s="2"/>
      <c r="K59" s="2"/>
      <c r="L59" s="2"/>
      <c r="M59" s="2"/>
      <c r="N59" s="2"/>
      <c r="O59" s="2"/>
      <c r="P59" s="2"/>
      <c r="Q59" s="2"/>
      <c r="R59" s="2"/>
      <c r="S59" s="2"/>
      <c r="T59" s="2"/>
      <c r="U59" s="2"/>
      <c r="V59" s="2"/>
      <c r="W59" s="2"/>
      <c r="X59" s="2"/>
      <c r="Y59" s="2"/>
      <c r="Z59" s="2"/>
    </row>
    <row r="60" ht="16.5" customHeight="1" spans="8:26" x14ac:dyDescent="0.25">
      <c r="H60" s="2"/>
      <c r="I60" s="2"/>
      <c r="J60" s="2"/>
      <c r="K60" s="2"/>
      <c r="L60" s="2"/>
      <c r="M60" s="2"/>
      <c r="N60" s="2"/>
      <c r="O60" s="2"/>
      <c r="P60" s="2"/>
      <c r="Q60" s="2"/>
      <c r="R60" s="2"/>
      <c r="S60" s="2"/>
      <c r="T60" s="2"/>
      <c r="U60" s="2"/>
      <c r="V60" s="2"/>
      <c r="W60" s="2"/>
      <c r="X60" s="2"/>
      <c r="Y60" s="2"/>
      <c r="Z60" s="2"/>
    </row>
    <row r="61" ht="16.5" customHeight="1" spans="8:26" x14ac:dyDescent="0.25">
      <c r="H61" s="2"/>
      <c r="I61" s="2"/>
      <c r="J61" s="2"/>
      <c r="K61" s="2"/>
      <c r="L61" s="2"/>
      <c r="M61" s="2"/>
      <c r="N61" s="2"/>
      <c r="O61" s="2"/>
      <c r="P61" s="2"/>
      <c r="Q61" s="2"/>
      <c r="R61" s="2"/>
      <c r="S61" s="2"/>
      <c r="T61" s="2"/>
      <c r="U61" s="2"/>
      <c r="V61" s="2"/>
      <c r="W61" s="2"/>
      <c r="X61" s="2"/>
      <c r="Y61" s="2"/>
      <c r="Z61" s="2"/>
    </row>
    <row r="62" ht="16.5" customHeight="1" spans="8:26" x14ac:dyDescent="0.25">
      <c r="H62" s="2"/>
      <c r="I62" s="2"/>
      <c r="J62" s="2"/>
      <c r="K62" s="2"/>
      <c r="L62" s="2"/>
      <c r="M62" s="2"/>
      <c r="N62" s="2"/>
      <c r="O62" s="2"/>
      <c r="P62" s="2"/>
      <c r="Q62" s="2"/>
      <c r="R62" s="2"/>
      <c r="S62" s="2"/>
      <c r="T62" s="2"/>
      <c r="U62" s="2"/>
      <c r="V62" s="2"/>
      <c r="W62" s="2"/>
      <c r="X62" s="2"/>
      <c r="Y62" s="2"/>
      <c r="Z62" s="2"/>
    </row>
    <row r="63" ht="16.5" customHeight="1" spans="8:26" x14ac:dyDescent="0.25">
      <c r="H63" s="2"/>
      <c r="I63" s="2"/>
      <c r="J63" s="2"/>
      <c r="K63" s="2"/>
      <c r="L63" s="2"/>
      <c r="M63" s="2"/>
      <c r="N63" s="2"/>
      <c r="O63" s="2"/>
      <c r="P63" s="2"/>
      <c r="Q63" s="2"/>
      <c r="R63" s="2"/>
      <c r="S63" s="2"/>
      <c r="T63" s="2"/>
      <c r="U63" s="2"/>
      <c r="V63" s="2"/>
      <c r="W63" s="2"/>
      <c r="X63" s="2"/>
      <c r="Y63" s="2"/>
      <c r="Z63" s="2"/>
    </row>
    <row r="64" ht="16.5" customHeight="1" spans="8:26" x14ac:dyDescent="0.25">
      <c r="H64" s="2"/>
      <c r="I64" s="2"/>
      <c r="J64" s="2"/>
      <c r="K64" s="2"/>
      <c r="L64" s="2"/>
      <c r="M64" s="2"/>
      <c r="N64" s="2"/>
      <c r="O64" s="2"/>
      <c r="P64" s="2"/>
      <c r="Q64" s="2"/>
      <c r="R64" s="2"/>
      <c r="S64" s="2"/>
      <c r="T64" s="2"/>
      <c r="U64" s="2"/>
      <c r="V64" s="2"/>
      <c r="W64" s="2"/>
      <c r="X64" s="2"/>
      <c r="Y64" s="2"/>
      <c r="Z64" s="2"/>
    </row>
    <row r="65" ht="16.5" customHeight="1" spans="8:26" x14ac:dyDescent="0.25">
      <c r="H65" s="2"/>
      <c r="I65" s="2"/>
      <c r="J65" s="2"/>
      <c r="K65" s="2"/>
      <c r="L65" s="2"/>
      <c r="M65" s="2"/>
      <c r="N65" s="2"/>
      <c r="O65" s="2"/>
      <c r="P65" s="2"/>
      <c r="Q65" s="2"/>
      <c r="R65" s="2"/>
      <c r="S65" s="2"/>
      <c r="T65" s="2"/>
      <c r="U65" s="2"/>
      <c r="V65" s="2"/>
      <c r="W65" s="2"/>
      <c r="X65" s="2"/>
      <c r="Y65" s="2"/>
      <c r="Z65" s="2"/>
    </row>
    <row r="66" ht="16.5" customHeight="1" spans="8:26" x14ac:dyDescent="0.25">
      <c r="H66" s="2"/>
      <c r="I66" s="2"/>
      <c r="J66" s="2"/>
      <c r="K66" s="2"/>
      <c r="L66" s="2"/>
      <c r="M66" s="2"/>
      <c r="N66" s="2"/>
      <c r="O66" s="2"/>
      <c r="P66" s="2"/>
      <c r="Q66" s="2"/>
      <c r="R66" s="2"/>
      <c r="S66" s="2"/>
      <c r="T66" s="2"/>
      <c r="U66" s="2"/>
      <c r="V66" s="2"/>
      <c r="W66" s="2"/>
      <c r="X66" s="2"/>
      <c r="Y66" s="2"/>
      <c r="Z66" s="2"/>
    </row>
    <row r="67" ht="16.5" customHeight="1" spans="8:26" x14ac:dyDescent="0.25">
      <c r="H67" s="2"/>
      <c r="I67" s="2"/>
      <c r="J67" s="2"/>
      <c r="K67" s="2"/>
      <c r="L67" s="2"/>
      <c r="M67" s="2"/>
      <c r="N67" s="2"/>
      <c r="O67" s="2"/>
      <c r="P67" s="2"/>
      <c r="Q67" s="2"/>
      <c r="R67" s="2"/>
      <c r="S67" s="2"/>
      <c r="T67" s="2"/>
      <c r="U67" s="2"/>
      <c r="V67" s="2"/>
      <c r="W67" s="2"/>
      <c r="X67" s="2"/>
      <c r="Y67" s="2"/>
      <c r="Z67" s="2"/>
    </row>
    <row r="68" ht="16.5" customHeight="1" spans="8:26" x14ac:dyDescent="0.25">
      <c r="H68" s="2"/>
      <c r="I68" s="2"/>
      <c r="J68" s="2"/>
      <c r="K68" s="2"/>
      <c r="L68" s="2"/>
      <c r="M68" s="2"/>
      <c r="N68" s="2"/>
      <c r="O68" s="2"/>
      <c r="P68" s="2"/>
      <c r="Q68" s="2"/>
      <c r="R68" s="2"/>
      <c r="S68" s="2"/>
      <c r="T68" s="2"/>
      <c r="U68" s="2"/>
      <c r="V68" s="2"/>
      <c r="W68" s="2"/>
      <c r="X68" s="2"/>
      <c r="Y68" s="2"/>
      <c r="Z68" s="2"/>
    </row>
    <row r="69" ht="16.5" customHeight="1" spans="8:26" x14ac:dyDescent="0.25">
      <c r="H69" s="2"/>
      <c r="I69" s="2"/>
      <c r="J69" s="2"/>
      <c r="K69" s="2"/>
      <c r="L69" s="2"/>
      <c r="M69" s="2"/>
      <c r="N69" s="2"/>
      <c r="O69" s="2"/>
      <c r="P69" s="2"/>
      <c r="Q69" s="2"/>
      <c r="R69" s="2"/>
      <c r="S69" s="2"/>
      <c r="T69" s="2"/>
      <c r="U69" s="2"/>
      <c r="V69" s="2"/>
      <c r="W69" s="2"/>
      <c r="X69" s="2"/>
      <c r="Y69" s="2"/>
      <c r="Z69" s="2"/>
    </row>
    <row r="70" ht="16.5" customHeight="1" spans="8:26" x14ac:dyDescent="0.25">
      <c r="H70" s="2"/>
      <c r="I70" s="2"/>
      <c r="J70" s="2"/>
      <c r="K70" s="2"/>
      <c r="L70" s="2"/>
      <c r="M70" s="2"/>
      <c r="N70" s="2"/>
      <c r="O70" s="2"/>
      <c r="P70" s="2"/>
      <c r="Q70" s="2"/>
      <c r="R70" s="2"/>
      <c r="S70" s="2"/>
      <c r="T70" s="2"/>
      <c r="U70" s="2"/>
      <c r="V70" s="2"/>
      <c r="W70" s="2"/>
      <c r="X70" s="2"/>
      <c r="Y70" s="2"/>
      <c r="Z70" s="2"/>
    </row>
    <row r="71" ht="16.5" customHeight="1" spans="8:26" x14ac:dyDescent="0.25">
      <c r="H71" s="2"/>
      <c r="I71" s="2"/>
      <c r="J71" s="2"/>
      <c r="K71" s="2"/>
      <c r="L71" s="2"/>
      <c r="M71" s="2"/>
      <c r="N71" s="2"/>
      <c r="O71" s="2"/>
      <c r="P71" s="2"/>
      <c r="Q71" s="2"/>
      <c r="R71" s="2"/>
      <c r="S71" s="2"/>
      <c r="T71" s="2"/>
      <c r="U71" s="2"/>
      <c r="V71" s="2"/>
      <c r="W71" s="2"/>
      <c r="X71" s="2"/>
      <c r="Y71" s="2"/>
      <c r="Z71" s="2"/>
    </row>
    <row r="72" ht="16.5" customHeight="1" spans="8:26" x14ac:dyDescent="0.25">
      <c r="H72" s="2"/>
      <c r="I72" s="2"/>
      <c r="J72" s="2"/>
      <c r="K72" s="2"/>
      <c r="L72" s="2"/>
      <c r="M72" s="2"/>
      <c r="N72" s="2"/>
      <c r="O72" s="2"/>
      <c r="P72" s="2"/>
      <c r="Q72" s="2"/>
      <c r="R72" s="2"/>
      <c r="S72" s="2"/>
      <c r="T72" s="2"/>
      <c r="U72" s="2"/>
      <c r="V72" s="2"/>
      <c r="W72" s="2"/>
      <c r="X72" s="2"/>
      <c r="Y72" s="2"/>
      <c r="Z72" s="2"/>
    </row>
    <row r="73" ht="16.5" customHeight="1" spans="8:26" x14ac:dyDescent="0.25">
      <c r="H73" s="2"/>
      <c r="I73" s="2"/>
      <c r="J73" s="2"/>
      <c r="K73" s="2"/>
      <c r="L73" s="2"/>
      <c r="M73" s="2"/>
      <c r="N73" s="2"/>
      <c r="O73" s="2"/>
      <c r="P73" s="2"/>
      <c r="Q73" s="2"/>
      <c r="R73" s="2"/>
      <c r="S73" s="2"/>
      <c r="T73" s="2"/>
      <c r="U73" s="2"/>
      <c r="V73" s="2"/>
      <c r="W73" s="2"/>
      <c r="X73" s="2"/>
      <c r="Y73" s="2"/>
      <c r="Z73" s="2"/>
    </row>
    <row r="74" ht="16.5" customHeight="1" spans="8:26" x14ac:dyDescent="0.25">
      <c r="H74" s="2"/>
      <c r="I74" s="2"/>
      <c r="J74" s="2"/>
      <c r="K74" s="2"/>
      <c r="L74" s="2"/>
      <c r="M74" s="2"/>
      <c r="N74" s="2"/>
      <c r="O74" s="2"/>
      <c r="P74" s="2"/>
      <c r="Q74" s="2"/>
      <c r="R74" s="2"/>
      <c r="S74" s="2"/>
      <c r="T74" s="2"/>
      <c r="U74" s="2"/>
      <c r="V74" s="2"/>
      <c r="W74" s="2"/>
      <c r="X74" s="2"/>
      <c r="Y74" s="2"/>
      <c r="Z74" s="2"/>
    </row>
    <row r="75" ht="16.5" customHeight="1" spans="8:26" x14ac:dyDescent="0.25">
      <c r="H75" s="2"/>
      <c r="I75" s="2"/>
      <c r="J75" s="2"/>
      <c r="K75" s="2"/>
      <c r="L75" s="2"/>
      <c r="M75" s="2"/>
      <c r="N75" s="2"/>
      <c r="O75" s="2"/>
      <c r="P75" s="2"/>
      <c r="Q75" s="2"/>
      <c r="R75" s="2"/>
      <c r="S75" s="2"/>
      <c r="T75" s="2"/>
      <c r="U75" s="2"/>
      <c r="V75" s="2"/>
      <c r="W75" s="2"/>
      <c r="X75" s="2"/>
      <c r="Y75" s="2"/>
      <c r="Z75" s="2"/>
    </row>
    <row r="76" ht="16.5" customHeight="1" spans="8:26" x14ac:dyDescent="0.25">
      <c r="H76" s="2"/>
      <c r="I76" s="2"/>
      <c r="J76" s="2"/>
      <c r="K76" s="2"/>
      <c r="L76" s="2"/>
      <c r="M76" s="2"/>
      <c r="N76" s="2"/>
      <c r="O76" s="2"/>
      <c r="P76" s="2"/>
      <c r="Q76" s="2"/>
      <c r="R76" s="2"/>
      <c r="S76" s="2"/>
      <c r="T76" s="2"/>
      <c r="U76" s="2"/>
      <c r="V76" s="2"/>
      <c r="W76" s="2"/>
      <c r="X76" s="2"/>
      <c r="Y76" s="2"/>
      <c r="Z76" s="2"/>
    </row>
    <row r="77" ht="16.5" customHeight="1" spans="8:26" x14ac:dyDescent="0.25">
      <c r="H77" s="2"/>
      <c r="I77" s="2"/>
      <c r="J77" s="2"/>
      <c r="K77" s="2"/>
      <c r="L77" s="2"/>
      <c r="M77" s="2"/>
      <c r="N77" s="2"/>
      <c r="O77" s="2"/>
      <c r="P77" s="2"/>
      <c r="Q77" s="2"/>
      <c r="R77" s="2"/>
      <c r="S77" s="2"/>
      <c r="T77" s="2"/>
      <c r="U77" s="2"/>
      <c r="V77" s="2"/>
      <c r="W77" s="2"/>
      <c r="X77" s="2"/>
      <c r="Y77" s="2"/>
      <c r="Z77" s="2"/>
    </row>
    <row r="78" ht="16.5" customHeight="1" spans="8:26" x14ac:dyDescent="0.25">
      <c r="H78" s="2"/>
      <c r="I78" s="2"/>
      <c r="J78" s="2"/>
      <c r="K78" s="2"/>
      <c r="L78" s="2"/>
      <c r="M78" s="2"/>
      <c r="N78" s="2"/>
      <c r="O78" s="2"/>
      <c r="P78" s="2"/>
      <c r="Q78" s="2"/>
      <c r="R78" s="2"/>
      <c r="S78" s="2"/>
      <c r="T78" s="2"/>
      <c r="U78" s="2"/>
      <c r="V78" s="2"/>
      <c r="W78" s="2"/>
      <c r="X78" s="2"/>
      <c r="Y78" s="2"/>
      <c r="Z78" s="2"/>
    </row>
    <row r="79" ht="16.5" customHeight="1" spans="8:26" x14ac:dyDescent="0.25">
      <c r="H79" s="2"/>
      <c r="I79" s="2"/>
      <c r="J79" s="2"/>
      <c r="K79" s="2"/>
      <c r="L79" s="2"/>
      <c r="M79" s="2"/>
      <c r="N79" s="2"/>
      <c r="O79" s="2"/>
      <c r="P79" s="2"/>
      <c r="Q79" s="2"/>
      <c r="R79" s="2"/>
      <c r="S79" s="2"/>
      <c r="T79" s="2"/>
      <c r="U79" s="2"/>
      <c r="V79" s="2"/>
      <c r="W79" s="2"/>
      <c r="X79" s="2"/>
      <c r="Y79" s="2"/>
      <c r="Z79" s="2"/>
    </row>
    <row r="80" ht="16.5" customHeight="1" spans="8:26" x14ac:dyDescent="0.25">
      <c r="H80" s="2"/>
      <c r="I80" s="2"/>
      <c r="J80" s="2"/>
      <c r="K80" s="2"/>
      <c r="L80" s="2"/>
      <c r="M80" s="2"/>
      <c r="N80" s="2"/>
      <c r="O80" s="2"/>
      <c r="P80" s="2"/>
      <c r="Q80" s="2"/>
      <c r="R80" s="2"/>
      <c r="S80" s="2"/>
      <c r="T80" s="2"/>
      <c r="U80" s="2"/>
      <c r="V80" s="2"/>
      <c r="W80" s="2"/>
      <c r="X80" s="2"/>
      <c r="Y80" s="2"/>
      <c r="Z80" s="2"/>
    </row>
    <row r="81" ht="16.5" customHeight="1" spans="8:26" x14ac:dyDescent="0.25">
      <c r="H81" s="2"/>
      <c r="I81" s="2"/>
      <c r="J81" s="2"/>
      <c r="K81" s="2"/>
      <c r="L81" s="2"/>
      <c r="M81" s="2"/>
      <c r="N81" s="2"/>
      <c r="O81" s="2"/>
      <c r="P81" s="2"/>
      <c r="Q81" s="2"/>
      <c r="R81" s="2"/>
      <c r="S81" s="2"/>
      <c r="T81" s="2"/>
      <c r="U81" s="2"/>
      <c r="V81" s="2"/>
      <c r="W81" s="2"/>
      <c r="X81" s="2"/>
      <c r="Y81" s="2"/>
      <c r="Z81" s="2"/>
    </row>
    <row r="82" ht="16.5" customHeight="1" spans="8:26" x14ac:dyDescent="0.25">
      <c r="H82" s="2"/>
      <c r="I82" s="2"/>
      <c r="J82" s="2"/>
      <c r="K82" s="2"/>
      <c r="L82" s="2"/>
      <c r="M82" s="2"/>
      <c r="N82" s="2"/>
      <c r="O82" s="2"/>
      <c r="P82" s="2"/>
      <c r="Q82" s="2"/>
      <c r="R82" s="2"/>
      <c r="S82" s="2"/>
      <c r="T82" s="2"/>
      <c r="U82" s="2"/>
      <c r="V82" s="2"/>
      <c r="W82" s="2"/>
      <c r="X82" s="2"/>
      <c r="Y82" s="2"/>
      <c r="Z82" s="2"/>
    </row>
    <row r="83" ht="16.5" customHeight="1" spans="8:26" x14ac:dyDescent="0.25">
      <c r="H83" s="2"/>
      <c r="I83" s="2"/>
      <c r="J83" s="2"/>
      <c r="K83" s="2"/>
      <c r="L83" s="2"/>
      <c r="M83" s="2"/>
      <c r="N83" s="2"/>
      <c r="O83" s="2"/>
      <c r="P83" s="2"/>
      <c r="Q83" s="2"/>
      <c r="R83" s="2"/>
      <c r="S83" s="2"/>
      <c r="T83" s="2"/>
      <c r="U83" s="2"/>
      <c r="V83" s="2"/>
      <c r="W83" s="2"/>
      <c r="X83" s="2"/>
      <c r="Y83" s="2"/>
      <c r="Z83" s="2"/>
    </row>
    <row r="84" ht="16.5" customHeight="1" spans="8:26" x14ac:dyDescent="0.25">
      <c r="H84" s="2"/>
      <c r="I84" s="2"/>
      <c r="J84" s="2"/>
      <c r="K84" s="2"/>
      <c r="L84" s="2"/>
      <c r="M84" s="2"/>
      <c r="N84" s="2"/>
      <c r="O84" s="2"/>
      <c r="P84" s="2"/>
      <c r="Q84" s="2"/>
      <c r="R84" s="2"/>
      <c r="S84" s="2"/>
      <c r="T84" s="2"/>
      <c r="U84" s="2"/>
      <c r="V84" s="2"/>
      <c r="W84" s="2"/>
      <c r="X84" s="2"/>
      <c r="Y84" s="2"/>
      <c r="Z84" s="2"/>
    </row>
    <row r="85" ht="16.5" customHeight="1" spans="8:26" x14ac:dyDescent="0.25">
      <c r="H85" s="2"/>
      <c r="I85" s="2"/>
      <c r="J85" s="2"/>
      <c r="K85" s="2"/>
      <c r="L85" s="2"/>
      <c r="M85" s="2"/>
      <c r="N85" s="2"/>
      <c r="O85" s="2"/>
      <c r="P85" s="2"/>
      <c r="Q85" s="2"/>
      <c r="R85" s="2"/>
      <c r="S85" s="2"/>
      <c r="T85" s="2"/>
      <c r="U85" s="2"/>
      <c r="V85" s="2"/>
      <c r="W85" s="2"/>
      <c r="X85" s="2"/>
      <c r="Y85" s="2"/>
      <c r="Z85" s="2"/>
    </row>
    <row r="86" ht="16.5" customHeight="1" spans="8:26" x14ac:dyDescent="0.25">
      <c r="H86" s="2"/>
      <c r="I86" s="2"/>
      <c r="J86" s="2"/>
      <c r="K86" s="2"/>
      <c r="L86" s="2"/>
      <c r="M86" s="2"/>
      <c r="N86" s="2"/>
      <c r="O86" s="2"/>
      <c r="P86" s="2"/>
      <c r="Q86" s="2"/>
      <c r="R86" s="2"/>
      <c r="S86" s="2"/>
      <c r="T86" s="2"/>
      <c r="U86" s="2"/>
      <c r="V86" s="2"/>
      <c r="W86" s="2"/>
      <c r="X86" s="2"/>
      <c r="Y86" s="2"/>
      <c r="Z86" s="2"/>
    </row>
    <row r="87" ht="16.5" customHeight="1" spans="8:26" x14ac:dyDescent="0.25">
      <c r="H87" s="2"/>
      <c r="I87" s="2"/>
      <c r="J87" s="2"/>
      <c r="K87" s="2"/>
      <c r="L87" s="2"/>
      <c r="M87" s="2"/>
      <c r="N87" s="2"/>
      <c r="O87" s="2"/>
      <c r="P87" s="2"/>
      <c r="Q87" s="2"/>
      <c r="R87" s="2"/>
      <c r="S87" s="2"/>
      <c r="T87" s="2"/>
      <c r="U87" s="2"/>
      <c r="V87" s="2"/>
      <c r="W87" s="2"/>
      <c r="X87" s="2"/>
      <c r="Y87" s="2"/>
      <c r="Z87" s="2"/>
    </row>
    <row r="88" ht="16.5" customHeight="1" spans="8:26" x14ac:dyDescent="0.25">
      <c r="H88" s="2"/>
      <c r="I88" s="2"/>
      <c r="J88" s="2"/>
      <c r="K88" s="2"/>
      <c r="L88" s="2"/>
      <c r="M88" s="2"/>
      <c r="N88" s="2"/>
      <c r="O88" s="2"/>
      <c r="P88" s="2"/>
      <c r="Q88" s="2"/>
      <c r="R88" s="2"/>
      <c r="S88" s="2"/>
      <c r="T88" s="2"/>
      <c r="U88" s="2"/>
      <c r="V88" s="2"/>
      <c r="W88" s="2"/>
      <c r="X88" s="2"/>
      <c r="Y88" s="2"/>
      <c r="Z88" s="2"/>
    </row>
    <row r="89" ht="16.5" customHeight="1" spans="8:26" x14ac:dyDescent="0.25">
      <c r="H89" s="2"/>
      <c r="I89" s="2"/>
      <c r="J89" s="2"/>
      <c r="K89" s="2"/>
      <c r="L89" s="2"/>
      <c r="M89" s="2"/>
      <c r="N89" s="2"/>
      <c r="O89" s="2"/>
      <c r="P89" s="2"/>
      <c r="Q89" s="2"/>
      <c r="R89" s="2"/>
      <c r="S89" s="2"/>
      <c r="T89" s="2"/>
      <c r="U89" s="2"/>
      <c r="V89" s="2"/>
      <c r="W89" s="2"/>
      <c r="X89" s="2"/>
      <c r="Y89" s="2"/>
      <c r="Z89" s="2"/>
    </row>
    <row r="90" ht="16.5" customHeight="1" spans="8:26" x14ac:dyDescent="0.25">
      <c r="H90" s="2"/>
      <c r="I90" s="2"/>
      <c r="J90" s="2"/>
      <c r="K90" s="2"/>
      <c r="L90" s="2"/>
      <c r="M90" s="2"/>
      <c r="N90" s="2"/>
      <c r="O90" s="2"/>
      <c r="P90" s="2"/>
      <c r="Q90" s="2"/>
      <c r="R90" s="2"/>
      <c r="S90" s="2"/>
      <c r="T90" s="2"/>
      <c r="U90" s="2"/>
      <c r="V90" s="2"/>
      <c r="W90" s="2"/>
      <c r="X90" s="2"/>
      <c r="Y90" s="2"/>
      <c r="Z90" s="2"/>
    </row>
    <row r="91" ht="16.5" customHeight="1" spans="8:26" x14ac:dyDescent="0.25">
      <c r="H91" s="2"/>
      <c r="I91" s="2"/>
      <c r="J91" s="2"/>
      <c r="K91" s="2"/>
      <c r="L91" s="2"/>
      <c r="M91" s="2"/>
      <c r="N91" s="2"/>
      <c r="O91" s="2"/>
      <c r="P91" s="2"/>
      <c r="Q91" s="2"/>
      <c r="R91" s="2"/>
      <c r="S91" s="2"/>
      <c r="T91" s="2"/>
      <c r="U91" s="2"/>
      <c r="V91" s="2"/>
      <c r="W91" s="2"/>
      <c r="X91" s="2"/>
      <c r="Y91" s="2"/>
      <c r="Z91" s="2"/>
    </row>
    <row r="92" ht="16.5" customHeight="1" spans="8:26" x14ac:dyDescent="0.25">
      <c r="H92" s="2"/>
      <c r="I92" s="2"/>
      <c r="J92" s="2"/>
      <c r="K92" s="2"/>
      <c r="L92" s="2"/>
      <c r="M92" s="2"/>
      <c r="N92" s="2"/>
      <c r="O92" s="2"/>
      <c r="P92" s="2"/>
      <c r="Q92" s="2"/>
      <c r="R92" s="2"/>
      <c r="S92" s="2"/>
      <c r="T92" s="2"/>
      <c r="U92" s="2"/>
      <c r="V92" s="2"/>
      <c r="W92" s="2"/>
      <c r="X92" s="2"/>
      <c r="Y92" s="2"/>
      <c r="Z92" s="2"/>
    </row>
    <row r="93" ht="16.5" customHeight="1" spans="8:26" x14ac:dyDescent="0.25">
      <c r="H93" s="2"/>
      <c r="I93" s="2"/>
      <c r="J93" s="2"/>
      <c r="K93" s="2"/>
      <c r="L93" s="2"/>
      <c r="M93" s="2"/>
      <c r="N93" s="2"/>
      <c r="O93" s="2"/>
      <c r="P93" s="2"/>
      <c r="Q93" s="2"/>
      <c r="R93" s="2"/>
      <c r="S93" s="2"/>
      <c r="T93" s="2"/>
      <c r="U93" s="2"/>
      <c r="V93" s="2"/>
      <c r="W93" s="2"/>
      <c r="X93" s="2"/>
      <c r="Y93" s="2"/>
      <c r="Z93" s="2"/>
    </row>
    <row r="94" ht="16.5" customHeight="1" spans="8:26" x14ac:dyDescent="0.25">
      <c r="H94" s="2"/>
      <c r="I94" s="2"/>
      <c r="J94" s="2"/>
      <c r="K94" s="2"/>
      <c r="L94" s="2"/>
      <c r="M94" s="2"/>
      <c r="N94" s="2"/>
      <c r="O94" s="2"/>
      <c r="P94" s="2"/>
      <c r="Q94" s="2"/>
      <c r="R94" s="2"/>
      <c r="S94" s="2"/>
      <c r="T94" s="2"/>
      <c r="U94" s="2"/>
      <c r="V94" s="2"/>
      <c r="W94" s="2"/>
      <c r="X94" s="2"/>
      <c r="Y94" s="2"/>
      <c r="Z94" s="2"/>
    </row>
    <row r="95" ht="16.5" customHeight="1" spans="8:26" x14ac:dyDescent="0.25">
      <c r="H95" s="2"/>
      <c r="I95" s="2"/>
      <c r="J95" s="2"/>
      <c r="K95" s="2"/>
      <c r="L95" s="2"/>
      <c r="M95" s="2"/>
      <c r="N95" s="2"/>
      <c r="O95" s="2"/>
      <c r="P95" s="2"/>
      <c r="Q95" s="2"/>
      <c r="R95" s="2"/>
      <c r="S95" s="2"/>
      <c r="T95" s="2"/>
      <c r="U95" s="2"/>
      <c r="V95" s="2"/>
      <c r="W95" s="2"/>
      <c r="X95" s="2"/>
      <c r="Y95" s="2"/>
      <c r="Z95" s="2"/>
    </row>
    <row r="96" ht="16.5" customHeight="1" spans="8:26" x14ac:dyDescent="0.25">
      <c r="H96" s="2"/>
      <c r="I96" s="2"/>
      <c r="J96" s="2"/>
      <c r="K96" s="2"/>
      <c r="L96" s="2"/>
      <c r="M96" s="2"/>
      <c r="N96" s="2"/>
      <c r="O96" s="2"/>
      <c r="P96" s="2"/>
      <c r="Q96" s="2"/>
      <c r="R96" s="2"/>
      <c r="S96" s="2"/>
      <c r="T96" s="2"/>
      <c r="U96" s="2"/>
      <c r="V96" s="2"/>
      <c r="W96" s="2"/>
      <c r="X96" s="2"/>
      <c r="Y96" s="2"/>
      <c r="Z96" s="2"/>
    </row>
    <row r="97" ht="16.5" customHeight="1" spans="8:26" x14ac:dyDescent="0.25">
      <c r="H97" s="2"/>
      <c r="I97" s="2"/>
      <c r="J97" s="2"/>
      <c r="K97" s="2"/>
      <c r="L97" s="2"/>
      <c r="M97" s="2"/>
      <c r="N97" s="2"/>
      <c r="O97" s="2"/>
      <c r="P97" s="2"/>
      <c r="Q97" s="2"/>
      <c r="R97" s="2"/>
      <c r="S97" s="2"/>
      <c r="T97" s="2"/>
      <c r="U97" s="2"/>
      <c r="V97" s="2"/>
      <c r="W97" s="2"/>
      <c r="X97" s="2"/>
      <c r="Y97" s="2"/>
      <c r="Z97" s="2"/>
    </row>
    <row r="98" ht="16.5" customHeight="1" spans="8:26" x14ac:dyDescent="0.25">
      <c r="H98" s="2"/>
      <c r="I98" s="2"/>
      <c r="J98" s="2"/>
      <c r="K98" s="2"/>
      <c r="L98" s="2"/>
      <c r="M98" s="2"/>
      <c r="N98" s="2"/>
      <c r="O98" s="2"/>
      <c r="P98" s="2"/>
      <c r="Q98" s="2"/>
      <c r="R98" s="2"/>
      <c r="S98" s="2"/>
      <c r="T98" s="2"/>
      <c r="U98" s="2"/>
      <c r="V98" s="2"/>
      <c r="W98" s="2"/>
      <c r="X98" s="2"/>
      <c r="Y98" s="2"/>
      <c r="Z98" s="2"/>
    </row>
    <row r="99" ht="16.5" customHeight="1" spans="8:26" x14ac:dyDescent="0.25">
      <c r="H99" s="2"/>
      <c r="I99" s="2"/>
      <c r="J99" s="2"/>
      <c r="K99" s="2"/>
      <c r="L99" s="2"/>
      <c r="M99" s="2"/>
      <c r="N99" s="2"/>
      <c r="O99" s="2"/>
      <c r="P99" s="2"/>
      <c r="Q99" s="2"/>
      <c r="R99" s="2"/>
      <c r="S99" s="2"/>
      <c r="T99" s="2"/>
      <c r="U99" s="2"/>
      <c r="V99" s="2"/>
      <c r="W99" s="2"/>
      <c r="X99" s="2"/>
      <c r="Y99" s="2"/>
      <c r="Z99" s="2"/>
    </row>
    <row r="100" ht="16.5" customHeight="1" spans="8:26" x14ac:dyDescent="0.25">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38" t="s">
        <v>415</v>
      </c>
      <c r="B1" s="138"/>
      <c r="C1" s="138"/>
      <c r="D1" s="138"/>
      <c r="E1" s="138"/>
      <c r="F1" s="138"/>
      <c r="G1" s="138"/>
      <c r="H1" s="138"/>
      <c r="I1" s="138"/>
      <c r="J1" s="138"/>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41" t="s">
        <v>304</v>
      </c>
      <c r="F2" s="141" t="s">
        <v>305</v>
      </c>
      <c r="G2" s="142"/>
      <c r="H2" s="142"/>
      <c r="I2" s="142"/>
      <c r="J2" s="142"/>
      <c r="K2" s="142"/>
      <c r="L2" s="14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75" t="s">
        <v>416</v>
      </c>
      <c r="B4" s="175" t="s">
        <v>18</v>
      </c>
      <c r="C4" s="175" t="s">
        <v>417</v>
      </c>
      <c r="D4" s="175" t="s">
        <v>418</v>
      </c>
      <c r="E4" s="175" t="s">
        <v>419</v>
      </c>
      <c r="F4" s="2"/>
      <c r="G4" s="2"/>
      <c r="H4" s="2"/>
      <c r="I4" s="2"/>
      <c r="J4" s="2"/>
      <c r="K4" s="2"/>
      <c r="L4" s="2"/>
      <c r="M4" s="2"/>
      <c r="N4" s="2"/>
      <c r="O4" s="2"/>
      <c r="P4" s="2"/>
      <c r="Q4" s="2"/>
      <c r="R4" s="2"/>
      <c r="S4" s="2"/>
      <c r="T4" s="2"/>
      <c r="U4" s="2"/>
      <c r="V4" s="2"/>
      <c r="W4" s="2"/>
      <c r="X4" s="2"/>
      <c r="Y4" s="2"/>
      <c r="Z4" s="2"/>
    </row>
    <row r="5" ht="16.5" customHeight="1" spans="1:26" x14ac:dyDescent="0.25">
      <c r="A5" s="175"/>
      <c r="B5" s="176"/>
      <c r="C5" s="175"/>
      <c r="D5" s="175"/>
      <c r="E5" s="175"/>
      <c r="F5" s="2"/>
      <c r="G5" s="2"/>
      <c r="H5" s="2"/>
      <c r="I5" s="2"/>
      <c r="J5" s="2"/>
      <c r="K5" s="2"/>
      <c r="L5" s="2"/>
      <c r="M5" s="2"/>
      <c r="N5" s="2"/>
      <c r="O5" s="2"/>
      <c r="P5" s="2"/>
      <c r="Q5" s="2"/>
      <c r="R5" s="2"/>
      <c r="S5" s="2"/>
      <c r="T5" s="2"/>
      <c r="U5" s="2"/>
      <c r="V5" s="2"/>
      <c r="W5" s="2"/>
      <c r="X5" s="2"/>
      <c r="Y5" s="2"/>
      <c r="Z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 Cover &amp; Index</vt:lpstr>
      <vt:lpstr>KPI Dashboard</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Harshili Patni</dc:creator>
  <dc:title>Controller Reporting Master Template</dc:title>
  <dc:subject/>
  <dc:description/>
  <cp:keywords/>
  <cp:category/>
  <cp:lastModifiedBy>Harshili Patni</cp:lastModifiedBy>
  <cp:contentStatus/>
  <dcterms:created xsi:type="dcterms:W3CDTF">2026-03-12T06:39:59Z</dcterms:created>
  <dcterms:modified xsi:type="dcterms:W3CDTF">2026-08-24T10:14:17Z</dcterms:modified>
</cp:coreProperties>
</file>