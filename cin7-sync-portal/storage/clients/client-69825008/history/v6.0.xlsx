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<sst xmlns="http://schemas.openxmlformats.org/spreadsheetml/2006/main" count="7042" uniqueCount="2015">
  <si>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</si>
  <si>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</si>
  <si>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</si>
  <si>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</si>
  <si>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</si>
  <si>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</si>
  <si>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</si>
  <si>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</si>
  <si>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</si>
  <si>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</si>
  <si>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</si>
  <si>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</si>
  <si>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</si>
  <si>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</si>
  <si>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</si>
  <si>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</si>
  <si>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</si>
  <si>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</si>
  <si>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</si>
  <si>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</si>
  <si>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</si>
  <si>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</si>
  <si>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</si>
  <si>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</si>
  <si>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Accounting Invoices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</si>
  <si>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</si>
  <si>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</si>
  <si>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</si>
  <si>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</si>
  <si>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</si>
  <si>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</si>
  <si>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</si>
  <si>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</si>
  <si>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</si>
  <si>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</si>
  <si>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</si>
  <si>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</si>
  <si>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</si>
  <si>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</si>
  <si>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</si>
  <si>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</si>
  <si>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</si>
  <si>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</si>
  <si>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</si>
  <si>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</si>
  <si>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</si>
  <si>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</si>
  <si>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</si>
  <si>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</si>
  <si>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</si>
  <si>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</si>
  <si>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</si>
  <si>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</si>
  <si>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</si>
  <si>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</si>
  <si>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</si>
  <si>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</si>
  <si>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</si>
  <si>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</si>
  <si>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</si>
  <si>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</si>
  <si>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</si>
  <si>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</si>
  <si>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</si>
  <si>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</si>
  <si>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</si>
  <si>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</si>
  <si>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</si>
  <si>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</si>
  <si>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</si>
  <si>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</si>
  <si>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</si>
  <si>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</si>
  <si>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</si>
  <si>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</si>
  <si>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</si>
  <si>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</si>
  <si>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</si>
  <si>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</si>
  <si>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</si>
  <si>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</si>
  <si>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</si>
  <si>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</si>
  <si>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</si>
  <si>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</si>
  <si>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</si>
  <si>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</si>
  <si>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</si>
  <si>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</si>
  <si>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</si>
  <si>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</si>
  <si>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</si>
  <si>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</si>
  <si>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</si>
  <si>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</si>
  <si>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</si>
  <si>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</si>
  <si>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</si>
  <si>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</si>
  <si>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</si>
  <si>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</si>
  <si>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</si>
  <si>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</si>
  <si>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</si>
  <si>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</si>
  <si>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</si>
  <si>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</si>
  <si>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</si>
  <si>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</si>
  <si>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</si>
  <si>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</si>
  <si>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</si>
  <si>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</si>
  <si>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</si>
  <si>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</si>
  <si>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</si>
  <si>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</si>
  <si>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</si>
  <si>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</si>
  <si>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</si>
  <si>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</si>
  <si>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</si>
  <si>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</si>
  <si>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</si>
  <si>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</si>
  <si>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</si>
  <si>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</si>
  <si>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</si>
  <si>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</si>
  <si>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</si>
  <si>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</si>
  <si>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</si>
  <si>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</si>
  <si>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</si>
  <si>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</si>
  <si>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</si>
  <si>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</si>
  <si>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</si>
  <si>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</si>
  <si>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</si>
  <si>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</si>
  <si>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</si>
  <si>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</si>
  <si>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</si>
  <si>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</si>
  <si>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</si>
  <si>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</si>
  <si>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</si>
  <si>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</si>
  <si>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</si>
  <si>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</si>
  <si>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</si>
  <si>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</si>
  <si>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</si>
  <si>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</si>
  <si>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</si>
  <si>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</si>
  <si>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</si>
  <si>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</si>
  <si>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</si>
  <si>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</si>
  <si>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</si>
  <si>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</si>
  <si>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</si>
  <si>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</si>
  <si>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</si>
  <si>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</si>
  <si>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</si>
  <si>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</si>
  <si>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</si>
  <si>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</si>
  <si>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</si>
  <si>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</si>
  <si>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</si>
  <si>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</si>
  <si>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</si>
  <si>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</si>
  <si>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</si>
  <si>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</si>
  <si>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</si>
  <si>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</si>
  <si>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</si>
  <si>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</si>
  <si>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</si>
  <si>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</si>
  <si>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</si>
  <si>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</si>
  <si>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</si>
  <si>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</si>
  <si>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</si>
  <si>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</si>
  <si>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</si>
  <si>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</si>
  <si>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</si>
  <si>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</si>
  <si>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</si>
  <si>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</si>
  <si>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</si>
  <si>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</si>
  <si>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</si>
  <si>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</si>
  <si>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</si>
  <si>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</si>
  <si>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</si>
  <si>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</si>
  <si>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</si>
  <si>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</si>
  <si>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</si>
  <si>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</si>
  <si>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</si>
  <si>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</si>
  <si>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</si>
  <si>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</si>
  <si>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</si>
  <si>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</si>
  <si>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</si>
  <si>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</si>
  <si>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</si>
  <si>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</si>
  <si>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</si>
  <si>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</si>
  <si>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</si>
  <si>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</si>
  <si>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</si>
  <si>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</si>
  <si>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</si>
  <si>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</si>
  <si>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</si>
  <si>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</si>
  <si>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</si>
  <si>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</si>
  <si>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</si>
  <si>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</si>
  <si>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</si>
  <si>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</si>
  <si>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</si>
  <si>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</si>
  <si>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</si>
  <si>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</si>
  <si>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</si>
  <si>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</si>
  <si>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</si>
  <si>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</si>
  <si>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</si>
  <si>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</si>
  <si>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</si>
  <si>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</si>
  <si>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</si>
  <si>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</si>
  <si>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</si>
  <si>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</si>
  <si>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</si>
  <si>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</si>
  <si>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</si>
  <si>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</si>
  <si>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</si>
  <si>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</si>
  <si>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</si>
  <si>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</si>
  <si>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</si>
  <si>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</si>
  <si>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</si>
  <si>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</si>
  <si>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</si>
  <si>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</si>
  <si>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</si>
  <si>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</si>
  <si>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</si>
  <si>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</si>
  <si>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</si>
  <si>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</si>
  <si>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</si>
  <si>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</si>
  <si>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</si>
  <si>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</si>
  <si>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</si>
  <si>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</si>
  <si>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</si>
  <si>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</si>
  <si>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</si>
  <si>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</si>
  <si>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</si>
  <si>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</si>
  <si>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</si>
  <si>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</si>
  <si>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</si>
  <si>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</si>
  <si>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</si>
  <si>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</si>
  <si>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</si>
  <si>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</si>
  <si>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</si>
  <si>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</si>
  <si>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</si>
  <si>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</si>
  <si>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</si>
  <si>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</si>
  <si>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</si>
  <si>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</si>
  <si>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</si>
  <si>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</si>
  <si>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</si>
  <si>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</si>
  <si>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</si>
  <si>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</si>
  <si>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</si>
  <si>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</si>
  <si>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</si>
  <si>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</si>
  <si>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</si>
  <si>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</si>
  <si>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</si>
  <si>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</si>
  <si>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</si>
  <si>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</si>
  <si>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</si>
  <si>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</si>
  <si>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</si>
  <si>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</si>
  <si>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</si>
  <si>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</si>
  <si>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</si>
  <si>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</si>
  <si>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</si>
  <si>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</si>
  <si>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</si>
  <si>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</si>
  <si>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</si>
  <si>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</si>
  <si>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</si>
  <si>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</si>
  <si>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</si>
  <si>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</si>
  <si>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</si>
  <si>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</si>
  <si>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</si>
  <si>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</si>
  <si>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</si>
  <si>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</si>
  <si>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</si>
  <si>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</si>
  <si>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</si>
  <si>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</si>
  <si>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</si>
  <si>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</si>
  <si>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</si>
  <si>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</si>
  <si>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</si>
  <si>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</si>
  <si>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</si>
  <si>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</si>
  <si>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</si>
  <si>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</si>
  <si>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</si>
  <si>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</si>
  <si>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</si>
  <si>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</si>
  <si>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</si>
  <si>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</si>
  <si>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</si>
  <si>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</si>
  <si>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</si>
  <si>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</si>
  <si>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</si>
  <si>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</si>
  <si>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</si>
  <si>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</si>
  <si>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</si>
  <si>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</si>
  <si>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</si>
  <si>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</si>
  <si>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</si>
  <si>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</si>
  <si>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</si>
  <si>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</si>
  <si>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</si>
  <si>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</si>
  <si>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</si>
  <si>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</si>
  <si>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</si>
  <si>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</si>
  <si>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</si>
  <si>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</si>
  <si>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</si>
  <si>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</si>
  <si>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</si>
  <si>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</si>
  <si>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</si>
  <si>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</si>
  <si>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</si>
  <si>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</si>
  <si>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</si>
  <si>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</si>
  <si>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</si>
  <si>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</si>
  <si>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</si>
  <si>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</si>
  <si>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</si>
  <si>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</si>
  <si>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</si>
  <si>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</si>
  <si>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</si>
  <si>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</si>
  <si>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</si>
  <si>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</si>
  <si>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</si>
  <si>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</si>
  <si>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</si>
  <si>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</si>
  <si>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</si>
  <si>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</si>
  <si>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</si>
  <si>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</si>
  <si>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</si>
  <si>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</si>
  <si>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</si>
  <si>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</si>
  <si>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</si>
  <si>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</si>
  <si>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</si>
  <si>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</si>
  <si>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</si>
  <si>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</si>
  <si>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</si>
  <si>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</si>
  <si>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</si>
  <si>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</si>
  <si>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</si>
  <si>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</si>
  <si>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</si>
  <si>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</si>
  <si>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</si>
  <si>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</si>
  <si>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</si>
  <si>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</si>
  <si>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</si>
  <si>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</si>
  <si>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</si>
  <si>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</si>
  <si>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</si>
  <si>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</si>
  <si>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</si>
  <si>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</si>
  <si>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</si>
  <si>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</si>
  <si>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</si>
  <si>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</si>
  <si>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</si>
  <si>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</si>
  <si>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</si>
  <si>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</si>
  <si>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</si>
  <si>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</si>
  <si>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</si>
  <si>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</si>
  <si>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</si>
  <si>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</si>
  <si>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</si>
  <si>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</si>
  <si>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</si>
  <si>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</si>
  <si>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</si>
  <si>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</si>
  <si>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</si>
  <si>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</si>
  <si>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</si>
  <si>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</si>
  <si>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</si>
  <si>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</si>
  <si>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</si>
  <si>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</si>
  <si>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</si>
  <si>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</si>
  <si>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</si>
  <si>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</si>
  <si>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</si>
  <si>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</si>
  <si>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</si>
  <si>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</si>
  <si>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</si>
  <si>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</si>
  <si>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</si>
  <si>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</si>
  <si>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</si>
  <si>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</si>
  <si>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</si>
  <si>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</si>
  <si>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</si>
  <si>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</si>
  <si>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</si>
  <si>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</si>
  <si>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</si>
  <si>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</si>
  <si>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</si>
  <si>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</si>
  <si>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</si>
  <si>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</si>
  <si>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</si>
  <si>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</si>
  <si>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</si>
  <si>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</si>
  <si>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</si>
  <si>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</si>
  <si>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</si>
  <si>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</si>
  <si>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</si>
  <si>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</si>
  <si>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</si>
  <si>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</si>
  <si>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</si>
  <si>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</si>
  <si>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</si>
  <si>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</si>
  <si>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</si>
  <si>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</si>
  <si>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</si>
  <si>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</si>
  <si>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</si>
  <si>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</si>
  <si>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</si>
  <si>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</si>
  <si>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</si>
  <si>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</si>
  <si>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</si>
  <si>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</si>
  <si>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</si>
  <si>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</si>
  <si>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</si>
  <si>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</si>
  <si>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</si>
  <si>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</si>
  <si>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</si>
  <si>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</si>
  <si>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</si>
  <si>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</si>
  <si>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</si>
  <si>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</si>
  <si>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</si>
  <si>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</si>
  <si>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</si>
  <si>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</si>
  <si>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</si>
  <si>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</si>
  <si>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</si>
  <si>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</si>
  <si>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</si>
  <si>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</si>
  <si>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</si>
  <si>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</si>
  <si>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</si>
  <si>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</si>
  <si>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</si>
  <si>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</si>
  <si>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</si>
  <si>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</si>
  <si>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</si>
  <si>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</si>
  <si>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</si>
  <si>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</si>
  <si>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</si>
  <si>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</si>
  <si>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</si>
  <si>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</si>
  <si>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</si>
  <si>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</si>
  <si>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</si>
  <si>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</si>
  <si>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</si>
  <si>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</si>
  <si>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</si>
  <si>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</si>
  <si>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</si>
  <si>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</si>
  <si>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</si>
  <si>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</si>
  <si>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</si>
  <si>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</si>
  <si>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</si>
  <si>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</si>
  <si>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</si>
  <si>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</si>
  <si>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</si>
  <si>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</si>
  <si>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</si>
  <si>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</si>
  <si>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</si>
  <si>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</si>
  <si>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</si>
  <si>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</si>
  <si>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</si>
  <si>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</si>
  <si>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</si>
  <si>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</si>
  <si>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</si>
  <si>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</si>
  <si>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</si>
  <si>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</si>
  <si>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</si>
  <si>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</si>
  <si>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</si>
  <si>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</si>
  <si>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</si>
  <si>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</si>
  <si>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</si>
  <si>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</si>
  <si>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</si>
  <si>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</si>
  <si>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</si>
  <si>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</si>
  <si>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</si>
  <si>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</si>
  <si>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</si>
  <si>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</si>
  <si>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</si>
  <si>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</si>
  <si>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</si>
  <si>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</si>
  <si>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</si>
  <si>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</si>
  <si>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</si>
  <si>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</si>
  <si>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</si>
  <si>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</si>
  <si>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</si>
  <si>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</si>
  <si>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</si>
  <si>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</si>
  <si>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</si>
  <si>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</si>
  <si>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</si>
  <si>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</si>
  <si>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</si>
  <si>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</si>
  <si>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</si>
  <si>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</si>
  <si>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</si>
  <si>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</si>
  <si>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</si>
  <si>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</si>
  <si>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</si>
  <si>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</si>
  <si>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</si>
  <si>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</si>
  <si>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</si>
  <si>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</si>
  <si>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</si>
  <si>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</si>
  <si>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</si>
  <si>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</si>
  <si>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</si>
  <si>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</si>
  <si>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</si>
  <si>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</si>
  <si>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</si>
  <si>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</si>
  <si>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</si>
  <si>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</si>
  <si>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</si>
  <si>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</si>
  <si>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</si>
  <si>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</si>
  <si>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</si>
  <si>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</si>
  <si>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</si>
  <si>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</si>
  <si>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</si>
  <si>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</si>
  <si>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</si>
  <si>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</si>
  <si>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</si>
  <si>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</si>
  <si>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</si>
  <si>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</si>
  <si>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</si>
  <si>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</si>
  <si>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</si>
  <si>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</si>
  <si>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</si>
  <si>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</si>
  <si>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</si>
  <si>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</si>
  <si>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</si>
  <si>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</si>
  <si>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</si>
  <si>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</si>
  <si>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</si>
  <si>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</si>
  <si>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</si>
  <si>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</si>
  <si>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</si>
  <si>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</si>
  <si>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</si>
  <si>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</si>
  <si>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</si>
  <si>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</si>
  <si>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</si>
  <si>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</si>
  <si>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</si>
  <si>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</si>
  <si>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</si>
  <si>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</si>
  <si>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</si>
  <si>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</si>
  <si>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</si>
  <si>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</si>
  <si>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</si>
  <si>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</si>
  <si>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</si>
  <si>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</si>
  <si>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</si>
  <si>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</si>
  <si>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</si>
  <si>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</si>
  <si>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</si>
  <si>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</si>
  <si>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</si>
  <si>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</si>
  <si>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</si>
  <si>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</si>
  <si>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</si>
  <si>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</si>
  <si>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</si>
  <si>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</si>
  <si>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</si>
  <si>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</si>
  <si>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</si>
  <si>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</si>
  <si>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</si>
  <si>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</si>
  <si>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</si>
  <si>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</si>
  <si>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</si>
  <si>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</si>
  <si>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</si>
  <si>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</si>
  <si>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</si>
  <si>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</si>
  <si>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</si>
  <si>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</si>
  <si>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</si>
  <si>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</si>
  <si>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</si>
  <si>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</si>
  <si>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</si>
  <si>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</si>
  <si>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</si>
  <si>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</si>
  <si>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</si>
  <si>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</si>
  <si>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</si>
  <si>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</si>
  <si>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</si>
  <si>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</si>
  <si>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</si>
  <si>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</si>
  <si>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</si>
  <si>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</si>
  <si>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</si>
  <si>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</si>
  <si>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</si>
  <si>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</si>
  <si>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</si>
  <si>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</si>
  <si>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</si>
  <si>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</si>
  <si>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</si>
  <si>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</si>
  <si>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</si>
  <si>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</si>
  <si>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</si>
  <si>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</si>
  <si>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</si>
  <si>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</si>
  <si>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</si>
  <si>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</si>
  <si>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</si>
  <si>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</si>
  <si>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</si>
  <si>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</si>
  <si>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</si>
  <si>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</si>
  <si>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</si>
  <si>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</si>
  <si>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</si>
  <si>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</si>
  <si>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</si>
  <si>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</si>
  <si>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</si>
  <si>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</si>
  <si>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</si>
  <si>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</si>
  <si>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</si>
  <si>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</si>
  <si>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</si>
  <si>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</si>
  <si>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</si>
  <si>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</si>
  <si>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</si>
  <si>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</si>
  <si>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</si>
  <si>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</si>
  <si>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</si>
  <si>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</si>
  <si>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</si>
  <si>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</si>
  <si>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</si>
  <si>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</si>
  <si>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</si>
  <si>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</si>
  <si>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</si>
  <si>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</si>
  <si>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</si>
  <si>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</si>
  <si>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</si>
  <si>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</si>
  <si>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</si>
  <si>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</si>
  <si>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</si>
  <si>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</si>
  <si>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</si>
  <si>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</si>
  <si>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</si>
  <si>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</si>
  <si>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</si>
  <si>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</si>
  <si>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</si>
  <si>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</si>
  <si>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</si>
  <si>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</si>
  <si>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</si>
  <si>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</si>
  <si>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</si>
  <si>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</si>
  <si>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</si>
  <si>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</si>
  <si>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</si>
  <si>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</si>
  <si>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</si>
  <si>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</si>
  <si>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</si>
  <si>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</si>
  <si>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</si>
  <si>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</si>
  <si>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</si>
  <si>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</si>
  <si>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</si>
  <si>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</si>
  <si>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</si>
  <si>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</si>
  <si>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</si>
  <si>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</si>
  <si>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</si>
  <si>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</si>
  <si>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</si>
  <si>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</si>
  <si>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</si>
  <si>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</si>
  <si>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</si>
  <si>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</si>
  <si>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</si>
  <si>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</si>
  <si>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</si>
  <si>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</si>
  <si>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</si>
  <si>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</si>
  <si>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</si>
  <si>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</si>
  <si>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</si>
  <si>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</si>
  <si>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</si>
  <si>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</si>
  <si>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</si>
  <si>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</si>
  <si>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</si>
  <si>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</si>
  <si>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</si>
  <si>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</si>
  <si>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</si>
  <si>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</si>
  <si>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</si>
  <si>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</si>
  <si>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</si>
  <si>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</si>
  <si>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</si>
  <si>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</si>
  <si>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</si>
  <si>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</si>
  <si>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</si>
  <si>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</si>
  <si>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</si>
  <si>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</si>
  <si>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</si>
  <si>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</si>
  <si>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</si>
  <si>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</si>
  <si>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</si>
  <si>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</si>
  <si>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</si>
  <si>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</si>
  <si>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</si>
  <si>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</si>
  <si>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</si>
  <si>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</si>
  <si>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</si>
  <si>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</si>
  <si>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</si>
  <si>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</si>
  <si>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</si>
  <si>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</si>
  <si>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</si>
  <si>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</si>
  <si>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</si>
  <si>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</si>
  <si>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</si>
  <si>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</si>
  <si>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</si>
  <si>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</si>
  <si>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</si>
  <si>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</si>
  <si>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</si>
  <si>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</si>
  <si>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</si>
  <si>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</si>
  <si>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</si>
  <si>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</si>
  <si>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</si>
  <si>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</si>
  <si>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</si>
  <si>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</si>
  <si>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</si>
  <si>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</si>
  <si>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</si>
  <si>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</si>
  <si>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</si>
  <si>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</si>
  <si>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</si>
  <si>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</si>
  <si>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</si>
  <si>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</si>
  <si>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</si>
  <si>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</si>
  <si>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</si>
  <si>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</si>
  <si>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</si>
  <si>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</si>
  <si>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</si>
  <si>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</si>
  <si>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</si>
  <si>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</si>
  <si>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</si>
  <si>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</si>
  <si>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</si>
  <si>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</si>
  <si>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</si>
  <si>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</si>
  <si>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</si>
  <si>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</si>
  <si>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</si>
  <si>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</si>
  <si>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</si>
  <si>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</si>
  <si>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</si>
  <si>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</si>
  <si>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</si>
  <si>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</si>
  <si>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</si>
  <si>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</si>
  <si>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</si>
  <si>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</si>
  <si>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</si>
  <si>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</si>
  <si>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</si>
  <si>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</si>
  <si>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</si>
  <si>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</si>
  <si>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</si>
  <si>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</si>
  <si>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</si>
  <si>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</si>
  <si>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</si>
  <si>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</si>
  <si>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</si>
  <si>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</si>
  <si>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</si>
  <si>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</si>
  <si>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</si>
  <si>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</si>
  <si>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</si>
  <si>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</si>
  <si>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</si>
  <si>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</si>
  <si>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</si>
  <si>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</si>
  <si>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</si>
  <si>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</si>
  <si>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</si>
  <si>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</si>
  <si>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</si>
  <si>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</si>
  <si>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</si>
  <si>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</si>
  <si>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</si>
  <si>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</si>
  <si>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</si>
  <si>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</si>
  <si>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</si>
  <si>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</si>
  <si>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</si>
  <si>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</si>
  <si>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</si>
  <si>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</si>
  <si>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</si>
  <si>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</si>
  <si>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</si>
  <si>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</si>
  <si>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</si>
  <si>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</si>
  <si>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</si>
  <si>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</si>
  <si>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</si>
  <si>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</si>
  <si>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</si>
  <si>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</si>
  <si>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</si>
  <si>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</si>
  <si>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</si>
  <si>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</si>
  <si>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</si>
  <si>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</si>
  <si>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</si>
  <si>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</si>
  <si>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</si>
  <si>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</si>
  <si>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</si>
  <si>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</si>
  <si>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</si>
  <si>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</si>
  <si>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</si>
  <si>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</si>
  <si>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</si>
  <si>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</si>
  <si>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</si>
  <si>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</si>
  <si>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</si>
  <si>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</si>
  <si>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</si>
  <si>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</si>
  <si>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</si>
  <si>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</si>
  <si>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</si>
  <si>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</si>
  <si>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</si>
  <si>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</si>
  <si>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</si>
  <si>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</si>
  <si>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</si>
  <si>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</si>
  <si>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</si>
  <si>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</si>
  <si>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</si>
  <si>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</si>
  <si>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</si>
  <si>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</si>
  <si>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</si>
  <si>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</si>
  <si>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</si>
  <si>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</si>
  <si>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</si>
  <si>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</si>
  <si>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</si>
  <si>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</si>
  <si>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</si>
  <si>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</si>
  <si>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</si>
  <si>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</si>
  <si>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</si>
  <si>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</si>
  <si>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</si>
  <si>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</si>
  <si>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</si>
  <si>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</si>
  <si>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</si>
  <si>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</si>
  <si>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</si>
  <si>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</si>
  <si>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</si>
  <si>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</si>
  <si>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</si>
  <si>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</si>
  <si>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</si>
  <si>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</si>
  <si>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</si>
  <si>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</si>
  <si>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</si>
  <si>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</si>
  <si>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</si>
  <si>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</si>
  <si>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</si>
  <si>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</si>
  <si>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</si>
  <si>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</si>
  <si>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</si>
  <si>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</si>
  <si>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</si>
  <si>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</si>
  <si>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</si>
  <si>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</si>
  <si>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</si>
  <si>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</si>
  <si>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</si>
  <si>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</si>
  <si>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</si>
  <si>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</si>
  <si>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</si>
  <si>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</si>
  <si>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</si>
  <si>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</si>
  <si>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</si>
  <si>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</si>
  <si>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</si>
  <si>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</si>
  <si>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</si>
  <si>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</si>
  <si>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</si>
  <si>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</si>
  <si>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</si>
  <si>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</si>
  <si>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</si>
  <si>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</si>
  <si>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</si>
  <si>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</si>
  <si>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</si>
  <si>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</si>
  <si>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</si>
  <si>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</si>
  <si>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</si>
  <si>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</si>
  <si>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</si>
  <si>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</si>
  <si>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</si>
  <si>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</si>
  <si>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</si>
  <si>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</si>
  <si>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</si>
  <si>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</si>
  <si>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</si>
  <si>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</si>
  <si>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</si>
  <si>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</si>
  <si>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</si>
  <si>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</si>
  <si>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</si>
  <si>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</si>
  <si>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</si>
  <si>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</si>
  <si>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</si>
  <si>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</si>
  <si>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</si>
  <si>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</si>
  <si>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</si>
  <si>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</si>
  <si>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</si>
  <si>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</si>
  <si>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</si>
  <si>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</si>
  <si>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</si>
  <si>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</si>
  <si>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</si>
  <si>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</si>
  <si>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</si>
  <si>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</si>
  <si>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</si>
  <si>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</si>
  <si>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</si>
  <si>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</si>
  <si>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</si>
  <si>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</si>
  <si>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</si>
  <si>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</si>
  <si>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</si>
  <si>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</si>
  <si>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</si>
  <si>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</si>
  <si>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</si>
  <si>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</si>
  <si>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</si>
  <si>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</si>
  <si>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</si>
  <si>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</si>
  <si>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</si>
  <si>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</si>
  <si>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</si>
  <si>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</si>
  <si>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</si>
  <si>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</si>
  <si>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</si>
  <si>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</si>
  <si>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</si>
  <si>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</si>
  <si>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</si>
  <si>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</si>
  <si>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</si>
  <si>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</si>
  <si>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</si>
  <si>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</si>
  <si>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</si>
  <si>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</si>
  <si>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</si>
  <si>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</si>
  <si>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</si>
  <si>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</si>
  <si>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</si>
  <si>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</si>
  <si>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</si>
  <si>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</si>
  <si>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</si>
  <si>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</si>
  <si>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</si>
  <si>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</si>
  <si>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</si>
  <si>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</si>
  <si>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</si>
  <si>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</si>
  <si>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</si>
  <si>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</si>
  <si>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</si>
  <si>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</si>
  <si>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</si>
  <si>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</si>
  <si>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</si>
  <si>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</si>
  <si>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</si>
  <si>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</si>
  <si>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</si>
  <si>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</si>
  <si>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</si>
  <si>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</si>
  <si>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</si>
  <si>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</si>
  <si>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</si>
  <si>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</si>
  <si>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</si>
  <si>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</si>
  <si>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</si>
  <si>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</si>
  <si>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</si>
  <si>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</si>
  <si>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</si>
  <si>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</si>
  <si>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</si>
  <si>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</si>
  <si>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</si>
  <si>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</si>
  <si>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</si>
  <si>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</si>
  <si>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</si>
  <si>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</si>
  <si>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</si>
  <si>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</si>
  <si>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</si>
  <si>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</si>
  <si>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</si>
  <si>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</si>
  <si>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</si>
  <si>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</si>
  <si>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</si>
  <si>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</si>
  <si>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</si>
  <si>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</si>
  <si>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</si>
  <si>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</si>
  <si>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</si>
  <si>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</si>
  <si>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</si>
  <si>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</si>
  <si>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</si>
  <si>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</si>
  <si>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</si>
  <si>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</si>
  <si>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</si>
  <si>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</si>
  <si>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</si>
  <si>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</si>
  <si>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</si>
  <si>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</si>
  <si>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</si>
  <si>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</si>
  <si>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</si>
  <si>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</si>
  <si>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</si>
  <si>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</si>
  <si>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</si>
  <si>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</si>
  <si>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</si>
  <si>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</si>
  <si>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</si>
  <si>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</si>
  <si>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</si>
  <si>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</si>
  <si>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</si>
  <si>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</si>
  <si>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</si>
  <si>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</si>
  <si>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</si>
  <si>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</si>
  <si>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</si>
  <si>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</si>
  <si>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</si>
  <si>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</si>
  <si>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</si>
  <si>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</si>
  <si>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</si>
  <si>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</si>
  <si>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</si>
  <si>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</si>
  <si>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</si>
  <si>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</si>
  <si>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</si>
  <si>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</si>
  <si>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</si>
  <si>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</si>
  <si>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</si>
  <si>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</si>
  <si>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</si>
  <si>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</si>
  <si>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</si>
  <si>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</si>
  <si>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</si>
  <si>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</si>
  <si>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</si>
  <si>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</si>
  <si>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</si>
  <si>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</si>
  <si>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</si>
  <si>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</si>
  <si>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</si>
  <si>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</si>
  <si>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</si>
  <si>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</si>
  <si>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</si>
  <si>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</si>
  <si>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</si>
  <si>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</si>
  <si>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</si>
  <si>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</si>
  <si>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</si>
  <si>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</si>
  <si>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</si>
  <si>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</si>
  <si>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</si>
  <si>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</si>
  <si>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</si>
  <si>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</si>
  <si>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</si>
  <si>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</si>
  <si>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</si>
  <si>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</si>
  <si>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</si>
  <si>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</si>
  <si>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</si>
  <si>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</si>
  <si>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</si>
  <si>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</si>
  <si>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</si>
  <si>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</si>
  <si>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</si>
  <si>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</si>
  <si>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</si>
  <si>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</si>
  <si>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</si>
  <si>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</si>
  <si>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</si>
  <si>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</si>
  <si>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</si>
  <si>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</si>
  <si>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</si>
  <si>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</si>
  <si>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</si>
  <si>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</si>
  <si>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</si>
  <si>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</si>
  <si>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</si>
  <si>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</si>
  <si>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</si>
  <si>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</si>
  <si>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</si>
  <si>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</si>
  <si>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</si>
  <si>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</si>
  <si>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</si>
  <si>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</si>
  <si>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</si>
  <si>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</si>
  <si>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</si>
  <si>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</si>
  <si>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</si>
  <si>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</si>
  <si>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</si>
  <si>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</si>
  <si>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</si>
  <si>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</si>
  <si>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</si>
  <si>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</si>
  <si>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</si>
  <si>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</si>
  <si>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</si>
  <si>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</si>
  <si>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</si>
  <si>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</si>
  <si>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</si>
  <si>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</si>
  <si>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</si>
  <si>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</si>
  <si>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</si>
  <si>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</si>
  <si>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</si>
  <si>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</si>
  <si>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</si>
  <si>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</si>
  <si>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</si>
  <si>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</si>
  <si>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</si>
  <si>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</si>
  <si>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</si>
  <si>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</si>
  <si>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</si>
  <si>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</si>
  <si>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</si>
  <si>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</si>
  <si>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</si>
  <si>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</si>
  <si>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</si>
  <si>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</si>
  <si>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</si>
  <si>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</si>
  <si>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</si>
  <si>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</si>
  <si>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</si>
  <si>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</si>
  <si>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</si>
  <si>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</si>
  <si>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</si>
  <si>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</si>
  <si>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</si>
  <si>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</si>
  <si>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</si>
  <si>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</si>
  <si>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</si>
  <si>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</si>
  <si>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</si>
  <si>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</si>
  <si>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</si>
  <si>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</si>
  <si>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</si>
  <si>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</si>
  <si>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</si>
  <si>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</si>
  <si>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</si>
  <si>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</si>
  <si>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</si>
  <si>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</si>
  <si>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</si>
  <si>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</si>
  <si>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</si>
  <si>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</si>
  <si>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</si>
  <si>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</si>
  <si>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</si>
  <si>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</si>
  <si>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</si>
  <si>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</si>
  <si>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</si>
  <si>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</si>
  <si>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</si>
  <si>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</si>
  <si>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</si>
  <si>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</si>
  <si>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</si>
  <si>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</si>
  <si>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</si>
  <si>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</si>
  <si>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</si>
  <si>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</si>
  <si>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</si>
  <si>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</si>
  <si>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</si>
  <si>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</si>
  <si>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</si>
  <si>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</si>
  <si>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</si>
  <si>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</si>
  <si>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</si>
  <si>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</si>
  <si>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</si>
  <si>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</si>
  <si>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</si>
  <si>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</si>
  <si>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</si>
  <si>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</si>
  <si>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</si>
  <si>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</si>
  <si>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</si>
  <si>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</si>
  <si>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</si>
  <si>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</si>
  <si>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</si>
  <si>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</si>
  <si>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</si>
  <si>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</si>
  <si>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</si>
  <si>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</si>
  <si>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</si>
  <si>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</si>
  <si>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</si>
  <si>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</si>
  <si>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</si>
  <si>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</si>
  <si>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</si>
  <si>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</si>
  <si>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</si>
  <si>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</si>
  <si>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</si>
  <si>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</si>
  <si>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</si>
  <si>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</si>
  <si>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</si>
  <si>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</si>
  <si>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</si>
  <si>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</si>
  <si>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</si>
  <si>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</si>
  <si>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</si>
  <si>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</si>
  <si>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</si>
  <si>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</si>
  <si>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</si>
  <si>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</si>
  <si>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</si>
  <si>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</si>
  <si>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</si>
  <si>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</si>
  <si>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</si>
  <si>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</si>
  <si>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</si>
  <si>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</si>
  <si>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</si>
  <si>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</si>
  <si>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</si>
  <si>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</si>
  <si>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</si>
  <si>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</si>
  <si>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</si>
  <si>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</si>
  <si>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</si>
  <si>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</si>
  <si>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</si>
  <si>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</si>
  <si>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</si>
  <si>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</si>
  <si>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</si>
  <si>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</si>
  <si>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</si>
  <si>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</si>
  <si>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</si>
  <si>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</si>
  <si>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</si>
  <si>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2026-08</t>
  </si>
  <si>
    <t>ORD-2026-001</t>
  </si>
  <si>
    <t>INV-ORD-2026-001</t>
  </si>
  <si>
    <t>SKU-SO-892101</t>
  </si>
  <si>
    <t>Cin7 Commercial Item (ORD-2026-001)</t>
  </si>
  <si>
    <t>VNC Commercial</t>
  </si>
  <si>
    <t>General Goods</t>
  </si>
  <si>
    <t>Synced</t>
  </si>
  <si>
    <t>Acme Logistics Ltd</t>
  </si>
  <si>
    <t>Complete</t>
  </si>
  <si>
    <t>each</t>
  </si>
  <si>
    <t>FULFILLED</t>
  </si>
  <si>
    <t>Enterprise</t>
  </si>
  <si>
    <t>Cin7 Automated Sync</t>
  </si>
  <si>
    <t>Shopify web</t>
  </si>
  <si>
    <t>ORD-2026-002</t>
  </si>
  <si>
    <t>INV-ORD-2026-002</t>
  </si>
  <si>
    <t>SKU-SO-892102</t>
  </si>
  <si>
    <t>Cin7 Commercial Item (ORD-2026-002)</t>
  </si>
  <si>
    <t>Global Business Edge</t>
  </si>
  <si>
    <t>ORD-2026-003</t>
  </si>
  <si>
    <t>INV-ORD-2026-003</t>
  </si>
  <si>
    <t>SKU-SO-892103</t>
  </si>
  <si>
    <t>Cin7 Commercial Item (ORD-2026-003)</t>
  </si>
  <si>
    <t>Apex Trading Co</t>
  </si>
  <si>
    <t>Pending</t>
  </si>
  <si>
    <t>ORD-2026-004</t>
  </si>
  <si>
    <t>INV-ORD-2026-004</t>
  </si>
  <si>
    <t>SKU-SO-892104</t>
  </si>
  <si>
    <t>Cin7 Commercial Item (ORD-2026-004)</t>
  </si>
  <si>
    <t>VNC Enterprise Hub</t>
  </si>
  <si>
    <t>ORD-2026-005</t>
  </si>
  <si>
    <t>INV-ORD-2026-005</t>
  </si>
  <si>
    <t>SKU-SO-892105</t>
  </si>
  <si>
    <t>Cin7 Commercial Item (ORD-2026-005)</t>
  </si>
  <si>
    <t>Pacific Retailers</t>
  </si>
  <si>
    <t>Active</t>
  </si>
  <si>
    <t>February</t>
  </si>
  <si>
    <t>INV-February</t>
  </si>
  <si>
    <t>SKU-2025</t>
  </si>
  <si>
    <t>Cin7 Commercial Item (February)</t>
  </si>
  <si>
    <t>SO-2026-89005</t>
  </si>
  <si>
    <t>INV-45005</t>
  </si>
  <si>
    <t>SO-2026-89006</t>
  </si>
  <si>
    <t>INV-45006</t>
  </si>
  <si>
    <t>SO-2026-89007</t>
  </si>
  <si>
    <t>INV-45007</t>
  </si>
  <si>
    <t>SO-2026-89008</t>
  </si>
  <si>
    <t>INV-45008</t>
  </si>
  <si>
    <t>SO-2026-89009</t>
  </si>
  <si>
    <t>INV-45009</t>
  </si>
  <si>
    <t>INV-March</t>
  </si>
  <si>
    <t>Cin7 Commercial Item (March)</t>
  </si>
  <si>
    <t>SO-2026-89010</t>
  </si>
  <si>
    <t>INV-45010</t>
  </si>
  <si>
    <t>SO-2026-89011</t>
  </si>
  <si>
    <t>INV-45011</t>
  </si>
  <si>
    <t>SO-2026-89012</t>
  </si>
  <si>
    <t>INV-45012</t>
  </si>
  <si>
    <t>SO-2026-89013</t>
  </si>
  <si>
    <t>INV-45013</t>
  </si>
  <si>
    <t>SO-2026-89014</t>
  </si>
  <si>
    <t>INV-45014</t>
  </si>
  <si>
    <t>April</t>
  </si>
  <si>
    <t>INV-April</t>
  </si>
  <si>
    <t>Cin7 Commercial Item (April)</t>
  </si>
  <si>
    <t>SO-2026-89015</t>
  </si>
  <si>
    <t>INV-45015</t>
  </si>
  <si>
    <t>SO-2026-89016</t>
  </si>
  <si>
    <t>INV-45016</t>
  </si>
  <si>
    <t>SO-2026-89017</t>
  </si>
  <si>
    <t>INV-45017</t>
  </si>
  <si>
    <t>SO-2026-89018</t>
  </si>
  <si>
    <t>INV-45018</t>
  </si>
  <si>
    <t>SO-2026-89019</t>
  </si>
  <si>
    <t>INV-45019</t>
  </si>
  <si>
    <t>May</t>
  </si>
  <si>
    <t>INV-May</t>
  </si>
  <si>
    <t>Cin7 Commercial Item (May)</t>
  </si>
  <si>
    <t>SO-2026-89020</t>
  </si>
  <si>
    <t>INV-45020</t>
  </si>
  <si>
    <t>SO-2026-89021</t>
  </si>
  <si>
    <t>INV-45021</t>
  </si>
  <si>
    <t>SO-2026-89022</t>
  </si>
  <si>
    <t>INV-45022</t>
  </si>
  <si>
    <t>SO-2026-89023</t>
  </si>
  <si>
    <t>INV-45023</t>
  </si>
  <si>
    <t>SO-2026-89024</t>
  </si>
  <si>
    <t>INV-45024</t>
  </si>
  <si>
    <t>June</t>
  </si>
  <si>
    <t>INV-June</t>
  </si>
  <si>
    <t>Cin7 Commercial Item (June)</t>
  </si>
  <si>
    <t>SO-2026-89025</t>
  </si>
  <si>
    <t>INV-45025</t>
  </si>
  <si>
    <t>SO-2026-89026</t>
  </si>
  <si>
    <t>INV-45026</t>
  </si>
  <si>
    <t>SO-2026-89027</t>
  </si>
  <si>
    <t>INV-45027</t>
  </si>
  <si>
    <t>SO-2026-89028</t>
  </si>
  <si>
    <t>INV-45028</t>
  </si>
  <si>
    <t>SO-2026-89029</t>
  </si>
  <si>
    <t>INV-45029</t>
  </si>
  <si>
    <t>INV-July</t>
  </si>
  <si>
    <t>Cin7 Commercial Item (July)</t>
  </si>
  <si>
    <t>SO-2026-89030</t>
  </si>
  <si>
    <t>INV-45030</t>
  </si>
  <si>
    <t>SO-2026-89031</t>
  </si>
  <si>
    <t>INV-45031</t>
  </si>
  <si>
    <t>SO-2026-89032</t>
  </si>
  <si>
    <t>INV-45032</t>
  </si>
  <si>
    <t>SO-2026-89033</t>
  </si>
  <si>
    <t>INV-45033</t>
  </si>
  <si>
    <t>SO-2026-89034</t>
  </si>
  <si>
    <t>INV-45034</t>
  </si>
  <si>
    <t>INV-August</t>
  </si>
  <si>
    <t>Cin7 Commercial Item (August)</t>
  </si>
  <si>
    <t>SO-2026-89035</t>
  </si>
  <si>
    <t>INV-45035</t>
  </si>
  <si>
    <t>SO-2026-89036</t>
  </si>
  <si>
    <t>INV-45036</t>
  </si>
  <si>
    <t>SO-2026-89037</t>
  </si>
  <si>
    <t>INV-45037</t>
  </si>
  <si>
    <t>SO-2026-89038</t>
  </si>
  <si>
    <t>INV-45038</t>
  </si>
  <si>
    <t>SO-2026-89039</t>
  </si>
  <si>
    <t>INV-45039</t>
  </si>
  <si>
    <t>INV-September</t>
  </si>
  <si>
    <t>Cin7 Commercial Item (September)</t>
  </si>
  <si>
    <t>SO-2026-89040</t>
  </si>
  <si>
    <t>INV-45040</t>
  </si>
  <si>
    <t>SO-2026-89041</t>
  </si>
  <si>
    <t>INV-45041</t>
  </si>
  <si>
    <t>SO-2026-89042</t>
  </si>
  <si>
    <t>INV-45042</t>
  </si>
  <si>
    <t>SO-2026-89043</t>
  </si>
  <si>
    <t>INV-45043</t>
  </si>
  <si>
    <t>SO-2026-89044</t>
  </si>
  <si>
    <t>INV-45044</t>
  </si>
  <si>
    <t>INV-October</t>
  </si>
  <si>
    <t>Cin7 Commercial Item (October)</t>
  </si>
  <si>
    <t>SO-2026-89045</t>
  </si>
  <si>
    <t>INV-45045</t>
  </si>
  <si>
    <t>SO-2026-89046</t>
  </si>
  <si>
    <t>INV-45046</t>
  </si>
  <si>
    <t>SO-2026-89047</t>
  </si>
  <si>
    <t>INV-45047</t>
  </si>
  <si>
    <t>SO-2026-89048</t>
  </si>
  <si>
    <t>INV-45048</t>
  </si>
  <si>
    <t>SO-2026-89049</t>
  </si>
  <si>
    <t>INV-45049</t>
  </si>
  <si>
    <t>INV-November</t>
  </si>
  <si>
    <t>Cin7 Commercial Item (November)</t>
  </si>
  <si>
    <t>SO-2026-89050</t>
  </si>
  <si>
    <t>INV-45050</t>
  </si>
  <si>
    <t>SO-2026-89051</t>
  </si>
  <si>
    <t>INV-45051</t>
  </si>
  <si>
    <t>SO-2026-89052</t>
  </si>
  <si>
    <t>INV-45052</t>
  </si>
  <si>
    <t>SO-2026-89053</t>
  </si>
  <si>
    <t>INV-45053</t>
  </si>
  <si>
    <t>SO-2026-89054</t>
  </si>
  <si>
    <t>INV-45054</t>
  </si>
  <si>
    <t>December</t>
  </si>
  <si>
    <t>INV-December</t>
  </si>
  <si>
    <t>Cin7 Commercial Item (December)</t>
  </si>
  <si>
    <t>SO-2026-89055</t>
  </si>
  <si>
    <t>INV-45055</t>
  </si>
  <si>
    <t>SO-2026-89056</t>
  </si>
  <si>
    <t>INV-45056</t>
  </si>
  <si>
    <t>SO-2026-89057</t>
  </si>
  <si>
    <t>INV-45057</t>
  </si>
  <si>
    <t>SO-2026-89058</t>
  </si>
  <si>
    <t>INV-45058</t>
  </si>
  <si>
    <t>SO-2026-89059</t>
  </si>
  <si>
    <t>INV-45059</t>
  </si>
  <si>
    <t>January</t>
  </si>
  <si>
    <t>INV-January</t>
  </si>
  <si>
    <t>SKU-2026</t>
  </si>
  <si>
    <t>Cin7 Commercial Item (January)</t>
  </si>
  <si>
    <t>SO-2026-89060</t>
  </si>
  <si>
    <t>INV-45060</t>
  </si>
  <si>
    <t>SO-2026-89061</t>
  </si>
  <si>
    <t>INV-45061</t>
  </si>
  <si>
    <t>SO-2026-89062</t>
  </si>
  <si>
    <t>INV-45062</t>
  </si>
  <si>
    <t>SO-2026-89063</t>
  </si>
  <si>
    <t>INV-45063</t>
  </si>
  <si>
    <t>SO-2026-89064</t>
  </si>
  <si>
    <t>INV-45064</t>
  </si>
  <si>
    <t>SO-2026-89065</t>
  </si>
  <si>
    <t>INV-45065</t>
  </si>
  <si>
    <t>SO-2026-89066</t>
  </si>
  <si>
    <t>INV-45066</t>
  </si>
  <si>
    <t>SO-2026-89067</t>
  </si>
  <si>
    <t>INV-45067</t>
  </si>
  <si>
    <t>SO-2026-89068</t>
  </si>
  <si>
    <t>INV-45068</t>
  </si>
  <si>
    <t>SO-2026-89069</t>
  </si>
  <si>
    <t>INV-45069</t>
  </si>
  <si>
    <t>SO-2026-89070</t>
  </si>
  <si>
    <t>INV-45070</t>
  </si>
  <si>
    <t>SO-2026-89071</t>
  </si>
  <si>
    <t>INV-45071</t>
  </si>
  <si>
    <t>SO-2026-89072</t>
  </si>
  <si>
    <t>INV-45072</t>
  </si>
  <si>
    <t>SO-2026-89073</t>
  </si>
  <si>
    <t>INV-45073</t>
  </si>
  <si>
    <t>SO-2026-89074</t>
  </si>
  <si>
    <t>INV-45074</t>
  </si>
  <si>
    <t>SO-2026-89075</t>
  </si>
  <si>
    <t>INV-45075</t>
  </si>
  <si>
    <t>SO-2026-89076</t>
  </si>
  <si>
    <t>INV-45076</t>
  </si>
  <si>
    <t>SO-2026-89077</t>
  </si>
  <si>
    <t>INV-45077</t>
  </si>
  <si>
    <t>SO-2026-89078</t>
  </si>
  <si>
    <t>INV-45078</t>
  </si>
  <si>
    <t>SO-2026-89079</t>
  </si>
  <si>
    <t>INV-45079</t>
  </si>
  <si>
    <t>SO-2026-89080</t>
  </si>
  <si>
    <t>INV-45080</t>
  </si>
  <si>
    <t>SO-2026-89081</t>
  </si>
  <si>
    <t>INV-45081</t>
  </si>
  <si>
    <t>SO-2026-89082</t>
  </si>
  <si>
    <t>INV-45082</t>
  </si>
  <si>
    <t>SO-2026-89083</t>
  </si>
  <si>
    <t>INV-45083</t>
  </si>
  <si>
    <t>SO-2026-89084</t>
  </si>
  <si>
    <t>INV-45084</t>
  </si>
  <si>
    <t>SO-2026-89085</t>
  </si>
  <si>
    <t>INV-45085</t>
  </si>
  <si>
    <t>SO-2026-89086</t>
  </si>
  <si>
    <t>INV-45086</t>
  </si>
  <si>
    <t>SO-2026-89087</t>
  </si>
  <si>
    <t>INV-45087</t>
  </si>
  <si>
    <t>SO-2026-89088</t>
  </si>
  <si>
    <t>INV-45088</t>
  </si>
  <si>
    <t>SO-2026-89089</t>
  </si>
  <si>
    <t>INV-45089</t>
  </si>
  <si>
    <t>SO-2026-89090</t>
  </si>
  <si>
    <t>INV-45090</t>
  </si>
  <si>
    <t>SO-2026-89091</t>
  </si>
  <si>
    <t>INV-45091</t>
  </si>
  <si>
    <t>SO-2026-89092</t>
  </si>
  <si>
    <t>INV-45092</t>
  </si>
  <si>
    <t>SO-2026-89093</t>
  </si>
  <si>
    <t>INV-45093</t>
  </si>
  <si>
    <t>SO-2026-89094</t>
  </si>
  <si>
    <t>INV-45094</t>
  </si>
  <si>
    <t>SO-2026-89095</t>
  </si>
  <si>
    <t>INV-45095</t>
  </si>
  <si>
    <t>SO-2026-89096</t>
  </si>
  <si>
    <t>INV-45096</t>
  </si>
  <si>
    <t>SO-2026-89097</t>
  </si>
  <si>
    <t>INV-45097</t>
  </si>
  <si>
    <t>SO-2026-89098</t>
  </si>
  <si>
    <t>INV-45098</t>
  </si>
  <si>
    <t>SO-2026-89099</t>
  </si>
  <si>
    <t>INV-45099</t>
  </si>
  <si>
    <t>SO-2026-89100</t>
  </si>
  <si>
    <t>INV-45100</t>
  </si>
  <si>
    <t>SO-2026-89101</t>
  </si>
  <si>
    <t>INV-45101</t>
  </si>
  <si>
    <t>SO-2026-89102</t>
  </si>
  <si>
    <t>INV-45102</t>
  </si>
  <si>
    <t>SO-2026-89103</t>
  </si>
  <si>
    <t>INV-45103</t>
  </si>
  <si>
    <t>SO-2026-89104</t>
  </si>
  <si>
    <t>INV-45104</t>
  </si>
  <si>
    <t>SO-2026-89105</t>
  </si>
  <si>
    <t>INV-45105</t>
  </si>
  <si>
    <t>SO-2026-89106</t>
  </si>
  <si>
    <t>INV-45106</t>
  </si>
  <si>
    <t>SO-2026-89107</t>
  </si>
  <si>
    <t>INV-45107</t>
  </si>
  <si>
    <t>SO-2026-89108</t>
  </si>
  <si>
    <t>INV-45108</t>
  </si>
  <si>
    <t>SO-2026-89109</t>
  </si>
  <si>
    <t>INV-45109</t>
  </si>
  <si>
    <t>SO-2026-89110</t>
  </si>
  <si>
    <t>INV-45110</t>
  </si>
  <si>
    <t>SO-2026-89111</t>
  </si>
  <si>
    <t>INV-45111</t>
  </si>
  <si>
    <t>SO-2026-89112</t>
  </si>
  <si>
    <t>INV-45112</t>
  </si>
  <si>
    <t>SO-2026-89113</t>
  </si>
  <si>
    <t>INV-45113</t>
  </si>
  <si>
    <t>SO-2026-89114</t>
  </si>
  <si>
    <t>INV-45114</t>
  </si>
  <si>
    <t>SO-2026-89115</t>
  </si>
  <si>
    <t>INV-45115</t>
  </si>
  <si>
    <t>SO-2026-89116</t>
  </si>
  <si>
    <t>INV-45116</t>
  </si>
  <si>
    <t>SO-2026-89117</t>
  </si>
  <si>
    <t>INV-45117</t>
  </si>
  <si>
    <t>SO-2026-89118</t>
  </si>
  <si>
    <t>INV-45118</t>
  </si>
  <si>
    <t>SO-2026-89119</t>
  </si>
  <si>
    <t>INV-45119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</si>
  <si>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</si>
  <si>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</si>
  <si>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</si>
  <si>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</si>
  <si>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</si>
  <si>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</si>
  <si>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</si>
  <si>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</si>
  <si>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Main Warehouse</t>
  </si>
  <si>
    <t>SKU-VNC-PRO-01</t>
  </si>
  <si>
    <t>Enterprise Server Unit A</t>
  </si>
  <si>
    <t>SKU-VNC-PRO-02</t>
  </si>
  <si>
    <t>Cloud Gateway Adapter</t>
  </si>
  <si>
    <t>SKU-VNC-PRO-03</t>
  </si>
  <si>
    <t>Smart Terminal Display</t>
  </si>
  <si>
    <t>SKU-VNC-PRO-04</t>
  </si>
  <si>
    <t>High-Speed Fiber Transceiver</t>
  </si>
  <si>
    <t>SKU-VNC-PRO-05</t>
  </si>
  <si>
    <t>Uninterruptible Power Module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</si>
  <si>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</si>
  <si>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</si>
  <si>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</si>
  <si>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</si>
  <si>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</si>
  <si>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</si>
  <si>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</si>
  <si>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</si>
  <si>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</si>
  <si>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</si>
  <si>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</si>
  <si>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</si>
  <si>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</si>
  <si>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</si>
  <si>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</si>
  <si>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Intel Core Direct</t>
  </si>
  <si>
    <t>PO-REF-2026-A</t>
  </si>
  <si>
    <t>INV-PO-REF-2026-A</t>
  </si>
  <si>
    <t>VNC Brand</t>
  </si>
  <si>
    <t>SKU-PO-50110</t>
  </si>
  <si>
    <t>Cin7 Raw Material (PO-REF-2026-A)</t>
  </si>
  <si>
    <t>BATCH-PO-50110</t>
  </si>
  <si>
    <t>Cisco Systems Inc</t>
  </si>
  <si>
    <t>PO-REF-2026-B</t>
  </si>
  <si>
    <t>INV-PO-REF-2026-B</t>
  </si>
  <si>
    <t>SKU-PO-50111</t>
  </si>
  <si>
    <t>Cin7 Raw Material (PO-REF-2026-B)</t>
  </si>
  <si>
    <t>BATCH-PO-50111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</si>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</sst>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14" fontId="0" fillId="0" borderId="0" xfId="0" applyNumberForma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</row>
    <row r="16" ht="16.5" customHeight="1" spans="1:8" x14ac:dyDescent="0.25">
      <c r="A16">
        <v>2</v>
      </c>
      <c r="B16" t="s">
        <v>26</v>
      </c>
      <c r="C16" t="s">
        <v>27</v>
      </c>
      <c r="D16" t="s">
        <v>28</v>
      </c>
      <c r="E16" t="s">
        <v>29</v>
      </c>
      <c r="F16" t="s">
        <v>23</v>
      </c>
      <c r="G16" t="s">
        <v>30</v>
      </c>
      <c r="H16" t="s">
        <v>25</v>
      </c>
    </row>
    <row r="17" ht="16.5" customHeight="1" spans="1:8" x14ac:dyDescent="0.25">
      <c r="A17">
        <v>3</v>
      </c>
      <c r="B17" t="s">
        <v>31</v>
      </c>
      <c r="C17" t="s">
        <v>27</v>
      </c>
      <c r="D17" t="s">
        <v>32</v>
      </c>
      <c r="E17" t="s">
        <v>29</v>
      </c>
      <c r="F17" t="s">
        <v>23</v>
      </c>
      <c r="G17" t="s">
        <v>30</v>
      </c>
      <c r="H17" t="s">
        <v>25</v>
      </c>
    </row>
    <row r="18" ht="16.5" customHeight="1" spans="1:8" x14ac:dyDescent="0.25">
      <c r="A18">
        <v>4</v>
      </c>
      <c r="B18" t="s">
        <v>33</v>
      </c>
      <c r="C18" t="s">
        <v>27</v>
      </c>
      <c r="D18" t="s">
        <v>34</v>
      </c>
      <c r="E18" t="s">
        <v>29</v>
      </c>
      <c r="F18" t="s">
        <v>23</v>
      </c>
      <c r="G18" t="s">
        <v>30</v>
      </c>
      <c r="H18" t="s">
        <v>25</v>
      </c>
    </row>
    <row r="19" ht="16.5" customHeight="1" spans="1:8" x14ac:dyDescent="0.25">
      <c r="A19">
        <v>5</v>
      </c>
      <c r="B19" t="s">
        <v>35</v>
      </c>
      <c r="C19" t="s">
        <v>36</v>
      </c>
      <c r="D19" t="s">
        <v>37</v>
      </c>
      <c r="E19" t="s">
        <v>29</v>
      </c>
      <c r="F19" t="s">
        <v>38</v>
      </c>
      <c r="G19" t="s">
        <v>30</v>
      </c>
      <c r="H19" t="s">
        <v>25</v>
      </c>
    </row>
    <row r="20" ht="16.5" customHeight="1" spans="1:8" x14ac:dyDescent="0.25">
      <c r="A20">
        <v>6</v>
      </c>
      <c r="B20" t="s">
        <v>39</v>
      </c>
      <c r="C20" t="s">
        <v>36</v>
      </c>
      <c r="D20" t="s">
        <v>40</v>
      </c>
      <c r="E20" t="s">
        <v>29</v>
      </c>
      <c r="F20" t="s">
        <v>23</v>
      </c>
      <c r="G20" t="s">
        <v>41</v>
      </c>
      <c r="H20" t="s">
        <v>25</v>
      </c>
    </row>
    <row r="21" ht="16.5" customHeight="1" spans="1:8" x14ac:dyDescent="0.25">
      <c r="A21">
        <v>7</v>
      </c>
      <c r="B21" t="s">
        <v>42</v>
      </c>
      <c r="C21" t="s">
        <v>43</v>
      </c>
      <c r="D21" t="s">
        <v>44</v>
      </c>
      <c r="E21" t="s">
        <v>29</v>
      </c>
      <c r="F21" t="s">
        <v>23</v>
      </c>
      <c r="G21" t="s">
        <v>45</v>
      </c>
      <c r="H21" t="s">
        <v>25</v>
      </c>
    </row>
    <row r="22" ht="16.5" customHeight="1" spans="1:8" x14ac:dyDescent="0.25">
      <c r="A22">
        <v>8</v>
      </c>
      <c r="B22" t="s">
        <v>46</v>
      </c>
      <c r="C22" t="s">
        <v>43</v>
      </c>
      <c r="D22" t="s">
        <v>47</v>
      </c>
      <c r="E22" t="s">
        <v>29</v>
      </c>
      <c r="F22" t="s">
        <v>23</v>
      </c>
      <c r="G22" t="s">
        <v>48</v>
      </c>
      <c r="H22" t="s">
        <v>25</v>
      </c>
    </row>
    <row r="23" ht="16.5" customHeight="1" spans="1:8" x14ac:dyDescent="0.25">
      <c r="A23">
        <v>9</v>
      </c>
      <c r="B23" t="s">
        <v>49</v>
      </c>
      <c r="C23" t="s">
        <v>50</v>
      </c>
      <c r="D23" t="s">
        <v>51</v>
      </c>
      <c r="E23" t="s">
        <v>29</v>
      </c>
      <c r="F23" t="s">
        <v>23</v>
      </c>
      <c r="G23" t="s">
        <v>52</v>
      </c>
      <c r="H23" t="s">
        <v>25</v>
      </c>
    </row>
    <row r="24" ht="16.5" customHeight="1" spans="1:8" x14ac:dyDescent="0.25">
      <c r="A24">
        <v>10</v>
      </c>
      <c r="B24" t="s">
        <v>53</v>
      </c>
      <c r="C24" t="s">
        <v>54</v>
      </c>
      <c r="D24" t="s">
        <v>55</v>
      </c>
      <c r="E24" t="s">
        <v>29</v>
      </c>
      <c r="F24" t="s">
        <v>38</v>
      </c>
      <c r="G24" t="s">
        <v>30</v>
      </c>
      <c r="H24" t="s">
        <v>25</v>
      </c>
    </row>
    <row r="25" ht="16.5" customHeight="1" spans="1:8" x14ac:dyDescent="0.25">
      <c r="A25" t="s">
        <v>56</v>
      </c>
      <c r="B25" t="s">
        <v>57</v>
      </c>
      <c r="C25" t="s">
        <v>58</v>
      </c>
      <c r="D25" t="s">
        <v>59</v>
      </c>
      <c r="E25" t="s">
        <v>22</v>
      </c>
      <c r="F25" t="s">
        <v>23</v>
      </c>
      <c r="G25" t="s">
        <v>60</v>
      </c>
      <c r="H25" t="s">
        <v>61</v>
      </c>
    </row>
    <row r="26" ht="16.5" customHeight="1" spans="1:8" x14ac:dyDescent="0.25">
      <c r="A26" t="s">
        <v>56</v>
      </c>
      <c r="B26" t="s">
        <v>62</v>
      </c>
      <c r="C26" t="s">
        <v>58</v>
      </c>
      <c r="D26" t="s">
        <v>63</v>
      </c>
      <c r="E26" t="s">
        <v>22</v>
      </c>
      <c r="F26" t="s">
        <v>38</v>
      </c>
      <c r="G26" t="s">
        <v>60</v>
      </c>
      <c r="H26" t="s">
        <v>61</v>
      </c>
    </row>
    <row r="27" ht="16.5" customHeight="1" spans="1:8" x14ac:dyDescent="0.25">
      <c r="A27" t="s">
        <v>56</v>
      </c>
      <c r="B27" t="s">
        <v>64</v>
      </c>
      <c r="C27" t="s">
        <v>58</v>
      </c>
      <c r="D27" t="s">
        <v>65</v>
      </c>
      <c r="E27" t="s">
        <v>22</v>
      </c>
      <c r="F27" t="s">
        <v>23</v>
      </c>
      <c r="G27" t="s">
        <v>60</v>
      </c>
      <c r="H27" t="s">
        <v>61</v>
      </c>
    </row>
    <row r="28" ht="16.5" customHeight="1" x14ac:dyDescent="0.25"/>
    <row r="29" ht="16.5" customHeight="1" x14ac:dyDescent="0.25"/>
    <row r="30" ht="16.5" customHeight="1" spans="1:1" x14ac:dyDescent="0.25">
      <c r="A30" t="s">
        <v>66</v>
      </c>
    </row>
    <row r="31" ht="16.5" customHeight="1" spans="1:8" x14ac:dyDescent="0.25">
      <c r="A31">
        <v>0</v>
      </c>
      <c r="B31" t="s">
        <v>67</v>
      </c>
      <c r="C31" t="s">
        <v>68</v>
      </c>
      <c r="D31" t="s">
        <v>69</v>
      </c>
      <c r="E31" t="s">
        <v>70</v>
      </c>
      <c r="F31" t="s">
        <v>71</v>
      </c>
      <c r="G31" t="s">
        <v>72</v>
      </c>
      <c r="H31" t="s">
        <v>18</v>
      </c>
    </row>
    <row r="32" ht="49.5" customHeight="1" spans="1:8" x14ac:dyDescent="0.25">
      <c r="A32">
        <v>1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23</v>
      </c>
      <c r="H32" t="s">
        <v>78</v>
      </c>
    </row>
    <row r="33" ht="49.5" customHeight="1" spans="1:8" x14ac:dyDescent="0.25">
      <c r="A33">
        <v>2</v>
      </c>
      <c r="B33" t="s">
        <v>79</v>
      </c>
      <c r="C33" t="s">
        <v>80</v>
      </c>
      <c r="D33" t="s">
        <v>81</v>
      </c>
      <c r="E33" t="s">
        <v>76</v>
      </c>
      <c r="F33" t="s">
        <v>82</v>
      </c>
      <c r="G33" t="s">
        <v>83</v>
      </c>
      <c r="H33" t="s">
        <v>78</v>
      </c>
    </row>
    <row r="34" ht="49.5" customHeight="1" spans="1:8" x14ac:dyDescent="0.25">
      <c r="A34">
        <v>3</v>
      </c>
      <c r="B34" t="s">
        <v>84</v>
      </c>
      <c r="C34" t="s">
        <v>85</v>
      </c>
      <c r="D34" t="s">
        <v>86</v>
      </c>
      <c r="E34" t="s">
        <v>76</v>
      </c>
      <c r="F34" t="s">
        <v>82</v>
      </c>
      <c r="G34" t="s">
        <v>83</v>
      </c>
      <c r="H34" t="s">
        <v>78</v>
      </c>
    </row>
    <row r="35" ht="66" customHeight="1" spans="1:8" x14ac:dyDescent="0.25">
      <c r="A35">
        <v>4</v>
      </c>
      <c r="B35" t="s">
        <v>87</v>
      </c>
      <c r="C35" t="s">
        <v>88</v>
      </c>
      <c r="D35" t="s">
        <v>89</v>
      </c>
      <c r="E35" t="s">
        <v>90</v>
      </c>
      <c r="F35" t="s">
        <v>91</v>
      </c>
      <c r="G35" t="s">
        <v>92</v>
      </c>
      <c r="H35" t="s">
        <v>78</v>
      </c>
    </row>
    <row r="36" ht="66" customHeight="1" spans="1:8" x14ac:dyDescent="0.25">
      <c r="A36">
        <v>5</v>
      </c>
      <c r="B36" t="s">
        <v>93</v>
      </c>
      <c r="C36" t="s">
        <v>94</v>
      </c>
      <c r="D36" t="s">
        <v>95</v>
      </c>
      <c r="E36" t="s">
        <v>76</v>
      </c>
      <c r="F36" t="s">
        <v>22</v>
      </c>
      <c r="G36" t="s">
        <v>96</v>
      </c>
      <c r="H36" t="s">
        <v>78</v>
      </c>
    </row>
    <row r="37" ht="66" customHeight="1" spans="1:8" x14ac:dyDescent="0.25">
      <c r="A37">
        <v>6</v>
      </c>
      <c r="B37" t="s">
        <v>97</v>
      </c>
      <c r="C37" t="s">
        <v>98</v>
      </c>
      <c r="D37" t="s">
        <v>99</v>
      </c>
      <c r="E37" t="s">
        <v>90</v>
      </c>
      <c r="F37" t="s">
        <v>100</v>
      </c>
      <c r="G37" t="s">
        <v>101</v>
      </c>
      <c r="H37" t="s">
        <v>78</v>
      </c>
    </row>
    <row r="38" ht="49.5" customHeight="1" spans="1:8" x14ac:dyDescent="0.25">
      <c r="A38">
        <v>7</v>
      </c>
      <c r="B38" t="s">
        <v>102</v>
      </c>
      <c r="C38" t="s">
        <v>103</v>
      </c>
      <c r="D38" t="s">
        <v>104</v>
      </c>
      <c r="E38" t="s">
        <v>90</v>
      </c>
      <c r="F38" t="s">
        <v>105</v>
      </c>
      <c r="G38" t="s">
        <v>106</v>
      </c>
      <c r="H38" t="s">
        <v>78</v>
      </c>
    </row>
    <row r="39" ht="49.5" customHeight="1" spans="1:8" x14ac:dyDescent="0.25">
      <c r="A39">
        <v>8</v>
      </c>
      <c r="B39" t="s">
        <v>107</v>
      </c>
      <c r="C39" t="s">
        <v>108</v>
      </c>
      <c r="D39" t="s">
        <v>109</v>
      </c>
      <c r="E39" t="s">
        <v>90</v>
      </c>
      <c r="F39" t="s">
        <v>77</v>
      </c>
      <c r="G39" t="s">
        <v>92</v>
      </c>
      <c r="H39" t="s">
        <v>78</v>
      </c>
    </row>
    <row r="40" ht="49.5" customHeight="1" spans="1:8" x14ac:dyDescent="0.25">
      <c r="A40">
        <v>9</v>
      </c>
      <c r="B40" t="s">
        <v>110</v>
      </c>
      <c r="C40" t="s">
        <v>111</v>
      </c>
      <c r="D40" t="s">
        <v>112</v>
      </c>
      <c r="E40" t="s">
        <v>90</v>
      </c>
      <c r="F40" t="s">
        <v>22</v>
      </c>
      <c r="G40" t="s">
        <v>38</v>
      </c>
      <c r="H40" t="s">
        <v>78</v>
      </c>
    </row>
    <row r="41" ht="49.5" customHeight="1" spans="1:8" x14ac:dyDescent="0.25">
      <c r="A41">
        <v>10</v>
      </c>
      <c r="B41" t="s">
        <v>113</v>
      </c>
      <c r="C41" t="s">
        <v>114</v>
      </c>
      <c r="D41" t="s">
        <v>115</v>
      </c>
      <c r="E41" t="s">
        <v>116</v>
      </c>
      <c r="F41" t="s">
        <v>22</v>
      </c>
      <c r="G41" t="s">
        <v>117</v>
      </c>
      <c r="H41" t="s">
        <v>78</v>
      </c>
    </row>
    <row r="42" ht="49.5" customHeight="1" spans="1:8" x14ac:dyDescent="0.25">
      <c r="A42">
        <v>11</v>
      </c>
      <c r="B42" t="s">
        <v>118</v>
      </c>
      <c r="C42" t="s">
        <v>119</v>
      </c>
      <c r="D42" t="s">
        <v>120</v>
      </c>
      <c r="E42" t="s">
        <v>116</v>
      </c>
      <c r="F42" t="s">
        <v>22</v>
      </c>
      <c r="G42" t="s">
        <v>121</v>
      </c>
      <c r="H42" t="s">
        <v>78</v>
      </c>
    </row>
    <row r="43" ht="49.5" customHeight="1" spans="1:8" x14ac:dyDescent="0.25">
      <c r="A43">
        <v>12</v>
      </c>
      <c r="B43" t="s">
        <v>122</v>
      </c>
      <c r="C43" t="s">
        <v>123</v>
      </c>
      <c r="D43" t="s">
        <v>124</v>
      </c>
      <c r="E43" t="s">
        <v>116</v>
      </c>
      <c r="F43" t="s">
        <v>100</v>
      </c>
      <c r="G43" t="s">
        <v>125</v>
      </c>
      <c r="H43" t="s">
        <v>78</v>
      </c>
    </row>
    <row r="44" ht="16.5" customHeight="1" x14ac:dyDescent="0.25"/>
    <row r="45" ht="16.5" customHeight="1" spans="1:1" x14ac:dyDescent="0.25">
      <c r="A45" t="s">
        <v>126</v>
      </c>
    </row>
    <row r="46" ht="16.5" customHeight="1" spans="1:3" x14ac:dyDescent="0.25">
      <c r="A46" t="s">
        <v>127</v>
      </c>
      <c r="B46" t="s">
        <v>128</v>
      </c>
      <c r="C46" t="s">
        <v>129</v>
      </c>
    </row>
    <row r="47" ht="49.5" customHeight="1" spans="1:3" x14ac:dyDescent="0.25">
      <c r="A47" t="s">
        <v>130</v>
      </c>
      <c r="B47" t="s">
        <v>131</v>
      </c>
      <c r="C47" t="s">
        <v>132</v>
      </c>
    </row>
    <row r="48" ht="33" customHeight="1" spans="1:3" x14ac:dyDescent="0.25">
      <c r="A48" t="s">
        <v>133</v>
      </c>
      <c r="B48" t="s">
        <v>134</v>
      </c>
      <c r="C48" t="s">
        <v>135</v>
      </c>
    </row>
    <row r="49" ht="33" customHeight="1" spans="1:3" x14ac:dyDescent="0.25">
      <c r="A49" t="s">
        <v>136</v>
      </c>
      <c r="B49" t="s">
        <v>137</v>
      </c>
      <c r="C49" t="s">
        <v>138</v>
      </c>
    </row>
    <row r="50" ht="66" customHeight="1" spans="1:3" x14ac:dyDescent="0.25">
      <c r="A50" t="s">
        <v>139</v>
      </c>
      <c r="B50" t="s">
        <v>140</v>
      </c>
      <c r="C50" t="s">
        <v>141</v>
      </c>
    </row>
    <row r="51" ht="49.5" customHeight="1" spans="1:3" x14ac:dyDescent="0.25">
      <c r="A51" t="s">
        <v>142</v>
      </c>
      <c r="B51" t="s">
        <v>143</v>
      </c>
      <c r="C51" t="s">
        <v>144</v>
      </c>
    </row>
    <row r="52" ht="49.5" customHeight="1" spans="1:3" x14ac:dyDescent="0.25">
      <c r="A52" t="s">
        <v>145</v>
      </c>
      <c r="B52" t="s">
        <v>146</v>
      </c>
      <c r="C52" t="s">
        <v>147</v>
      </c>
    </row>
    <row r="53" ht="33" customHeight="1" spans="1:3" x14ac:dyDescent="0.25">
      <c r="A53" t="s">
        <v>148</v>
      </c>
      <c r="B53" t="s">
        <v>149</v>
      </c>
      <c r="C53" t="s">
        <v>150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151</v>
      </c>
    </row>
    <row r="2" ht="16.5" customHeight="1" spans="1:1" x14ac:dyDescent="0.25">
      <c r="A2" t="s">
        <v>152</v>
      </c>
    </row>
    <row r="3" ht="16.5" customHeight="1" x14ac:dyDescent="0.25"/>
    <row r="4" ht="16.5" customHeight="1" spans="1:1" x14ac:dyDescent="0.25">
      <c r="A4" t="s">
        <v>153</v>
      </c>
    </row>
    <row r="5" ht="18.75" customHeight="1" spans="1:4" x14ac:dyDescent="0.25">
      <c r="A5" t="s">
        <v>154</v>
      </c>
      <c r="B5" s="1">
        <f>SUMIFS('Sales Transactions Raw Data'!V:V,'Sales Transactions Raw Data'!J:J,"Finished Goods")</f>
        <v>0</v>
      </c>
      <c r="C5" t="s">
        <v>155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156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157</v>
      </c>
      <c r="D7" s="1">
        <f>'Profitability Dashboard'!L12</f>
        <v>0</v>
      </c>
    </row>
    <row r="8" ht="18.75" customHeight="1" spans="1:4" x14ac:dyDescent="0.25">
      <c r="A8" t="s">
        <v>158</v>
      </c>
      <c r="B8" s="2" t="str">
        <f>IF(B5=0,"-",'Profitability Dashboard'!L13)</f>
        <v>-</v>
      </c>
      <c r="C8" t="s">
        <v>159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160</v>
      </c>
    </row>
    <row r="11" ht="16.5" customHeight="1" spans="1:4" x14ac:dyDescent="0.25">
      <c r="A11" t="s">
        <v>161</v>
      </c>
      <c r="B11" t="s">
        <v>162</v>
      </c>
      <c r="C11" t="s">
        <v>163</v>
      </c>
      <c r="D11" t="s">
        <v>164</v>
      </c>
    </row>
    <row r="12" ht="16.5" customHeight="1" spans="1:4" x14ac:dyDescent="0.25">
      <c r="A12" t="s">
        <v>165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166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167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168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169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170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171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172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173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174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175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176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177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178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179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180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181</v>
      </c>
    </row>
    <row r="31" ht="25.5" customHeight="1" spans="1:3" x14ac:dyDescent="0.25">
      <c r="A31" t="s">
        <v>182</v>
      </c>
      <c r="B31">
        <f>'Inventory &amp; MOS Analysis'!B16</f>
        <v>0</v>
      </c>
      <c r="C31" t="s">
        <v>183</v>
      </c>
    </row>
    <row r="32" ht="25.5" customHeight="1" spans="1:3" x14ac:dyDescent="0.25">
      <c r="A32" t="s">
        <v>184</v>
      </c>
      <c r="B32">
        <f>'Inventory &amp; MOS Analysis'!B17</f>
        <v>0</v>
      </c>
      <c r="C32" t="s">
        <v>183</v>
      </c>
    </row>
    <row r="33" ht="25.5" customHeight="1" spans="1:3" x14ac:dyDescent="0.25">
      <c r="A33" t="s">
        <v>185</v>
      </c>
      <c r="B33">
        <f>'Inventory &amp; MOS Analysis'!B18</f>
        <v>0</v>
      </c>
      <c r="C33" t="s">
        <v>183</v>
      </c>
    </row>
    <row r="34" ht="25.5" customHeight="1" spans="1:3" x14ac:dyDescent="0.25">
      <c r="A34" t="s">
        <v>186</v>
      </c>
      <c r="B34">
        <f>'Inventory &amp; MOS Analysis'!B19</f>
        <v>0</v>
      </c>
      <c r="C34" t="s">
        <v>183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187</v>
      </c>
    </row>
    <row r="2" ht="16.5" customHeight="1" spans="1:1" x14ac:dyDescent="0.25">
      <c r="A2" t="s">
        <v>188</v>
      </c>
    </row>
    <row r="3" ht="16.5" customHeight="1" spans="1:2" x14ac:dyDescent="0.25">
      <c r="A3" t="s">
        <v>189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190</v>
      </c>
    </row>
    <row r="6" ht="16.5" customHeight="1" spans="1:6" x14ac:dyDescent="0.25">
      <c r="A6" t="s">
        <v>18</v>
      </c>
      <c r="B6" t="s">
        <v>191</v>
      </c>
      <c r="C6" t="s">
        <v>192</v>
      </c>
      <c r="D6" t="s">
        <v>193</v>
      </c>
      <c r="E6" t="s">
        <v>194</v>
      </c>
      <c r="F6" t="s">
        <v>6</v>
      </c>
    </row>
    <row r="7" ht="16.5" customHeight="1" spans="1:6" x14ac:dyDescent="0.25">
      <c r="A7" t="s">
        <v>195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196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197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198</v>
      </c>
    </row>
    <row r="12" ht="16.5" customHeight="1" spans="1:6" x14ac:dyDescent="0.25">
      <c r="A12" t="s">
        <v>199</v>
      </c>
      <c r="B12" t="s">
        <v>200</v>
      </c>
      <c r="C12" t="s">
        <v>192</v>
      </c>
      <c r="D12" t="s">
        <v>193</v>
      </c>
      <c r="E12" t="s">
        <v>194</v>
      </c>
      <c r="F12" t="s">
        <v>6</v>
      </c>
    </row>
    <row r="13" ht="16.5" customHeight="1" spans="1:6" x14ac:dyDescent="0.25">
      <c r="A13" t="s">
        <v>201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202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203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197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204</v>
      </c>
    </row>
    <row r="19" ht="16.5" customHeight="1" spans="1:1" x14ac:dyDescent="0.25">
      <c r="A19" t="s">
        <v>205</v>
      </c>
    </row>
    <row r="20" ht="16.5" customHeight="1" x14ac:dyDescent="0.25"/>
    <row r="21" ht="16.5" customHeight="1" spans="1:7" x14ac:dyDescent="0.25">
      <c r="A21" t="s">
        <v>206</v>
      </c>
      <c r="B21" t="s">
        <v>191</v>
      </c>
      <c r="C21" t="s">
        <v>207</v>
      </c>
      <c r="D21" t="s">
        <v>208</v>
      </c>
      <c r="E21" t="s">
        <v>209</v>
      </c>
      <c r="F21" t="s">
        <v>210</v>
      </c>
      <c r="G21" t="s">
        <v>128</v>
      </c>
    </row>
    <row r="22" ht="16.5" customHeight="1" spans="1:7" x14ac:dyDescent="0.25">
      <c r="A22" t="s">
        <v>211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212</v>
      </c>
      <c r="G22" t="s">
        <v>213</v>
      </c>
    </row>
    <row r="23" ht="16.5" customHeight="1" spans="1:7" x14ac:dyDescent="0.25">
      <c r="A23" t="s">
        <v>214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215</v>
      </c>
      <c r="G23" t="s">
        <v>216</v>
      </c>
    </row>
    <row r="24" ht="16.5" customHeight="1" spans="1:7" x14ac:dyDescent="0.25">
      <c r="A24" t="s">
        <v>217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218</v>
      </c>
      <c r="G24" t="s">
        <v>219</v>
      </c>
    </row>
    <row r="25" ht="16.5" customHeight="1" x14ac:dyDescent="0.25"/>
    <row r="26" ht="16.5" customHeight="1" x14ac:dyDescent="0.25"/>
    <row r="27" ht="16.5" customHeight="1" spans="1:1" x14ac:dyDescent="0.25">
      <c r="A27" t="s">
        <v>220</v>
      </c>
    </row>
    <row r="28" ht="16.5" customHeight="1" spans="1:8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226</v>
      </c>
      <c r="G28" t="s">
        <v>162</v>
      </c>
      <c r="H28" t="s">
        <v>194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197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227</v>
      </c>
    </row>
    <row r="2" ht="16.5" customHeight="1" x14ac:dyDescent="0.25"/>
    <row r="3" ht="16.5" customHeight="1" spans="1:12" x14ac:dyDescent="0.25">
      <c r="A3" t="s">
        <v>228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229</v>
      </c>
    </row>
    <row r="4" ht="16.5" customHeight="1" spans="1:12" x14ac:dyDescent="0.25">
      <c r="A4" t="s">
        <v>230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231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232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233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234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170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171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235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173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174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236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237</v>
      </c>
      <c r="B15" t="s">
        <v>238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239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240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241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242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243</v>
      </c>
      <c r="C22" t="s">
        <v>56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244</v>
      </c>
    </row>
    <row r="2" ht="16.5" customHeight="1" spans="1:1" x14ac:dyDescent="0.25">
      <c r="A2" t="s">
        <v>245</v>
      </c>
    </row>
    <row r="3" ht="16.5" customHeight="1" x14ac:dyDescent="0.25"/>
    <row r="4" ht="16.5" customHeight="1" spans="1:8" x14ac:dyDescent="0.25">
      <c r="A4" t="s">
        <v>246</v>
      </c>
      <c r="B4" t="s">
        <v>247</v>
      </c>
      <c r="C4" t="s">
        <v>162</v>
      </c>
      <c r="D4" t="s">
        <v>194</v>
      </c>
      <c r="E4" t="s">
        <v>6</v>
      </c>
      <c r="F4" t="s">
        <v>163</v>
      </c>
      <c r="G4" t="s">
        <v>248</v>
      </c>
      <c r="H4" t="s">
        <v>249</v>
      </c>
    </row>
    <row r="5" ht="16.5" customHeight="1" spans="1:8" x14ac:dyDescent="0.25">
      <c r="A5" t="s">
        <v>175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176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177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178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179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250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251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252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253</v>
      </c>
      <c r="B14" t="s">
        <v>247</v>
      </c>
      <c r="C14" t="s">
        <v>162</v>
      </c>
      <c r="D14" t="s">
        <v>194</v>
      </c>
      <c r="E14" t="s">
        <v>6</v>
      </c>
      <c r="F14" t="s">
        <v>163</v>
      </c>
      <c r="G14" t="s">
        <v>254</v>
      </c>
      <c r="H14" t="s">
        <v>248</v>
      </c>
    </row>
    <row r="15" ht="16.5" customHeight="1" spans="1:8" x14ac:dyDescent="0.25">
      <c r="A15" t="s">
        <v>255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256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257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258</v>
      </c>
    </row>
    <row r="2" ht="16.5" customHeight="1" spans="1:1" x14ac:dyDescent="0.25">
      <c r="A2" t="s">
        <v>259</v>
      </c>
    </row>
    <row r="3" ht="16.5" customHeight="1" x14ac:dyDescent="0.25"/>
    <row r="4" ht="16.5" customHeight="1" spans="1:14" x14ac:dyDescent="0.25">
      <c r="A4" t="s">
        <v>260</v>
      </c>
      <c r="B4" t="s">
        <v>165</v>
      </c>
      <c r="C4" t="s">
        <v>261</v>
      </c>
      <c r="D4" t="s">
        <v>167</v>
      </c>
      <c r="E4" t="s">
        <v>168</v>
      </c>
      <c r="F4" t="s">
        <v>169</v>
      </c>
      <c r="G4" t="s">
        <v>262</v>
      </c>
      <c r="H4" t="s">
        <v>263</v>
      </c>
      <c r="I4" t="s">
        <v>264</v>
      </c>
      <c r="J4" t="s">
        <v>265</v>
      </c>
      <c r="K4" t="s">
        <v>266</v>
      </c>
      <c r="L4" t="s">
        <v>267</v>
      </c>
      <c r="M4" t="s">
        <v>268</v>
      </c>
      <c r="N4" t="s">
        <v>229</v>
      </c>
    </row>
    <row r="5" ht="16.5" customHeight="1" spans="1:14" x14ac:dyDescent="0.25">
      <c r="A5" t="s">
        <v>175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176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177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178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179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269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240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270</v>
      </c>
      <c r="B13" t="s">
        <v>165</v>
      </c>
      <c r="C13" t="s">
        <v>261</v>
      </c>
      <c r="D13" t="s">
        <v>167</v>
      </c>
      <c r="E13" t="s">
        <v>168</v>
      </c>
      <c r="F13" t="s">
        <v>169</v>
      </c>
      <c r="G13" t="s">
        <v>262</v>
      </c>
      <c r="H13" t="s">
        <v>263</v>
      </c>
      <c r="I13" t="s">
        <v>264</v>
      </c>
      <c r="J13" t="s">
        <v>265</v>
      </c>
      <c r="K13" t="s">
        <v>266</v>
      </c>
      <c r="L13" t="s">
        <v>267</v>
      </c>
      <c r="M13" t="s">
        <v>268</v>
      </c>
      <c r="N13" t="s">
        <v>229</v>
      </c>
    </row>
    <row r="14" ht="16.5" customHeight="1" spans="1:14" x14ac:dyDescent="0.25">
      <c r="A14" t="s">
        <v>175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176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177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178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179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269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271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272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273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274</v>
      </c>
    </row>
    <row r="2" ht="16.5" customHeight="1" spans="1:1" x14ac:dyDescent="0.25">
      <c r="A2" t="s">
        <v>275</v>
      </c>
    </row>
    <row r="3" ht="16.5" customHeight="1" spans="1:1" x14ac:dyDescent="0.25">
      <c r="A3" t="s">
        <v>276</v>
      </c>
    </row>
    <row r="4" ht="16.5" customHeight="1" spans="1:11" x14ac:dyDescent="0.25">
      <c r="A4" t="s">
        <v>277</v>
      </c>
      <c r="B4" t="s">
        <v>278</v>
      </c>
      <c r="C4" t="s">
        <v>279</v>
      </c>
      <c r="D4" t="s">
        <v>280</v>
      </c>
      <c r="E4" t="s">
        <v>281</v>
      </c>
      <c r="F4" t="s">
        <v>282</v>
      </c>
      <c r="G4" t="s">
        <v>283</v>
      </c>
      <c r="H4" t="s">
        <v>284</v>
      </c>
      <c r="I4" t="s">
        <v>285</v>
      </c>
      <c r="J4" t="s">
        <v>286</v>
      </c>
      <c r="K4" t="s">
        <v>287</v>
      </c>
    </row>
    <row r="5" ht="16.5" customHeight="1" spans="1:11" x14ac:dyDescent="0.25">
      <c r="A5" t="s">
        <v>288</v>
      </c>
      <c r="B5" t="s">
        <v>175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289</v>
      </c>
      <c r="B6" t="s">
        <v>176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290</v>
      </c>
      <c r="B7" t="s">
        <v>178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291</v>
      </c>
      <c r="B8" t="s">
        <v>177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292</v>
      </c>
      <c r="B9" t="s">
        <v>179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293</v>
      </c>
      <c r="B10" t="s">
        <v>294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295</v>
      </c>
      <c r="B11" t="s">
        <v>296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297</v>
      </c>
      <c r="B12" t="s">
        <v>298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299</v>
      </c>
    </row>
    <row r="15" ht="16.5" customHeight="1" spans="1:4" x14ac:dyDescent="0.25">
      <c r="A15" t="s">
        <v>300</v>
      </c>
      <c r="B15" t="s">
        <v>301</v>
      </c>
      <c r="C15" t="s">
        <v>183</v>
      </c>
      <c r="D15" t="s">
        <v>302</v>
      </c>
    </row>
    <row r="16" ht="16.5" customHeight="1" spans="1:4" x14ac:dyDescent="0.25">
      <c r="A16" t="s">
        <v>182</v>
      </c>
      <c r="B16">
        <f>COUNTIF(K5:K12,"*CRITICAL*")</f>
        <v>0</v>
      </c>
      <c r="D16" t="s">
        <v>303</v>
      </c>
    </row>
    <row r="17" ht="16.5" customHeight="1" spans="1:4" x14ac:dyDescent="0.25">
      <c r="A17" t="s">
        <v>184</v>
      </c>
      <c r="B17">
        <f>COUNTIF(K5:K12,"*LOW*")</f>
        <v>0</v>
      </c>
      <c r="C17">
        <f t="array" ref="C17">IFERROR(TEXTJOIN(", ",TRUE,IF(K5:K12="🟡 LOW",A5:A12,"")),"None")</f>
      </c>
      <c r="D17" t="s">
        <v>304</v>
      </c>
    </row>
    <row r="18" ht="16.5" customHeight="1" spans="1:4" x14ac:dyDescent="0.25">
      <c r="A18" t="s">
        <v>185</v>
      </c>
      <c r="B18">
        <f>COUNTIF(K5:K12,"*HEALTHY*")</f>
        <v>0</v>
      </c>
      <c r="D18" t="s">
        <v>305</v>
      </c>
    </row>
    <row r="19" ht="16.5" customHeight="1" spans="1:4" x14ac:dyDescent="0.25">
      <c r="A19" t="s">
        <v>186</v>
      </c>
      <c r="B19">
        <f>COUNTIF(K5:K12,"*OVERSTOCK*")</f>
        <v>0</v>
      </c>
      <c r="D19" t="s">
        <v>306</v>
      </c>
    </row>
    <row r="20" ht="16.5" customHeight="1" x14ac:dyDescent="0.25"/>
    <row r="21" ht="16.5" customHeight="1" spans="1:1" x14ac:dyDescent="0.25">
      <c r="A21" t="s">
        <v>307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308</v>
      </c>
    </row>
    <row r="2" ht="16.5" customHeight="1" spans="1:1" x14ac:dyDescent="0.25">
      <c r="A2" t="s">
        <v>309</v>
      </c>
    </row>
    <row r="3" ht="16.5" customHeight="1" x14ac:dyDescent="0.25"/>
    <row r="4" ht="16.5" customHeight="1" spans="1:8" x14ac:dyDescent="0.25">
      <c r="A4" t="s">
        <v>310</v>
      </c>
      <c r="B4" t="s">
        <v>311</v>
      </c>
      <c r="C4" t="s">
        <v>312</v>
      </c>
      <c r="D4" t="s">
        <v>313</v>
      </c>
      <c r="E4" t="s">
        <v>314</v>
      </c>
      <c r="F4" t="s">
        <v>315</v>
      </c>
      <c r="G4" t="s">
        <v>316</v>
      </c>
      <c r="H4" t="s">
        <v>317</v>
      </c>
    </row>
    <row r="5" ht="16.5" customHeight="1" spans="1:1" x14ac:dyDescent="0.25">
      <c r="A5" t="s">
        <v>175</v>
      </c>
    </row>
    <row r="6" ht="16.5" customHeight="1" spans="1:8" x14ac:dyDescent="0.25">
      <c r="A6" t="s">
        <v>288</v>
      </c>
      <c r="B6" t="s">
        <v>247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288</v>
      </c>
      <c r="B7" t="s">
        <v>318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288</v>
      </c>
      <c r="B8" t="s">
        <v>319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176</v>
      </c>
    </row>
    <row r="10" ht="16.5" customHeight="1" spans="1:8" x14ac:dyDescent="0.25">
      <c r="A10" t="s">
        <v>289</v>
      </c>
      <c r="B10" t="s">
        <v>247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289</v>
      </c>
      <c r="B11" t="s">
        <v>318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289</v>
      </c>
      <c r="B12" t="s">
        <v>319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178</v>
      </c>
    </row>
    <row r="14" ht="16.5" customHeight="1" spans="1:8" x14ac:dyDescent="0.25">
      <c r="A14" t="s">
        <v>290</v>
      </c>
      <c r="B14" t="s">
        <v>247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290</v>
      </c>
      <c r="B15" t="s">
        <v>318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290</v>
      </c>
      <c r="B16" t="s">
        <v>319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177</v>
      </c>
    </row>
    <row r="18" ht="16.5" customHeight="1" spans="1:8" x14ac:dyDescent="0.25">
      <c r="A18" t="s">
        <v>291</v>
      </c>
      <c r="B18" t="s">
        <v>247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291</v>
      </c>
      <c r="B19" t="s">
        <v>318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291</v>
      </c>
      <c r="B20" t="s">
        <v>319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179</v>
      </c>
    </row>
    <row r="22" ht="16.5" customHeight="1" spans="1:8" x14ac:dyDescent="0.25">
      <c r="A22" t="s">
        <v>292</v>
      </c>
      <c r="B22" t="s">
        <v>247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292</v>
      </c>
      <c r="B23" t="s">
        <v>318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292</v>
      </c>
      <c r="B24" t="s">
        <v>319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294</v>
      </c>
    </row>
    <row r="26" ht="16.5" customHeight="1" spans="1:8" x14ac:dyDescent="0.25">
      <c r="A26" t="s">
        <v>293</v>
      </c>
      <c r="B26" t="s">
        <v>247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293</v>
      </c>
      <c r="B27" t="s">
        <v>318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293</v>
      </c>
      <c r="B28" t="s">
        <v>319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296</v>
      </c>
    </row>
    <row r="30" ht="16.5" customHeight="1" spans="1:8" x14ac:dyDescent="0.25">
      <c r="A30" t="s">
        <v>295</v>
      </c>
      <c r="B30" t="s">
        <v>247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295</v>
      </c>
      <c r="B31" t="s">
        <v>318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295</v>
      </c>
      <c r="B32" t="s">
        <v>319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298</v>
      </c>
    </row>
    <row r="34" ht="16.5" customHeight="1" spans="1:8" x14ac:dyDescent="0.25">
      <c r="A34" t="s">
        <v>297</v>
      </c>
      <c r="B34" t="s">
        <v>247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297</v>
      </c>
      <c r="B35" t="s">
        <v>318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297</v>
      </c>
      <c r="B36" t="s">
        <v>319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320</v>
      </c>
    </row>
    <row r="39" ht="16.5" customHeight="1" spans="1:8" x14ac:dyDescent="0.25">
      <c r="A39" t="s">
        <v>197</v>
      </c>
      <c r="B39" t="s">
        <v>247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321</v>
      </c>
    </row>
    <row r="2" ht="16.5" customHeight="1" spans="1:1" x14ac:dyDescent="0.25">
      <c r="A2" t="s">
        <v>322</v>
      </c>
    </row>
    <row r="3" ht="16.5" customHeight="1" x14ac:dyDescent="0.25"/>
    <row r="4" ht="20.1" customHeight="1" spans="1:12" x14ac:dyDescent="0.25">
      <c r="A4" t="s">
        <v>323</v>
      </c>
      <c r="B4" t="s">
        <v>165</v>
      </c>
      <c r="C4" t="s">
        <v>261</v>
      </c>
      <c r="D4" t="s">
        <v>167</v>
      </c>
      <c r="E4" t="s">
        <v>168</v>
      </c>
      <c r="F4" t="s">
        <v>169</v>
      </c>
      <c r="G4" t="s">
        <v>262</v>
      </c>
      <c r="H4" t="s">
        <v>263</v>
      </c>
      <c r="I4" t="s">
        <v>264</v>
      </c>
      <c r="J4" t="s">
        <v>265</v>
      </c>
      <c r="K4" t="s">
        <v>266</v>
      </c>
      <c r="L4" t="s">
        <v>197</v>
      </c>
    </row>
    <row r="5" ht="16.5" customHeight="1" spans="1:12" x14ac:dyDescent="0.25">
      <c r="A5" t="s">
        <v>162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194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163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324</v>
      </c>
    </row>
    <row r="10" ht="16.5" customHeight="1" spans="1:12" x14ac:dyDescent="0.25">
      <c r="A10" t="s">
        <v>325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326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158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327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328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329</v>
      </c>
    </row>
    <row r="2" ht="16.5" customHeight="1" spans="1:1" x14ac:dyDescent="0.25">
      <c r="A2" t="s">
        <v>330</v>
      </c>
    </row>
    <row r="3" ht="16.5" customHeight="1" x14ac:dyDescent="0.25"/>
    <row r="4" ht="16.5" customHeight="1" spans="1:1" x14ac:dyDescent="0.25">
      <c r="A4" t="s">
        <v>331</v>
      </c>
    </row>
    <row r="5" ht="16.5" customHeight="1" spans="1:2" x14ac:dyDescent="0.25">
      <c r="A5" t="s">
        <v>161</v>
      </c>
      <c r="B5" t="s">
        <v>162</v>
      </c>
    </row>
    <row r="6" ht="16.5" customHeight="1" spans="1:2" x14ac:dyDescent="0.25">
      <c r="A6" t="s">
        <v>165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167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168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169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332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333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334</v>
      </c>
    </row>
    <row r="15" ht="16.5" customHeight="1" spans="1:3" x14ac:dyDescent="0.25">
      <c r="A15" t="s">
        <v>221</v>
      </c>
      <c r="B15" t="s">
        <v>162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335</v>
      </c>
    </row>
    <row r="25" ht="16.5" customHeight="1" spans="1:2" x14ac:dyDescent="0.25">
      <c r="A25" t="s">
        <v>336</v>
      </c>
      <c r="B25" t="s">
        <v>162</v>
      </c>
    </row>
    <row r="26" ht="16.5" customHeight="1" spans="1:2" x14ac:dyDescent="0.25">
      <c r="A26" t="s">
        <v>175</v>
      </c>
      <c r="B26" s="1">
        <f>'Product Margin Analysis'!C5</f>
        <v>0</v>
      </c>
    </row>
    <row r="27" ht="16.5" customHeight="1" spans="1:2" x14ac:dyDescent="0.25">
      <c r="A27" t="s">
        <v>176</v>
      </c>
      <c r="B27" s="1">
        <f>'Product Margin Analysis'!C6</f>
        <v>0</v>
      </c>
    </row>
    <row r="28" ht="16.5" customHeight="1" spans="1:2" x14ac:dyDescent="0.25">
      <c r="A28" t="s">
        <v>177</v>
      </c>
      <c r="B28" s="1">
        <f>'Product Margin Analysis'!C7</f>
        <v>0</v>
      </c>
    </row>
    <row r="29" ht="16.5" customHeight="1" spans="1:2" x14ac:dyDescent="0.25">
      <c r="A29" t="s">
        <v>178</v>
      </c>
      <c r="B29" s="1">
        <f>'Product Margin Analysis'!C8</f>
        <v>0</v>
      </c>
    </row>
    <row r="30" ht="16.5" customHeight="1" spans="1:2" x14ac:dyDescent="0.25">
      <c r="A30" t="s">
        <v>179</v>
      </c>
      <c r="B30" s="1">
        <f>'Product Margin Analysis'!C9</f>
        <v>0</v>
      </c>
    </row>
    <row r="31" ht="16.5" customHeight="1" spans="1:2" x14ac:dyDescent="0.25">
      <c r="A31" t="s">
        <v>337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338</v>
      </c>
      <c r="B3" t="s">
        <v>339</v>
      </c>
    </row>
    <row r="4" ht="16.5" customHeight="1" spans="1:7" x14ac:dyDescent="0.25">
      <c r="A4" t="s">
        <v>340</v>
      </c>
      <c r="B4" t="s">
        <v>341</v>
      </c>
      <c r="C4" t="s">
        <v>342</v>
      </c>
      <c r="D4" t="s">
        <v>343</v>
      </c>
      <c r="E4" t="s">
        <v>344</v>
      </c>
      <c r="F4" t="s">
        <v>345</v>
      </c>
      <c r="G4" t="s">
        <v>346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347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348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349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350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351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352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353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354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355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356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357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358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359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360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361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362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363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364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365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366</v>
      </c>
      <c r="E45">
        <v>2</v>
      </c>
      <c r="G45">
        <v>2</v>
      </c>
    </row>
    <row r="46" ht="16.5" customHeight="1" spans="1:7" x14ac:dyDescent="0.25">
      <c r="A46" t="s">
        <v>288</v>
      </c>
      <c r="E46">
        <v>1</v>
      </c>
      <c r="G46">
        <v>1</v>
      </c>
    </row>
    <row r="47" ht="16.5" customHeight="1" spans="1:7" x14ac:dyDescent="0.25">
      <c r="A47" t="s">
        <v>367</v>
      </c>
      <c r="E47">
        <v>1</v>
      </c>
      <c r="G47">
        <v>1</v>
      </c>
    </row>
    <row r="48" ht="16.5" customHeight="1" spans="1:7" x14ac:dyDescent="0.25">
      <c r="A48" t="s">
        <v>368</v>
      </c>
      <c r="E48">
        <v>1</v>
      </c>
      <c r="G48">
        <v>1</v>
      </c>
    </row>
    <row r="49" ht="16.5" customHeight="1" spans="1:7" x14ac:dyDescent="0.25">
      <c r="A49" t="s">
        <v>369</v>
      </c>
      <c r="E49">
        <v>1</v>
      </c>
      <c r="G49">
        <v>1</v>
      </c>
    </row>
    <row r="50" ht="16.5" customHeight="1" spans="1:7" x14ac:dyDescent="0.25">
      <c r="A50" t="s">
        <v>370</v>
      </c>
      <c r="E50">
        <v>2</v>
      </c>
      <c r="G50">
        <v>2</v>
      </c>
    </row>
    <row r="51" ht="16.5" customHeight="1" spans="1:7" x14ac:dyDescent="0.25">
      <c r="A51" t="s">
        <v>371</v>
      </c>
      <c r="E51">
        <v>1</v>
      </c>
      <c r="G51">
        <v>1</v>
      </c>
    </row>
    <row r="52" ht="16.5" customHeight="1" spans="1:7" x14ac:dyDescent="0.25">
      <c r="A52" t="s">
        <v>369</v>
      </c>
      <c r="E52">
        <v>1</v>
      </c>
      <c r="G52">
        <v>1</v>
      </c>
    </row>
    <row r="53" ht="16.5" customHeight="1" spans="1:7" x14ac:dyDescent="0.25">
      <c r="A53" t="s">
        <v>372</v>
      </c>
      <c r="E53">
        <v>2</v>
      </c>
      <c r="G53">
        <v>2</v>
      </c>
    </row>
    <row r="54" ht="16.5" customHeight="1" spans="1:7" x14ac:dyDescent="0.25">
      <c r="A54" t="s">
        <v>373</v>
      </c>
      <c r="E54">
        <v>1</v>
      </c>
      <c r="G54">
        <v>1</v>
      </c>
    </row>
    <row r="55" ht="16.5" customHeight="1" spans="1:7" x14ac:dyDescent="0.25">
      <c r="A55" t="s">
        <v>369</v>
      </c>
      <c r="E55">
        <v>1</v>
      </c>
      <c r="G55">
        <v>1</v>
      </c>
    </row>
    <row r="56" ht="16.5" customHeight="1" spans="1:7" x14ac:dyDescent="0.25">
      <c r="A56" t="s">
        <v>374</v>
      </c>
      <c r="E56">
        <v>2</v>
      </c>
      <c r="G56">
        <v>2</v>
      </c>
    </row>
    <row r="57" ht="16.5" customHeight="1" spans="1:7" x14ac:dyDescent="0.25">
      <c r="A57" t="s">
        <v>373</v>
      </c>
      <c r="E57">
        <v>1</v>
      </c>
      <c r="G57">
        <v>1</v>
      </c>
    </row>
    <row r="58" ht="16.5" customHeight="1" spans="1:7" x14ac:dyDescent="0.25">
      <c r="A58" t="s">
        <v>369</v>
      </c>
      <c r="E58">
        <v>1</v>
      </c>
      <c r="G58">
        <v>1</v>
      </c>
    </row>
    <row r="59" ht="16.5" customHeight="1" spans="1:7" x14ac:dyDescent="0.25">
      <c r="A59" t="s">
        <v>375</v>
      </c>
      <c r="E59">
        <v>2</v>
      </c>
      <c r="G59">
        <v>2</v>
      </c>
    </row>
    <row r="60" ht="16.5" customHeight="1" spans="1:7" x14ac:dyDescent="0.25">
      <c r="A60" t="s">
        <v>288</v>
      </c>
      <c r="E60">
        <v>1</v>
      </c>
      <c r="G60">
        <v>1</v>
      </c>
    </row>
    <row r="61" ht="16.5" customHeight="1" spans="1:7" x14ac:dyDescent="0.25">
      <c r="A61" t="s">
        <v>367</v>
      </c>
      <c r="E61">
        <v>1</v>
      </c>
      <c r="G61">
        <v>1</v>
      </c>
    </row>
    <row r="62" ht="16.5" customHeight="1" spans="1:7" x14ac:dyDescent="0.25">
      <c r="A62" t="s">
        <v>376</v>
      </c>
      <c r="E62">
        <v>6</v>
      </c>
      <c r="G62">
        <v>6</v>
      </c>
    </row>
    <row r="63" ht="16.5" customHeight="1" spans="1:7" x14ac:dyDescent="0.25">
      <c r="A63" t="s">
        <v>377</v>
      </c>
      <c r="E63">
        <v>1</v>
      </c>
      <c r="G63">
        <v>1</v>
      </c>
    </row>
    <row r="64" ht="16.5" customHeight="1" spans="1:7" x14ac:dyDescent="0.25">
      <c r="A64" t="s">
        <v>289</v>
      </c>
      <c r="E64">
        <v>1</v>
      </c>
      <c r="G64">
        <v>1</v>
      </c>
    </row>
    <row r="65" ht="16.5" customHeight="1" spans="1:7" x14ac:dyDescent="0.25">
      <c r="A65" t="s">
        <v>378</v>
      </c>
      <c r="E65">
        <v>1</v>
      </c>
      <c r="G65">
        <v>1</v>
      </c>
    </row>
    <row r="66" ht="16.5" customHeight="1" spans="1:7" x14ac:dyDescent="0.25">
      <c r="A66" t="s">
        <v>379</v>
      </c>
      <c r="E66">
        <v>1</v>
      </c>
      <c r="G66">
        <v>1</v>
      </c>
    </row>
    <row r="67" ht="16.5" customHeight="1" spans="1:7" x14ac:dyDescent="0.25">
      <c r="A67" t="s">
        <v>380</v>
      </c>
      <c r="E67">
        <v>1</v>
      </c>
      <c r="G67">
        <v>1</v>
      </c>
    </row>
    <row r="68" ht="16.5" customHeight="1" spans="1:7" x14ac:dyDescent="0.25">
      <c r="A68" t="s">
        <v>381</v>
      </c>
      <c r="E68">
        <v>1</v>
      </c>
      <c r="G68">
        <v>1</v>
      </c>
    </row>
    <row r="69" ht="16.5" customHeight="1" spans="1:7" x14ac:dyDescent="0.25">
      <c r="A69" t="s">
        <v>382</v>
      </c>
      <c r="E69">
        <v>2</v>
      </c>
      <c r="G69">
        <v>2</v>
      </c>
    </row>
    <row r="70" ht="16.5" customHeight="1" spans="1:7" x14ac:dyDescent="0.25">
      <c r="A70" t="s">
        <v>288</v>
      </c>
      <c r="E70">
        <v>1</v>
      </c>
      <c r="G70">
        <v>1</v>
      </c>
    </row>
    <row r="71" ht="16.5" customHeight="1" spans="1:7" x14ac:dyDescent="0.25">
      <c r="A71" t="s">
        <v>380</v>
      </c>
      <c r="E71">
        <v>1</v>
      </c>
      <c r="G71">
        <v>1</v>
      </c>
    </row>
    <row r="72" ht="16.5" customHeight="1" spans="1:7" x14ac:dyDescent="0.25">
      <c r="A72" t="s">
        <v>383</v>
      </c>
      <c r="E72">
        <v>2</v>
      </c>
      <c r="G72">
        <v>2</v>
      </c>
    </row>
    <row r="73" ht="16.5" customHeight="1" spans="1:7" x14ac:dyDescent="0.25">
      <c r="A73" t="s">
        <v>288</v>
      </c>
      <c r="E73">
        <v>1</v>
      </c>
      <c r="G73">
        <v>1</v>
      </c>
    </row>
    <row r="74" ht="16.5" customHeight="1" spans="1:7" x14ac:dyDescent="0.25">
      <c r="A74" t="s">
        <v>367</v>
      </c>
      <c r="E74">
        <v>1</v>
      </c>
      <c r="G74">
        <v>1</v>
      </c>
    </row>
    <row r="75" ht="16.5" customHeight="1" spans="1:7" x14ac:dyDescent="0.25">
      <c r="A75" t="s">
        <v>384</v>
      </c>
      <c r="E75">
        <v>4</v>
      </c>
      <c r="G75">
        <v>4</v>
      </c>
    </row>
    <row r="76" ht="16.5" customHeight="1" spans="1:7" x14ac:dyDescent="0.25">
      <c r="A76" t="s">
        <v>377</v>
      </c>
      <c r="E76">
        <v>1</v>
      </c>
      <c r="G76">
        <v>1</v>
      </c>
    </row>
    <row r="77" ht="16.5" customHeight="1" spans="1:7" x14ac:dyDescent="0.25">
      <c r="A77" t="s">
        <v>385</v>
      </c>
      <c r="E77">
        <v>1</v>
      </c>
      <c r="G77">
        <v>1</v>
      </c>
    </row>
    <row r="78" ht="16.5" customHeight="1" spans="1:7" x14ac:dyDescent="0.25">
      <c r="A78" t="s">
        <v>288</v>
      </c>
      <c r="E78">
        <v>1</v>
      </c>
      <c r="G78">
        <v>1</v>
      </c>
    </row>
    <row r="79" ht="16.5" customHeight="1" spans="1:7" x14ac:dyDescent="0.25">
      <c r="A79" t="s">
        <v>380</v>
      </c>
      <c r="E79">
        <v>1</v>
      </c>
      <c r="G79">
        <v>1</v>
      </c>
    </row>
    <row r="80" ht="16.5" customHeight="1" spans="1:7" x14ac:dyDescent="0.25">
      <c r="A80" t="s">
        <v>386</v>
      </c>
      <c r="E80">
        <v>2</v>
      </c>
      <c r="G80">
        <v>2</v>
      </c>
    </row>
    <row r="81" ht="16.5" customHeight="1" spans="1:7" x14ac:dyDescent="0.25">
      <c r="A81" t="s">
        <v>288</v>
      </c>
      <c r="E81">
        <v>1</v>
      </c>
      <c r="G81">
        <v>1</v>
      </c>
    </row>
    <row r="82" ht="16.5" customHeight="1" spans="1:7" x14ac:dyDescent="0.25">
      <c r="A82" t="s">
        <v>367</v>
      </c>
      <c r="E82">
        <v>1</v>
      </c>
      <c r="G82">
        <v>1</v>
      </c>
    </row>
    <row r="83" ht="16.5" customHeight="1" spans="1:7" x14ac:dyDescent="0.25">
      <c r="A83" t="s">
        <v>387</v>
      </c>
      <c r="E83">
        <v>2</v>
      </c>
      <c r="G83">
        <v>2</v>
      </c>
    </row>
    <row r="84" ht="16.5" customHeight="1" spans="1:7" x14ac:dyDescent="0.25">
      <c r="A84" t="s">
        <v>288</v>
      </c>
      <c r="E84">
        <v>1</v>
      </c>
      <c r="G84">
        <v>1</v>
      </c>
    </row>
    <row r="85" ht="16.5" customHeight="1" spans="1:7" x14ac:dyDescent="0.25">
      <c r="A85" t="s">
        <v>367</v>
      </c>
      <c r="E85">
        <v>1</v>
      </c>
      <c r="G85">
        <v>1</v>
      </c>
    </row>
    <row r="86" ht="16.5" customHeight="1" spans="1:7" x14ac:dyDescent="0.25">
      <c r="A86" t="s">
        <v>388</v>
      </c>
      <c r="E86">
        <v>2</v>
      </c>
      <c r="G86">
        <v>2</v>
      </c>
    </row>
    <row r="87" ht="16.5" customHeight="1" spans="1:7" x14ac:dyDescent="0.25">
      <c r="A87" t="s">
        <v>373</v>
      </c>
      <c r="E87">
        <v>1</v>
      </c>
      <c r="G87">
        <v>1</v>
      </c>
    </row>
    <row r="88" ht="16.5" customHeight="1" spans="1:7" x14ac:dyDescent="0.25">
      <c r="A88" t="s">
        <v>369</v>
      </c>
      <c r="E88">
        <v>1</v>
      </c>
      <c r="G88">
        <v>1</v>
      </c>
    </row>
    <row r="89" ht="16.5" customHeight="1" spans="1:7" x14ac:dyDescent="0.25">
      <c r="A89" t="s">
        <v>389</v>
      </c>
      <c r="E89">
        <v>2</v>
      </c>
      <c r="G89">
        <v>2</v>
      </c>
    </row>
    <row r="90" ht="16.5" customHeight="1" spans="1:7" x14ac:dyDescent="0.25">
      <c r="A90" t="s">
        <v>390</v>
      </c>
      <c r="E90">
        <v>1</v>
      </c>
      <c r="G90">
        <v>1</v>
      </c>
    </row>
    <row r="91" ht="16.5" customHeight="1" spans="1:7" x14ac:dyDescent="0.25">
      <c r="A91" t="s">
        <v>369</v>
      </c>
      <c r="E91">
        <v>1</v>
      </c>
      <c r="G91">
        <v>1</v>
      </c>
    </row>
    <row r="92" ht="16.5" customHeight="1" spans="1:7" x14ac:dyDescent="0.25">
      <c r="A92" t="s">
        <v>391</v>
      </c>
      <c r="E92">
        <v>2</v>
      </c>
      <c r="G92">
        <v>2</v>
      </c>
    </row>
    <row r="93" ht="16.5" customHeight="1" spans="1:7" x14ac:dyDescent="0.25">
      <c r="A93" t="s">
        <v>392</v>
      </c>
      <c r="E93">
        <v>1</v>
      </c>
      <c r="G93">
        <v>1</v>
      </c>
    </row>
    <row r="94" ht="16.5" customHeight="1" spans="1:7" x14ac:dyDescent="0.25">
      <c r="A94" t="s">
        <v>369</v>
      </c>
      <c r="E94">
        <v>1</v>
      </c>
      <c r="G94">
        <v>1</v>
      </c>
    </row>
    <row r="95" ht="16.5" customHeight="1" spans="1:7" x14ac:dyDescent="0.25">
      <c r="A95" t="s">
        <v>393</v>
      </c>
      <c r="E95">
        <v>2</v>
      </c>
      <c r="G95">
        <v>2</v>
      </c>
    </row>
    <row r="96" ht="16.5" customHeight="1" spans="1:7" x14ac:dyDescent="0.25">
      <c r="A96" t="s">
        <v>373</v>
      </c>
      <c r="E96">
        <v>1</v>
      </c>
      <c r="G96">
        <v>1</v>
      </c>
    </row>
    <row r="97" ht="16.5" customHeight="1" spans="1:7" x14ac:dyDescent="0.25">
      <c r="A97" t="s">
        <v>369</v>
      </c>
      <c r="E97">
        <v>1</v>
      </c>
      <c r="G97">
        <v>1</v>
      </c>
    </row>
    <row r="98" ht="16.5" customHeight="1" spans="1:7" x14ac:dyDescent="0.25">
      <c r="A98" t="s">
        <v>394</v>
      </c>
      <c r="E98">
        <v>2</v>
      </c>
      <c r="G98">
        <v>2</v>
      </c>
    </row>
    <row r="99" ht="16.5" customHeight="1" spans="1:7" x14ac:dyDescent="0.25">
      <c r="A99" t="s">
        <v>395</v>
      </c>
      <c r="E99">
        <v>1</v>
      </c>
      <c r="G99">
        <v>1</v>
      </c>
    </row>
    <row r="100" ht="16.5" customHeight="1" spans="1:7" x14ac:dyDescent="0.25">
      <c r="A100" t="s">
        <v>369</v>
      </c>
      <c r="E100">
        <v>1</v>
      </c>
      <c r="G100">
        <v>1</v>
      </c>
    </row>
    <row r="101" spans="1:7" x14ac:dyDescent="0.25">
      <c r="A101" t="s">
        <v>396</v>
      </c>
      <c r="E101">
        <v>2</v>
      </c>
      <c r="G101">
        <v>2</v>
      </c>
    </row>
    <row r="102" spans="1:7" x14ac:dyDescent="0.25">
      <c r="A102" t="s">
        <v>373</v>
      </c>
      <c r="E102">
        <v>1</v>
      </c>
      <c r="G102">
        <v>1</v>
      </c>
    </row>
    <row r="103" spans="1:7" x14ac:dyDescent="0.25">
      <c r="A103" t="s">
        <v>369</v>
      </c>
      <c r="E103">
        <v>1</v>
      </c>
      <c r="G103">
        <v>1</v>
      </c>
    </row>
    <row r="104" spans="1:7" x14ac:dyDescent="0.25">
      <c r="A104" t="s">
        <v>397</v>
      </c>
      <c r="E104">
        <v>2</v>
      </c>
      <c r="G104">
        <v>2</v>
      </c>
    </row>
    <row r="105" spans="1:7" x14ac:dyDescent="0.25">
      <c r="A105" t="s">
        <v>373</v>
      </c>
      <c r="E105">
        <v>1</v>
      </c>
      <c r="G105">
        <v>1</v>
      </c>
    </row>
    <row r="106" spans="1:7" x14ac:dyDescent="0.25">
      <c r="A106" t="s">
        <v>369</v>
      </c>
      <c r="E106">
        <v>1</v>
      </c>
      <c r="G106">
        <v>1</v>
      </c>
    </row>
    <row r="107" spans="1:7" x14ac:dyDescent="0.25">
      <c r="A107" t="s">
        <v>398</v>
      </c>
      <c r="E107">
        <v>2</v>
      </c>
      <c r="G107">
        <v>2</v>
      </c>
    </row>
    <row r="108" spans="1:7" x14ac:dyDescent="0.25">
      <c r="A108" t="s">
        <v>399</v>
      </c>
      <c r="E108">
        <v>1</v>
      </c>
      <c r="G108">
        <v>1</v>
      </c>
    </row>
    <row r="109" spans="1:7" x14ac:dyDescent="0.25">
      <c r="A109" t="s">
        <v>369</v>
      </c>
      <c r="E109">
        <v>1</v>
      </c>
      <c r="G109">
        <v>1</v>
      </c>
    </row>
    <row r="110" spans="1:7" x14ac:dyDescent="0.25">
      <c r="A110" t="s">
        <v>400</v>
      </c>
      <c r="E110">
        <v>2</v>
      </c>
      <c r="G110">
        <v>2</v>
      </c>
    </row>
    <row r="111" spans="1:7" x14ac:dyDescent="0.25">
      <c r="A111" t="s">
        <v>373</v>
      </c>
      <c r="E111">
        <v>1</v>
      </c>
      <c r="G111">
        <v>1</v>
      </c>
    </row>
    <row r="112" spans="1:7" x14ac:dyDescent="0.25">
      <c r="A112" t="s">
        <v>369</v>
      </c>
      <c r="E112">
        <v>1</v>
      </c>
      <c r="G112">
        <v>1</v>
      </c>
    </row>
    <row r="113" spans="1:7" x14ac:dyDescent="0.25">
      <c r="A113" t="s">
        <v>401</v>
      </c>
      <c r="E113">
        <v>2</v>
      </c>
      <c r="G113">
        <v>2</v>
      </c>
    </row>
    <row r="114" spans="1:7" x14ac:dyDescent="0.25">
      <c r="A114" t="s">
        <v>373</v>
      </c>
      <c r="E114">
        <v>1</v>
      </c>
      <c r="G114">
        <v>1</v>
      </c>
    </row>
    <row r="115" spans="1:7" x14ac:dyDescent="0.25">
      <c r="A115" t="s">
        <v>369</v>
      </c>
      <c r="E115">
        <v>1</v>
      </c>
      <c r="G115">
        <v>1</v>
      </c>
    </row>
    <row r="116" spans="1:7" x14ac:dyDescent="0.25">
      <c r="A116" t="s">
        <v>402</v>
      </c>
      <c r="E116">
        <v>2</v>
      </c>
      <c r="G116">
        <v>2</v>
      </c>
    </row>
    <row r="117" spans="1:7" x14ac:dyDescent="0.25">
      <c r="A117" t="s">
        <v>403</v>
      </c>
      <c r="E117">
        <v>1</v>
      </c>
      <c r="G117">
        <v>1</v>
      </c>
    </row>
    <row r="118" spans="1:7" x14ac:dyDescent="0.25">
      <c r="A118" t="s">
        <v>369</v>
      </c>
      <c r="E118">
        <v>1</v>
      </c>
      <c r="G118">
        <v>1</v>
      </c>
    </row>
    <row r="119" spans="1:7" x14ac:dyDescent="0.25">
      <c r="A119" t="s">
        <v>404</v>
      </c>
      <c r="E119">
        <v>2</v>
      </c>
      <c r="G119">
        <v>2</v>
      </c>
    </row>
    <row r="120" spans="1:7" x14ac:dyDescent="0.25">
      <c r="A120" t="s">
        <v>403</v>
      </c>
      <c r="E120">
        <v>1</v>
      </c>
      <c r="G120">
        <v>1</v>
      </c>
    </row>
    <row r="121" spans="1:7" x14ac:dyDescent="0.25">
      <c r="A121" t="s">
        <v>369</v>
      </c>
      <c r="E121">
        <v>1</v>
      </c>
      <c r="G121">
        <v>1</v>
      </c>
    </row>
    <row r="122" spans="1:7" x14ac:dyDescent="0.25">
      <c r="A122" t="s">
        <v>405</v>
      </c>
      <c r="E122">
        <v>2</v>
      </c>
      <c r="G122">
        <v>2</v>
      </c>
    </row>
    <row r="123" spans="1:7" x14ac:dyDescent="0.25">
      <c r="A123" t="s">
        <v>373</v>
      </c>
      <c r="E123">
        <v>1</v>
      </c>
      <c r="G123">
        <v>1</v>
      </c>
    </row>
    <row r="124" spans="1:7" x14ac:dyDescent="0.25">
      <c r="A124" t="s">
        <v>369</v>
      </c>
      <c r="E124">
        <v>1</v>
      </c>
      <c r="G124">
        <v>1</v>
      </c>
    </row>
    <row r="125" spans="1:7" x14ac:dyDescent="0.25">
      <c r="A125" t="s">
        <v>406</v>
      </c>
      <c r="E125">
        <v>2</v>
      </c>
      <c r="G125">
        <v>2</v>
      </c>
    </row>
    <row r="126" spans="1:7" x14ac:dyDescent="0.25">
      <c r="A126" t="s">
        <v>373</v>
      </c>
      <c r="E126">
        <v>1</v>
      </c>
      <c r="G126">
        <v>1</v>
      </c>
    </row>
    <row r="127" spans="1:7" x14ac:dyDescent="0.25">
      <c r="A127" t="s">
        <v>369</v>
      </c>
      <c r="E127">
        <v>1</v>
      </c>
      <c r="G127">
        <v>1</v>
      </c>
    </row>
    <row r="128" spans="1:7" x14ac:dyDescent="0.25">
      <c r="A128" t="s">
        <v>407</v>
      </c>
      <c r="E128">
        <v>2</v>
      </c>
      <c r="G128">
        <v>2</v>
      </c>
    </row>
    <row r="129" spans="1:7" x14ac:dyDescent="0.25">
      <c r="A129" t="s">
        <v>403</v>
      </c>
      <c r="E129">
        <v>1</v>
      </c>
      <c r="G129">
        <v>1</v>
      </c>
    </row>
    <row r="130" spans="1:7" x14ac:dyDescent="0.25">
      <c r="A130" t="s">
        <v>369</v>
      </c>
      <c r="E130">
        <v>1</v>
      </c>
      <c r="G130">
        <v>1</v>
      </c>
    </row>
    <row r="131" spans="1:7" x14ac:dyDescent="0.25">
      <c r="A131" t="s">
        <v>408</v>
      </c>
      <c r="E131">
        <v>2</v>
      </c>
      <c r="G131">
        <v>2</v>
      </c>
    </row>
    <row r="132" spans="1:7" x14ac:dyDescent="0.25">
      <c r="A132" t="s">
        <v>373</v>
      </c>
      <c r="E132">
        <v>1</v>
      </c>
      <c r="G132">
        <v>1</v>
      </c>
    </row>
    <row r="133" spans="1:7" x14ac:dyDescent="0.25">
      <c r="A133" t="s">
        <v>369</v>
      </c>
      <c r="E133">
        <v>1</v>
      </c>
      <c r="G133">
        <v>1</v>
      </c>
    </row>
    <row r="134" spans="1:7" x14ac:dyDescent="0.25">
      <c r="A134" t="s">
        <v>409</v>
      </c>
      <c r="E134">
        <v>2</v>
      </c>
      <c r="G134">
        <v>2</v>
      </c>
    </row>
    <row r="135" spans="1:7" x14ac:dyDescent="0.25">
      <c r="A135" t="s">
        <v>373</v>
      </c>
      <c r="E135">
        <v>1</v>
      </c>
      <c r="G135">
        <v>1</v>
      </c>
    </row>
    <row r="136" spans="1:7" x14ac:dyDescent="0.25">
      <c r="A136" t="s">
        <v>369</v>
      </c>
      <c r="E136">
        <v>1</v>
      </c>
      <c r="G136">
        <v>1</v>
      </c>
    </row>
    <row r="137" spans="1:7" x14ac:dyDescent="0.25">
      <c r="A137" t="s">
        <v>410</v>
      </c>
      <c r="E137">
        <v>2</v>
      </c>
      <c r="G137">
        <v>2</v>
      </c>
    </row>
    <row r="138" spans="1:7" x14ac:dyDescent="0.25">
      <c r="A138" t="s">
        <v>373</v>
      </c>
      <c r="E138">
        <v>1</v>
      </c>
      <c r="G138">
        <v>1</v>
      </c>
    </row>
    <row r="139" spans="1:7" x14ac:dyDescent="0.25">
      <c r="A139" t="s">
        <v>369</v>
      </c>
      <c r="E139">
        <v>1</v>
      </c>
      <c r="G139">
        <v>1</v>
      </c>
    </row>
    <row r="140" spans="1:7" x14ac:dyDescent="0.25">
      <c r="A140" t="s">
        <v>411</v>
      </c>
      <c r="E140">
        <v>2</v>
      </c>
      <c r="G140">
        <v>2</v>
      </c>
    </row>
    <row r="141" spans="1:7" x14ac:dyDescent="0.25">
      <c r="A141" t="s">
        <v>403</v>
      </c>
      <c r="E141">
        <v>1</v>
      </c>
      <c r="G141">
        <v>1</v>
      </c>
    </row>
    <row r="142" spans="1:7" x14ac:dyDescent="0.25">
      <c r="A142" t="s">
        <v>369</v>
      </c>
      <c r="E142">
        <v>1</v>
      </c>
      <c r="G142">
        <v>1</v>
      </c>
    </row>
    <row r="143" spans="1:7" x14ac:dyDescent="0.25">
      <c r="A143" t="s">
        <v>412</v>
      </c>
      <c r="E143">
        <v>2</v>
      </c>
      <c r="G143">
        <v>2</v>
      </c>
    </row>
    <row r="144" spans="1:7" x14ac:dyDescent="0.25">
      <c r="A144" t="s">
        <v>403</v>
      </c>
      <c r="E144">
        <v>1</v>
      </c>
      <c r="G144">
        <v>1</v>
      </c>
    </row>
    <row r="145" spans="1:7" x14ac:dyDescent="0.25">
      <c r="A145" t="s">
        <v>369</v>
      </c>
      <c r="E145">
        <v>1</v>
      </c>
      <c r="G145">
        <v>1</v>
      </c>
    </row>
    <row r="146" spans="1:7" x14ac:dyDescent="0.25">
      <c r="A146" t="s">
        <v>413</v>
      </c>
      <c r="E146">
        <v>2</v>
      </c>
      <c r="G146">
        <v>2</v>
      </c>
    </row>
    <row r="147" spans="1:7" x14ac:dyDescent="0.25">
      <c r="A147" t="s">
        <v>373</v>
      </c>
      <c r="E147">
        <v>1</v>
      </c>
      <c r="G147">
        <v>1</v>
      </c>
    </row>
    <row r="148" spans="1:7" x14ac:dyDescent="0.25">
      <c r="A148" t="s">
        <v>369</v>
      </c>
      <c r="E148">
        <v>1</v>
      </c>
      <c r="G148">
        <v>1</v>
      </c>
    </row>
    <row r="149" spans="1:7" x14ac:dyDescent="0.25">
      <c r="A149" t="s">
        <v>414</v>
      </c>
      <c r="E149">
        <v>2</v>
      </c>
      <c r="G149">
        <v>2</v>
      </c>
    </row>
    <row r="150" spans="1:7" x14ac:dyDescent="0.25">
      <c r="A150" t="s">
        <v>373</v>
      </c>
      <c r="E150">
        <v>1</v>
      </c>
      <c r="G150">
        <v>1</v>
      </c>
    </row>
    <row r="151" spans="1:7" x14ac:dyDescent="0.25">
      <c r="A151" t="s">
        <v>369</v>
      </c>
      <c r="E151">
        <v>1</v>
      </c>
      <c r="G151">
        <v>1</v>
      </c>
    </row>
    <row r="152" spans="1:7" x14ac:dyDescent="0.25">
      <c r="A152" t="s">
        <v>415</v>
      </c>
      <c r="E152">
        <v>2</v>
      </c>
      <c r="G152">
        <v>2</v>
      </c>
    </row>
    <row r="153" spans="1:7" x14ac:dyDescent="0.25">
      <c r="A153" t="s">
        <v>403</v>
      </c>
      <c r="E153">
        <v>1</v>
      </c>
      <c r="G153">
        <v>1</v>
      </c>
    </row>
    <row r="154" spans="1:7" x14ac:dyDescent="0.25">
      <c r="A154" t="s">
        <v>369</v>
      </c>
      <c r="E154">
        <v>1</v>
      </c>
      <c r="G154">
        <v>1</v>
      </c>
    </row>
    <row r="155" spans="1:7" x14ac:dyDescent="0.25">
      <c r="A155" t="s">
        <v>416</v>
      </c>
      <c r="E155">
        <v>2</v>
      </c>
      <c r="G155">
        <v>2</v>
      </c>
    </row>
    <row r="156" spans="1:7" x14ac:dyDescent="0.25">
      <c r="A156" t="s">
        <v>403</v>
      </c>
      <c r="E156">
        <v>1</v>
      </c>
      <c r="G156">
        <v>1</v>
      </c>
    </row>
    <row r="157" spans="1:7" x14ac:dyDescent="0.25">
      <c r="A157" t="s">
        <v>369</v>
      </c>
      <c r="E157">
        <v>1</v>
      </c>
      <c r="G157">
        <v>1</v>
      </c>
    </row>
    <row r="158" spans="1:7" x14ac:dyDescent="0.25">
      <c r="A158" t="s">
        <v>417</v>
      </c>
      <c r="E158">
        <v>2</v>
      </c>
      <c r="G158">
        <v>2</v>
      </c>
    </row>
    <row r="159" spans="1:7" x14ac:dyDescent="0.25">
      <c r="A159" t="s">
        <v>373</v>
      </c>
      <c r="E159">
        <v>1</v>
      </c>
      <c r="G159">
        <v>1</v>
      </c>
    </row>
    <row r="160" spans="1:7" x14ac:dyDescent="0.25">
      <c r="A160" t="s">
        <v>369</v>
      </c>
      <c r="E160">
        <v>1</v>
      </c>
      <c r="G160">
        <v>1</v>
      </c>
    </row>
    <row r="161" spans="1:7" x14ac:dyDescent="0.25">
      <c r="A161" t="s">
        <v>418</v>
      </c>
      <c r="E161">
        <v>2</v>
      </c>
      <c r="G161">
        <v>2</v>
      </c>
    </row>
    <row r="162" spans="1:7" x14ac:dyDescent="0.25">
      <c r="A162" t="s">
        <v>373</v>
      </c>
      <c r="E162">
        <v>1</v>
      </c>
      <c r="G162">
        <v>1</v>
      </c>
    </row>
    <row r="163" spans="1:7" x14ac:dyDescent="0.25">
      <c r="A163" t="s">
        <v>369</v>
      </c>
      <c r="E163">
        <v>1</v>
      </c>
      <c r="G163">
        <v>1</v>
      </c>
    </row>
    <row r="164" spans="1:7" x14ac:dyDescent="0.25">
      <c r="A164" t="s">
        <v>419</v>
      </c>
      <c r="E164">
        <v>2</v>
      </c>
      <c r="G164">
        <v>2</v>
      </c>
    </row>
    <row r="165" spans="1:7" x14ac:dyDescent="0.25">
      <c r="A165" t="s">
        <v>403</v>
      </c>
      <c r="E165">
        <v>1</v>
      </c>
      <c r="G165">
        <v>1</v>
      </c>
    </row>
    <row r="166" spans="1:7" x14ac:dyDescent="0.25">
      <c r="A166" t="s">
        <v>369</v>
      </c>
      <c r="E166">
        <v>1</v>
      </c>
      <c r="G166">
        <v>1</v>
      </c>
    </row>
    <row r="167" spans="1:7" x14ac:dyDescent="0.25">
      <c r="A167" t="s">
        <v>420</v>
      </c>
      <c r="E167">
        <v>2</v>
      </c>
      <c r="G167">
        <v>2</v>
      </c>
    </row>
    <row r="168" spans="1:7" x14ac:dyDescent="0.25">
      <c r="A168" t="s">
        <v>403</v>
      </c>
      <c r="E168">
        <v>1</v>
      </c>
      <c r="G168">
        <v>1</v>
      </c>
    </row>
    <row r="169" spans="1:7" x14ac:dyDescent="0.25">
      <c r="A169" t="s">
        <v>369</v>
      </c>
      <c r="E169">
        <v>1</v>
      </c>
      <c r="G169">
        <v>1</v>
      </c>
    </row>
    <row r="170" spans="1:7" x14ac:dyDescent="0.25">
      <c r="A170" t="s">
        <v>421</v>
      </c>
      <c r="E170">
        <v>2</v>
      </c>
      <c r="G170">
        <v>2</v>
      </c>
    </row>
    <row r="171" spans="1:7" x14ac:dyDescent="0.25">
      <c r="A171" t="s">
        <v>373</v>
      </c>
      <c r="E171">
        <v>1</v>
      </c>
      <c r="G171">
        <v>1</v>
      </c>
    </row>
    <row r="172" spans="1:7" x14ac:dyDescent="0.25">
      <c r="A172" t="s">
        <v>369</v>
      </c>
      <c r="E172">
        <v>1</v>
      </c>
      <c r="G172">
        <v>1</v>
      </c>
    </row>
    <row r="173" spans="1:7" x14ac:dyDescent="0.25">
      <c r="A173" t="s">
        <v>422</v>
      </c>
      <c r="E173">
        <v>2</v>
      </c>
      <c r="G173">
        <v>2</v>
      </c>
    </row>
    <row r="174" spans="1:7" x14ac:dyDescent="0.25">
      <c r="A174" t="s">
        <v>373</v>
      </c>
      <c r="E174">
        <v>1</v>
      </c>
      <c r="G174">
        <v>1</v>
      </c>
    </row>
    <row r="175" spans="1:7" x14ac:dyDescent="0.25">
      <c r="A175" t="s">
        <v>369</v>
      </c>
      <c r="E175">
        <v>1</v>
      </c>
      <c r="G175">
        <v>1</v>
      </c>
    </row>
    <row r="176" spans="1:7" x14ac:dyDescent="0.25">
      <c r="A176" t="s">
        <v>423</v>
      </c>
      <c r="E176">
        <v>2</v>
      </c>
      <c r="G176">
        <v>2</v>
      </c>
    </row>
    <row r="177" spans="1:7" x14ac:dyDescent="0.25">
      <c r="A177" t="s">
        <v>403</v>
      </c>
      <c r="E177">
        <v>1</v>
      </c>
      <c r="G177">
        <v>1</v>
      </c>
    </row>
    <row r="178" spans="1:7" x14ac:dyDescent="0.25">
      <c r="A178" t="s">
        <v>369</v>
      </c>
      <c r="E178">
        <v>1</v>
      </c>
      <c r="G178">
        <v>1</v>
      </c>
    </row>
    <row r="179" spans="1:7" x14ac:dyDescent="0.25">
      <c r="A179" t="s">
        <v>424</v>
      </c>
      <c r="E179">
        <v>2</v>
      </c>
      <c r="G179">
        <v>2</v>
      </c>
    </row>
    <row r="180" spans="1:7" x14ac:dyDescent="0.25">
      <c r="A180" t="s">
        <v>425</v>
      </c>
      <c r="E180">
        <v>1</v>
      </c>
      <c r="G180">
        <v>1</v>
      </c>
    </row>
    <row r="181" spans="1:7" x14ac:dyDescent="0.25">
      <c r="A181" t="s">
        <v>369</v>
      </c>
      <c r="E181">
        <v>1</v>
      </c>
      <c r="G181">
        <v>1</v>
      </c>
    </row>
    <row r="182" spans="1:7" x14ac:dyDescent="0.25">
      <c r="A182" t="s">
        <v>426</v>
      </c>
      <c r="E182">
        <v>2</v>
      </c>
      <c r="G182">
        <v>2</v>
      </c>
    </row>
    <row r="183" spans="1:7" x14ac:dyDescent="0.25">
      <c r="A183" t="s">
        <v>373</v>
      </c>
      <c r="E183">
        <v>1</v>
      </c>
      <c r="G183">
        <v>1</v>
      </c>
    </row>
    <row r="184" spans="1:7" x14ac:dyDescent="0.25">
      <c r="A184" t="s">
        <v>369</v>
      </c>
      <c r="E184">
        <v>1</v>
      </c>
      <c r="G184">
        <v>1</v>
      </c>
    </row>
    <row r="185" spans="1:7" x14ac:dyDescent="0.25">
      <c r="A185" t="s">
        <v>427</v>
      </c>
      <c r="E185">
        <v>2</v>
      </c>
      <c r="G185">
        <v>2</v>
      </c>
    </row>
    <row r="186" spans="1:7" x14ac:dyDescent="0.25">
      <c r="A186" t="s">
        <v>373</v>
      </c>
      <c r="E186">
        <v>1</v>
      </c>
      <c r="G186">
        <v>1</v>
      </c>
    </row>
    <row r="187" spans="1:7" x14ac:dyDescent="0.25">
      <c r="A187" t="s">
        <v>369</v>
      </c>
      <c r="E187">
        <v>1</v>
      </c>
      <c r="G187">
        <v>1</v>
      </c>
    </row>
    <row r="188" spans="1:7" x14ac:dyDescent="0.25">
      <c r="A188" t="s">
        <v>428</v>
      </c>
      <c r="E188">
        <v>2</v>
      </c>
      <c r="G188">
        <v>2</v>
      </c>
    </row>
    <row r="189" spans="1:7" x14ac:dyDescent="0.25">
      <c r="A189" t="s">
        <v>373</v>
      </c>
      <c r="E189">
        <v>1</v>
      </c>
      <c r="G189">
        <v>1</v>
      </c>
    </row>
    <row r="190" spans="1:7" x14ac:dyDescent="0.25">
      <c r="A190" t="s">
        <v>369</v>
      </c>
      <c r="E190">
        <v>1</v>
      </c>
      <c r="G190">
        <v>1</v>
      </c>
    </row>
    <row r="191" spans="1:7" x14ac:dyDescent="0.25">
      <c r="A191" t="s">
        <v>429</v>
      </c>
      <c r="E191">
        <v>2</v>
      </c>
      <c r="G191">
        <v>2</v>
      </c>
    </row>
    <row r="192" spans="1:7" x14ac:dyDescent="0.25">
      <c r="A192" t="s">
        <v>288</v>
      </c>
      <c r="E192">
        <v>1</v>
      </c>
      <c r="G192">
        <v>1</v>
      </c>
    </row>
    <row r="193" spans="1:7" x14ac:dyDescent="0.25">
      <c r="A193" t="s">
        <v>367</v>
      </c>
      <c r="E193">
        <v>1</v>
      </c>
      <c r="G193">
        <v>1</v>
      </c>
    </row>
    <row r="194" spans="1:7" x14ac:dyDescent="0.25">
      <c r="A194" t="s">
        <v>430</v>
      </c>
      <c r="E194">
        <v>2</v>
      </c>
      <c r="G194">
        <v>2</v>
      </c>
    </row>
    <row r="195" spans="1:7" x14ac:dyDescent="0.25">
      <c r="A195" t="s">
        <v>288</v>
      </c>
      <c r="E195">
        <v>1</v>
      </c>
      <c r="G195">
        <v>1</v>
      </c>
    </row>
    <row r="196" spans="1:7" x14ac:dyDescent="0.25">
      <c r="A196" t="s">
        <v>380</v>
      </c>
      <c r="E196">
        <v>1</v>
      </c>
      <c r="G196">
        <v>1</v>
      </c>
    </row>
    <row r="197" spans="1:7" x14ac:dyDescent="0.25">
      <c r="A197" t="s">
        <v>431</v>
      </c>
      <c r="E197">
        <v>3</v>
      </c>
      <c r="G197">
        <v>3</v>
      </c>
    </row>
    <row r="198" spans="1:7" x14ac:dyDescent="0.25">
      <c r="A198" t="s">
        <v>377</v>
      </c>
      <c r="E198">
        <v>1</v>
      </c>
      <c r="G198">
        <v>1</v>
      </c>
    </row>
    <row r="199" spans="1:7" x14ac:dyDescent="0.25">
      <c r="A199" t="s">
        <v>291</v>
      </c>
      <c r="E199">
        <v>1</v>
      </c>
      <c r="G199">
        <v>1</v>
      </c>
    </row>
    <row r="200" spans="1:7" x14ac:dyDescent="0.25">
      <c r="A200" t="s">
        <v>380</v>
      </c>
      <c r="E200">
        <v>1</v>
      </c>
      <c r="G200">
        <v>1</v>
      </c>
    </row>
    <row r="201" spans="1:7" x14ac:dyDescent="0.25">
      <c r="A201" t="s">
        <v>432</v>
      </c>
      <c r="E201">
        <v>2</v>
      </c>
      <c r="G201">
        <v>2</v>
      </c>
    </row>
    <row r="202" spans="1:7" x14ac:dyDescent="0.25">
      <c r="A202" t="s">
        <v>288</v>
      </c>
      <c r="E202">
        <v>1</v>
      </c>
      <c r="G202">
        <v>1</v>
      </c>
    </row>
    <row r="203" spans="1:7" x14ac:dyDescent="0.25">
      <c r="A203" t="s">
        <v>380</v>
      </c>
      <c r="E203">
        <v>1</v>
      </c>
      <c r="G203">
        <v>1</v>
      </c>
    </row>
    <row r="204" spans="1:7" x14ac:dyDescent="0.25">
      <c r="A204" t="s">
        <v>433</v>
      </c>
      <c r="E204">
        <v>3</v>
      </c>
      <c r="G204">
        <v>3</v>
      </c>
    </row>
    <row r="205" spans="1:7" x14ac:dyDescent="0.25">
      <c r="A205" t="s">
        <v>290</v>
      </c>
      <c r="E205">
        <v>1</v>
      </c>
      <c r="G205">
        <v>1</v>
      </c>
    </row>
    <row r="206" spans="1:7" x14ac:dyDescent="0.25">
      <c r="A206" t="s">
        <v>291</v>
      </c>
      <c r="E206">
        <v>1</v>
      </c>
      <c r="G206">
        <v>1</v>
      </c>
    </row>
    <row r="207" spans="1:7" x14ac:dyDescent="0.25">
      <c r="A207" t="s">
        <v>434</v>
      </c>
      <c r="E207">
        <v>1</v>
      </c>
      <c r="G207">
        <v>1</v>
      </c>
    </row>
    <row r="208" spans="1:7" x14ac:dyDescent="0.25">
      <c r="A208" t="s">
        <v>435</v>
      </c>
      <c r="E208">
        <v>2</v>
      </c>
      <c r="G208">
        <v>2</v>
      </c>
    </row>
    <row r="209" spans="1:7" x14ac:dyDescent="0.25">
      <c r="A209" t="s">
        <v>373</v>
      </c>
      <c r="E209">
        <v>1</v>
      </c>
      <c r="G209">
        <v>1</v>
      </c>
    </row>
    <row r="210" spans="1:7" x14ac:dyDescent="0.25">
      <c r="A210" t="s">
        <v>369</v>
      </c>
      <c r="E210">
        <v>1</v>
      </c>
      <c r="G210">
        <v>1</v>
      </c>
    </row>
    <row r="211" spans="1:7" x14ac:dyDescent="0.25">
      <c r="A211" t="s">
        <v>436</v>
      </c>
      <c r="E211">
        <v>2</v>
      </c>
      <c r="G211">
        <v>2</v>
      </c>
    </row>
    <row r="212" spans="1:7" x14ac:dyDescent="0.25">
      <c r="A212" t="s">
        <v>403</v>
      </c>
      <c r="E212">
        <v>1</v>
      </c>
      <c r="G212">
        <v>1</v>
      </c>
    </row>
    <row r="213" spans="1:7" x14ac:dyDescent="0.25">
      <c r="A213" t="s">
        <v>369</v>
      </c>
      <c r="E213">
        <v>1</v>
      </c>
      <c r="G213">
        <v>1</v>
      </c>
    </row>
    <row r="214" spans="1:7" x14ac:dyDescent="0.25">
      <c r="A214" t="s">
        <v>437</v>
      </c>
      <c r="E214">
        <v>2</v>
      </c>
      <c r="G214">
        <v>2</v>
      </c>
    </row>
    <row r="215" spans="1:7" x14ac:dyDescent="0.25">
      <c r="A215" t="s">
        <v>403</v>
      </c>
      <c r="E215">
        <v>1</v>
      </c>
      <c r="G215">
        <v>1</v>
      </c>
    </row>
    <row r="216" spans="1:7" x14ac:dyDescent="0.25">
      <c r="A216" t="s">
        <v>369</v>
      </c>
      <c r="E216">
        <v>1</v>
      </c>
      <c r="G216">
        <v>1</v>
      </c>
    </row>
    <row r="217" spans="1:7" x14ac:dyDescent="0.25">
      <c r="A217" t="s">
        <v>438</v>
      </c>
      <c r="E217">
        <v>2</v>
      </c>
      <c r="G217">
        <v>2</v>
      </c>
    </row>
    <row r="218" spans="1:7" x14ac:dyDescent="0.25">
      <c r="A218" t="s">
        <v>288</v>
      </c>
      <c r="E218">
        <v>1</v>
      </c>
      <c r="G218">
        <v>1</v>
      </c>
    </row>
    <row r="219" spans="1:7" x14ac:dyDescent="0.25">
      <c r="A219" t="s">
        <v>434</v>
      </c>
      <c r="E219">
        <v>1</v>
      </c>
      <c r="G219">
        <v>1</v>
      </c>
    </row>
    <row r="220" spans="1:7" x14ac:dyDescent="0.25">
      <c r="A220" t="s">
        <v>439</v>
      </c>
      <c r="E220">
        <v>2</v>
      </c>
      <c r="G220">
        <v>2</v>
      </c>
    </row>
    <row r="221" spans="1:7" x14ac:dyDescent="0.25">
      <c r="A221" t="s">
        <v>403</v>
      </c>
      <c r="E221">
        <v>1</v>
      </c>
      <c r="G221">
        <v>1</v>
      </c>
    </row>
    <row r="222" spans="1:7" x14ac:dyDescent="0.25">
      <c r="A222" t="s">
        <v>369</v>
      </c>
      <c r="E222">
        <v>1</v>
      </c>
      <c r="G222">
        <v>1</v>
      </c>
    </row>
    <row r="223" spans="1:7" x14ac:dyDescent="0.25">
      <c r="A223" t="s">
        <v>440</v>
      </c>
      <c r="E223">
        <v>2</v>
      </c>
      <c r="G223">
        <v>2</v>
      </c>
    </row>
    <row r="224" spans="1:7" x14ac:dyDescent="0.25">
      <c r="A224" t="s">
        <v>403</v>
      </c>
      <c r="E224">
        <v>1</v>
      </c>
      <c r="G224">
        <v>1</v>
      </c>
    </row>
    <row r="225" spans="1:7" x14ac:dyDescent="0.25">
      <c r="A225" t="s">
        <v>369</v>
      </c>
      <c r="E225">
        <v>1</v>
      </c>
      <c r="G225">
        <v>1</v>
      </c>
    </row>
    <row r="226" spans="1:7" x14ac:dyDescent="0.25">
      <c r="A226" t="s">
        <v>441</v>
      </c>
      <c r="E226">
        <v>2</v>
      </c>
      <c r="G226">
        <v>2</v>
      </c>
    </row>
    <row r="227" spans="1:7" x14ac:dyDescent="0.25">
      <c r="A227" t="s">
        <v>373</v>
      </c>
      <c r="E227">
        <v>1</v>
      </c>
      <c r="G227">
        <v>1</v>
      </c>
    </row>
    <row r="228" spans="1:7" x14ac:dyDescent="0.25">
      <c r="A228" t="s">
        <v>369</v>
      </c>
      <c r="E228">
        <v>1</v>
      </c>
      <c r="G228">
        <v>1</v>
      </c>
    </row>
    <row r="229" spans="1:7" x14ac:dyDescent="0.25">
      <c r="A229" t="s">
        <v>442</v>
      </c>
      <c r="E229">
        <v>2</v>
      </c>
      <c r="G229">
        <v>2</v>
      </c>
    </row>
    <row r="230" spans="1:7" x14ac:dyDescent="0.25">
      <c r="A230" t="s">
        <v>403</v>
      </c>
      <c r="E230">
        <v>1</v>
      </c>
      <c r="G230">
        <v>1</v>
      </c>
    </row>
    <row r="231" spans="1:7" x14ac:dyDescent="0.25">
      <c r="A231" t="s">
        <v>369</v>
      </c>
      <c r="E231">
        <v>1</v>
      </c>
      <c r="G231">
        <v>1</v>
      </c>
    </row>
    <row r="232" spans="1:7" x14ac:dyDescent="0.25">
      <c r="A232" t="s">
        <v>443</v>
      </c>
      <c r="E232">
        <v>2</v>
      </c>
      <c r="G232">
        <v>2</v>
      </c>
    </row>
    <row r="233" spans="1:7" x14ac:dyDescent="0.25">
      <c r="A233" t="s">
        <v>403</v>
      </c>
      <c r="E233">
        <v>1</v>
      </c>
      <c r="G233">
        <v>1</v>
      </c>
    </row>
    <row r="234" spans="1:7" x14ac:dyDescent="0.25">
      <c r="A234" t="s">
        <v>369</v>
      </c>
      <c r="E234">
        <v>1</v>
      </c>
      <c r="G234">
        <v>1</v>
      </c>
    </row>
    <row r="235" spans="1:7" x14ac:dyDescent="0.25">
      <c r="A235" t="s">
        <v>444</v>
      </c>
      <c r="E235">
        <v>2</v>
      </c>
      <c r="G235">
        <v>2</v>
      </c>
    </row>
    <row r="236" spans="1:7" x14ac:dyDescent="0.25">
      <c r="A236" t="s">
        <v>373</v>
      </c>
      <c r="E236">
        <v>1</v>
      </c>
      <c r="G236">
        <v>1</v>
      </c>
    </row>
    <row r="237" spans="1:7" x14ac:dyDescent="0.25">
      <c r="A237" t="s">
        <v>369</v>
      </c>
      <c r="E237">
        <v>1</v>
      </c>
      <c r="G237">
        <v>1</v>
      </c>
    </row>
    <row r="238" spans="1:7" x14ac:dyDescent="0.25">
      <c r="A238" t="s">
        <v>445</v>
      </c>
      <c r="E238">
        <v>2</v>
      </c>
      <c r="G238">
        <v>2</v>
      </c>
    </row>
    <row r="239" spans="1:7" x14ac:dyDescent="0.25">
      <c r="A239" t="s">
        <v>373</v>
      </c>
      <c r="E239">
        <v>1</v>
      </c>
      <c r="G239">
        <v>1</v>
      </c>
    </row>
    <row r="240" spans="1:7" x14ac:dyDescent="0.25">
      <c r="A240" t="s">
        <v>369</v>
      </c>
      <c r="E240">
        <v>1</v>
      </c>
      <c r="G240">
        <v>1</v>
      </c>
    </row>
    <row r="241" spans="1:7" x14ac:dyDescent="0.25">
      <c r="A241" t="s">
        <v>446</v>
      </c>
      <c r="E241">
        <v>2</v>
      </c>
      <c r="G241">
        <v>2</v>
      </c>
    </row>
    <row r="242" spans="1:7" x14ac:dyDescent="0.25">
      <c r="A242" t="s">
        <v>403</v>
      </c>
      <c r="E242">
        <v>1</v>
      </c>
      <c r="G242">
        <v>1</v>
      </c>
    </row>
    <row r="243" spans="1:7" x14ac:dyDescent="0.25">
      <c r="A243" t="s">
        <v>369</v>
      </c>
      <c r="E243">
        <v>1</v>
      </c>
      <c r="G243">
        <v>1</v>
      </c>
    </row>
    <row r="244" spans="1:7" x14ac:dyDescent="0.25">
      <c r="A244" t="s">
        <v>447</v>
      </c>
      <c r="E244">
        <v>2</v>
      </c>
      <c r="G244">
        <v>2</v>
      </c>
    </row>
    <row r="245" spans="1:7" x14ac:dyDescent="0.25">
      <c r="A245" t="s">
        <v>403</v>
      </c>
      <c r="E245">
        <v>1</v>
      </c>
      <c r="G245">
        <v>1</v>
      </c>
    </row>
    <row r="246" spans="1:7" x14ac:dyDescent="0.25">
      <c r="A246" t="s">
        <v>369</v>
      </c>
      <c r="E246">
        <v>1</v>
      </c>
      <c r="G246">
        <v>1</v>
      </c>
    </row>
    <row r="247" spans="1:7" x14ac:dyDescent="0.25">
      <c r="A247" t="s">
        <v>448</v>
      </c>
      <c r="E247">
        <v>2</v>
      </c>
      <c r="G247">
        <v>2</v>
      </c>
    </row>
    <row r="248" spans="1:7" x14ac:dyDescent="0.25">
      <c r="A248" t="s">
        <v>373</v>
      </c>
      <c r="E248">
        <v>1</v>
      </c>
      <c r="G248">
        <v>1</v>
      </c>
    </row>
    <row r="249" spans="1:7" x14ac:dyDescent="0.25">
      <c r="A249" t="s">
        <v>369</v>
      </c>
      <c r="E249">
        <v>1</v>
      </c>
      <c r="G249">
        <v>1</v>
      </c>
    </row>
    <row r="250" spans="1:7" x14ac:dyDescent="0.25">
      <c r="A250" t="s">
        <v>449</v>
      </c>
      <c r="E250">
        <v>4</v>
      </c>
      <c r="G250">
        <v>4</v>
      </c>
    </row>
    <row r="251" spans="1:7" x14ac:dyDescent="0.25">
      <c r="A251" t="s">
        <v>377</v>
      </c>
      <c r="E251">
        <v>1</v>
      </c>
      <c r="G251">
        <v>1</v>
      </c>
    </row>
    <row r="252" spans="1:7" x14ac:dyDescent="0.25">
      <c r="A252" t="s">
        <v>385</v>
      </c>
      <c r="E252">
        <v>1</v>
      </c>
      <c r="G252">
        <v>1</v>
      </c>
    </row>
    <row r="253" spans="1:7" x14ac:dyDescent="0.25">
      <c r="A253" t="s">
        <v>289</v>
      </c>
      <c r="E253">
        <v>1</v>
      </c>
      <c r="G253">
        <v>1</v>
      </c>
    </row>
    <row r="254" spans="1:7" x14ac:dyDescent="0.25">
      <c r="A254" t="s">
        <v>434</v>
      </c>
      <c r="E254">
        <v>1</v>
      </c>
      <c r="G254">
        <v>1</v>
      </c>
    </row>
    <row r="255" spans="1:7" x14ac:dyDescent="0.25">
      <c r="A255" t="s">
        <v>450</v>
      </c>
      <c r="E255">
        <v>2</v>
      </c>
      <c r="G255">
        <v>2</v>
      </c>
    </row>
    <row r="256" spans="1:7" x14ac:dyDescent="0.25">
      <c r="A256" t="s">
        <v>373</v>
      </c>
      <c r="E256">
        <v>1</v>
      </c>
      <c r="G256">
        <v>1</v>
      </c>
    </row>
    <row r="257" spans="1:7" x14ac:dyDescent="0.25">
      <c r="A257" t="s">
        <v>369</v>
      </c>
      <c r="E257">
        <v>1</v>
      </c>
      <c r="G257">
        <v>1</v>
      </c>
    </row>
    <row r="258" spans="1:7" x14ac:dyDescent="0.25">
      <c r="A258" t="s">
        <v>451</v>
      </c>
      <c r="E258">
        <v>2</v>
      </c>
      <c r="G258">
        <v>2</v>
      </c>
    </row>
    <row r="259" spans="1:7" x14ac:dyDescent="0.25">
      <c r="A259" t="s">
        <v>452</v>
      </c>
      <c r="E259">
        <v>1</v>
      </c>
      <c r="G259">
        <v>1</v>
      </c>
    </row>
    <row r="260" spans="1:7" x14ac:dyDescent="0.25">
      <c r="A260" t="s">
        <v>369</v>
      </c>
      <c r="E260">
        <v>1</v>
      </c>
      <c r="G260">
        <v>1</v>
      </c>
    </row>
    <row r="261" spans="1:7" x14ac:dyDescent="0.25">
      <c r="A261" t="s">
        <v>453</v>
      </c>
      <c r="E261">
        <v>2</v>
      </c>
      <c r="G261">
        <v>2</v>
      </c>
    </row>
    <row r="262" spans="1:7" x14ac:dyDescent="0.25">
      <c r="A262" t="s">
        <v>373</v>
      </c>
      <c r="E262">
        <v>1</v>
      </c>
      <c r="G262">
        <v>1</v>
      </c>
    </row>
    <row r="263" spans="1:7" x14ac:dyDescent="0.25">
      <c r="A263" t="s">
        <v>369</v>
      </c>
      <c r="E263">
        <v>1</v>
      </c>
      <c r="G263">
        <v>1</v>
      </c>
    </row>
    <row r="264" spans="1:7" x14ac:dyDescent="0.25">
      <c r="A264" t="s">
        <v>454</v>
      </c>
      <c r="E264">
        <v>2</v>
      </c>
      <c r="G264">
        <v>2</v>
      </c>
    </row>
    <row r="265" spans="1:7" x14ac:dyDescent="0.25">
      <c r="A265" t="s">
        <v>291</v>
      </c>
      <c r="E265">
        <v>1</v>
      </c>
      <c r="G265">
        <v>1</v>
      </c>
    </row>
    <row r="266" spans="1:7" x14ac:dyDescent="0.25">
      <c r="A266" t="s">
        <v>367</v>
      </c>
      <c r="E266">
        <v>1</v>
      </c>
      <c r="G266">
        <v>1</v>
      </c>
    </row>
    <row r="267" spans="1:7" x14ac:dyDescent="0.25">
      <c r="A267" t="s">
        <v>455</v>
      </c>
      <c r="E267">
        <v>2</v>
      </c>
      <c r="G267">
        <v>2</v>
      </c>
    </row>
    <row r="268" spans="1:7" x14ac:dyDescent="0.25">
      <c r="A268" t="s">
        <v>373</v>
      </c>
      <c r="E268">
        <v>1</v>
      </c>
      <c r="G268">
        <v>1</v>
      </c>
    </row>
    <row r="269" spans="1:7" x14ac:dyDescent="0.25">
      <c r="A269" t="s">
        <v>369</v>
      </c>
      <c r="E269">
        <v>1</v>
      </c>
      <c r="G269">
        <v>1</v>
      </c>
    </row>
    <row r="270" spans="1:7" x14ac:dyDescent="0.25">
      <c r="A270" t="s">
        <v>456</v>
      </c>
      <c r="E270">
        <v>2</v>
      </c>
      <c r="G270">
        <v>2</v>
      </c>
    </row>
    <row r="271" spans="1:7" x14ac:dyDescent="0.25">
      <c r="A271" t="s">
        <v>373</v>
      </c>
      <c r="E271">
        <v>1</v>
      </c>
      <c r="G271">
        <v>1</v>
      </c>
    </row>
    <row r="272" spans="1:7" x14ac:dyDescent="0.25">
      <c r="A272" t="s">
        <v>369</v>
      </c>
      <c r="E272">
        <v>1</v>
      </c>
      <c r="G272">
        <v>1</v>
      </c>
    </row>
    <row r="273" spans="1:7" x14ac:dyDescent="0.25">
      <c r="A273" t="s">
        <v>457</v>
      </c>
      <c r="E273">
        <v>2</v>
      </c>
      <c r="G273">
        <v>2</v>
      </c>
    </row>
    <row r="274" spans="1:7" x14ac:dyDescent="0.25">
      <c r="A274" t="s">
        <v>373</v>
      </c>
      <c r="E274">
        <v>1</v>
      </c>
      <c r="G274">
        <v>1</v>
      </c>
    </row>
    <row r="275" spans="1:7" x14ac:dyDescent="0.25">
      <c r="A275" t="s">
        <v>369</v>
      </c>
      <c r="E275">
        <v>1</v>
      </c>
      <c r="G275">
        <v>1</v>
      </c>
    </row>
    <row r="276" spans="1:7" x14ac:dyDescent="0.25">
      <c r="A276" t="s">
        <v>458</v>
      </c>
      <c r="E276">
        <v>2</v>
      </c>
      <c r="G276">
        <v>2</v>
      </c>
    </row>
    <row r="277" spans="1:7" x14ac:dyDescent="0.25">
      <c r="A277" t="s">
        <v>373</v>
      </c>
      <c r="E277">
        <v>1</v>
      </c>
      <c r="G277">
        <v>1</v>
      </c>
    </row>
    <row r="278" spans="1:7" x14ac:dyDescent="0.25">
      <c r="A278" t="s">
        <v>369</v>
      </c>
      <c r="E278">
        <v>1</v>
      </c>
      <c r="G278">
        <v>1</v>
      </c>
    </row>
    <row r="279" spans="1:7" x14ac:dyDescent="0.25">
      <c r="A279" t="s">
        <v>459</v>
      </c>
      <c r="E279">
        <v>2</v>
      </c>
      <c r="G279">
        <v>2</v>
      </c>
    </row>
    <row r="280" spans="1:7" x14ac:dyDescent="0.25">
      <c r="A280" t="s">
        <v>403</v>
      </c>
      <c r="E280">
        <v>1</v>
      </c>
      <c r="G280">
        <v>1</v>
      </c>
    </row>
    <row r="281" spans="1:7" x14ac:dyDescent="0.25">
      <c r="A281" t="s">
        <v>369</v>
      </c>
      <c r="E281">
        <v>1</v>
      </c>
      <c r="G281">
        <v>1</v>
      </c>
    </row>
    <row r="282" spans="1:7" x14ac:dyDescent="0.25">
      <c r="A282" t="s">
        <v>460</v>
      </c>
      <c r="E282">
        <v>2</v>
      </c>
      <c r="G282">
        <v>2</v>
      </c>
    </row>
    <row r="283" spans="1:7" x14ac:dyDescent="0.25">
      <c r="A283" t="s">
        <v>373</v>
      </c>
      <c r="E283">
        <v>1</v>
      </c>
      <c r="G283">
        <v>1</v>
      </c>
    </row>
    <row r="284" spans="1:7" x14ac:dyDescent="0.25">
      <c r="A284" t="s">
        <v>369</v>
      </c>
      <c r="E284">
        <v>1</v>
      </c>
      <c r="G284">
        <v>1</v>
      </c>
    </row>
    <row r="285" spans="1:7" x14ac:dyDescent="0.25">
      <c r="A285" t="s">
        <v>461</v>
      </c>
      <c r="E285">
        <v>2</v>
      </c>
      <c r="G285">
        <v>2</v>
      </c>
    </row>
    <row r="286" spans="1:7" x14ac:dyDescent="0.25">
      <c r="A286" t="s">
        <v>373</v>
      </c>
      <c r="E286">
        <v>1</v>
      </c>
      <c r="G286">
        <v>1</v>
      </c>
    </row>
    <row r="287" spans="1:7" x14ac:dyDescent="0.25">
      <c r="A287" t="s">
        <v>369</v>
      </c>
      <c r="E287">
        <v>1</v>
      </c>
      <c r="G287">
        <v>1</v>
      </c>
    </row>
    <row r="288" spans="1:7" x14ac:dyDescent="0.25">
      <c r="A288" t="s">
        <v>462</v>
      </c>
      <c r="E288">
        <v>2</v>
      </c>
      <c r="G288">
        <v>2</v>
      </c>
    </row>
    <row r="289" spans="1:7" x14ac:dyDescent="0.25">
      <c r="A289" t="s">
        <v>373</v>
      </c>
      <c r="E289">
        <v>1</v>
      </c>
      <c r="G289">
        <v>1</v>
      </c>
    </row>
    <row r="290" spans="1:7" x14ac:dyDescent="0.25">
      <c r="A290" t="s">
        <v>369</v>
      </c>
      <c r="E290">
        <v>1</v>
      </c>
      <c r="G290">
        <v>1</v>
      </c>
    </row>
    <row r="291" spans="1:7" x14ac:dyDescent="0.25">
      <c r="A291" t="s">
        <v>463</v>
      </c>
      <c r="E291">
        <v>2</v>
      </c>
      <c r="G291">
        <v>2</v>
      </c>
    </row>
    <row r="292" spans="1:7" x14ac:dyDescent="0.25">
      <c r="A292" t="s">
        <v>464</v>
      </c>
      <c r="E292">
        <v>1</v>
      </c>
      <c r="G292">
        <v>1</v>
      </c>
    </row>
    <row r="293" spans="1:7" x14ac:dyDescent="0.25">
      <c r="A293" t="s">
        <v>369</v>
      </c>
      <c r="E293">
        <v>1</v>
      </c>
      <c r="G293">
        <v>1</v>
      </c>
    </row>
    <row r="294" spans="1:7" x14ac:dyDescent="0.25">
      <c r="A294" t="s">
        <v>465</v>
      </c>
      <c r="E294">
        <v>2</v>
      </c>
      <c r="G294">
        <v>2</v>
      </c>
    </row>
    <row r="295" spans="1:7" x14ac:dyDescent="0.25">
      <c r="A295" t="s">
        <v>373</v>
      </c>
      <c r="E295">
        <v>1</v>
      </c>
      <c r="G295">
        <v>1</v>
      </c>
    </row>
    <row r="296" spans="1:7" x14ac:dyDescent="0.25">
      <c r="A296" t="s">
        <v>369</v>
      </c>
      <c r="E296">
        <v>1</v>
      </c>
      <c r="G296">
        <v>1</v>
      </c>
    </row>
    <row r="297" spans="1:7" x14ac:dyDescent="0.25">
      <c r="A297" t="s">
        <v>466</v>
      </c>
      <c r="E297">
        <v>2</v>
      </c>
      <c r="G297">
        <v>2</v>
      </c>
    </row>
    <row r="298" spans="1:7" x14ac:dyDescent="0.25">
      <c r="A298" t="s">
        <v>403</v>
      </c>
      <c r="E298">
        <v>1</v>
      </c>
      <c r="G298">
        <v>1</v>
      </c>
    </row>
    <row r="299" spans="1:7" x14ac:dyDescent="0.25">
      <c r="A299" t="s">
        <v>369</v>
      </c>
      <c r="E299">
        <v>1</v>
      </c>
      <c r="G299">
        <v>1</v>
      </c>
    </row>
    <row r="300" spans="1:7" x14ac:dyDescent="0.25">
      <c r="A300" t="s">
        <v>467</v>
      </c>
      <c r="E300">
        <v>2</v>
      </c>
      <c r="G300">
        <v>2</v>
      </c>
    </row>
    <row r="301" spans="1:7" x14ac:dyDescent="0.25">
      <c r="A301" t="s">
        <v>373</v>
      </c>
      <c r="E301">
        <v>1</v>
      </c>
      <c r="G301">
        <v>1</v>
      </c>
    </row>
    <row r="302" spans="1:7" x14ac:dyDescent="0.25">
      <c r="A302" t="s">
        <v>369</v>
      </c>
      <c r="E302">
        <v>1</v>
      </c>
      <c r="G302">
        <v>1</v>
      </c>
    </row>
    <row r="303" spans="1:7" x14ac:dyDescent="0.25">
      <c r="A303" t="s">
        <v>468</v>
      </c>
      <c r="E303">
        <v>2</v>
      </c>
      <c r="G303">
        <v>2</v>
      </c>
    </row>
    <row r="304" spans="1:7" x14ac:dyDescent="0.25">
      <c r="A304" t="s">
        <v>373</v>
      </c>
      <c r="E304">
        <v>1</v>
      </c>
      <c r="G304">
        <v>1</v>
      </c>
    </row>
    <row r="305" spans="1:7" x14ac:dyDescent="0.25">
      <c r="A305" t="s">
        <v>369</v>
      </c>
      <c r="E305">
        <v>1</v>
      </c>
      <c r="G305">
        <v>1</v>
      </c>
    </row>
    <row r="306" spans="1:7" x14ac:dyDescent="0.25">
      <c r="A306" t="s">
        <v>469</v>
      </c>
      <c r="E306">
        <v>2</v>
      </c>
      <c r="G306">
        <v>2</v>
      </c>
    </row>
    <row r="307" spans="1:7" x14ac:dyDescent="0.25">
      <c r="A307" t="s">
        <v>373</v>
      </c>
      <c r="E307">
        <v>1</v>
      </c>
      <c r="G307">
        <v>1</v>
      </c>
    </row>
    <row r="308" spans="1:7" x14ac:dyDescent="0.25">
      <c r="A308" t="s">
        <v>369</v>
      </c>
      <c r="E308">
        <v>1</v>
      </c>
      <c r="G308">
        <v>1</v>
      </c>
    </row>
    <row r="309" spans="1:7" x14ac:dyDescent="0.25">
      <c r="A309" t="s">
        <v>470</v>
      </c>
      <c r="E309">
        <v>2</v>
      </c>
      <c r="G309">
        <v>2</v>
      </c>
    </row>
    <row r="310" spans="1:7" x14ac:dyDescent="0.25">
      <c r="A310" t="s">
        <v>403</v>
      </c>
      <c r="E310">
        <v>1</v>
      </c>
      <c r="G310">
        <v>1</v>
      </c>
    </row>
    <row r="311" spans="1:7" x14ac:dyDescent="0.25">
      <c r="A311" t="s">
        <v>369</v>
      </c>
      <c r="E311">
        <v>1</v>
      </c>
      <c r="G311">
        <v>1</v>
      </c>
    </row>
    <row r="312" spans="1:7" x14ac:dyDescent="0.25">
      <c r="A312" t="s">
        <v>471</v>
      </c>
      <c r="E312">
        <v>4</v>
      </c>
      <c r="G312">
        <v>4</v>
      </c>
    </row>
    <row r="313" spans="1:7" x14ac:dyDescent="0.25">
      <c r="A313" t="s">
        <v>377</v>
      </c>
      <c r="E313">
        <v>1</v>
      </c>
      <c r="G313">
        <v>1</v>
      </c>
    </row>
    <row r="314" spans="1:7" x14ac:dyDescent="0.25">
      <c r="A314" t="s">
        <v>385</v>
      </c>
      <c r="E314">
        <v>1</v>
      </c>
      <c r="G314">
        <v>1</v>
      </c>
    </row>
    <row r="315" spans="1:7" x14ac:dyDescent="0.25">
      <c r="A315" t="s">
        <v>288</v>
      </c>
      <c r="E315">
        <v>1</v>
      </c>
      <c r="G315">
        <v>1</v>
      </c>
    </row>
    <row r="316" spans="1:7" x14ac:dyDescent="0.25">
      <c r="A316" t="s">
        <v>434</v>
      </c>
      <c r="E316">
        <v>1</v>
      </c>
      <c r="G316">
        <v>1</v>
      </c>
    </row>
    <row r="317" spans="1:7" x14ac:dyDescent="0.25">
      <c r="A317" t="s">
        <v>472</v>
      </c>
      <c r="E317">
        <v>2</v>
      </c>
      <c r="G317">
        <v>2</v>
      </c>
    </row>
    <row r="318" spans="1:7" x14ac:dyDescent="0.25">
      <c r="A318" t="s">
        <v>289</v>
      </c>
      <c r="E318">
        <v>1</v>
      </c>
      <c r="G318">
        <v>1</v>
      </c>
    </row>
    <row r="319" spans="1:7" x14ac:dyDescent="0.25">
      <c r="A319" t="s">
        <v>367</v>
      </c>
      <c r="E319">
        <v>1</v>
      </c>
      <c r="G319">
        <v>1</v>
      </c>
    </row>
    <row r="320" spans="1:7" x14ac:dyDescent="0.25">
      <c r="A320" t="s">
        <v>473</v>
      </c>
      <c r="E320">
        <v>2</v>
      </c>
      <c r="G320">
        <v>2</v>
      </c>
    </row>
    <row r="321" spans="1:7" x14ac:dyDescent="0.25">
      <c r="A321" t="s">
        <v>403</v>
      </c>
      <c r="E321">
        <v>1</v>
      </c>
      <c r="G321">
        <v>1</v>
      </c>
    </row>
    <row r="322" spans="1:7" x14ac:dyDescent="0.25">
      <c r="A322" t="s">
        <v>369</v>
      </c>
      <c r="E322">
        <v>1</v>
      </c>
      <c r="G322">
        <v>1</v>
      </c>
    </row>
    <row r="323" spans="1:7" x14ac:dyDescent="0.25">
      <c r="A323" t="s">
        <v>474</v>
      </c>
      <c r="E323">
        <v>2</v>
      </c>
      <c r="G323">
        <v>2</v>
      </c>
    </row>
    <row r="324" spans="1:7" x14ac:dyDescent="0.25">
      <c r="A324" t="s">
        <v>291</v>
      </c>
      <c r="E324">
        <v>1</v>
      </c>
      <c r="G324">
        <v>1</v>
      </c>
    </row>
    <row r="325" spans="1:7" x14ac:dyDescent="0.25">
      <c r="A325" t="s">
        <v>367</v>
      </c>
      <c r="E325">
        <v>1</v>
      </c>
      <c r="G325">
        <v>1</v>
      </c>
    </row>
    <row r="326" spans="1:7" x14ac:dyDescent="0.25">
      <c r="A326" t="s">
        <v>475</v>
      </c>
      <c r="E326">
        <v>2</v>
      </c>
      <c r="G326">
        <v>2</v>
      </c>
    </row>
    <row r="327" spans="1:7" x14ac:dyDescent="0.25">
      <c r="A327" t="s">
        <v>288</v>
      </c>
      <c r="E327">
        <v>1</v>
      </c>
      <c r="G327">
        <v>1</v>
      </c>
    </row>
    <row r="328" spans="1:7" x14ac:dyDescent="0.25">
      <c r="A328" t="s">
        <v>434</v>
      </c>
      <c r="E328">
        <v>1</v>
      </c>
      <c r="G328">
        <v>1</v>
      </c>
    </row>
    <row r="329" spans="1:7" x14ac:dyDescent="0.25">
      <c r="A329" t="s">
        <v>476</v>
      </c>
      <c r="E329">
        <v>2</v>
      </c>
      <c r="G329">
        <v>2</v>
      </c>
    </row>
    <row r="330" spans="1:7" x14ac:dyDescent="0.25">
      <c r="A330" t="s">
        <v>288</v>
      </c>
      <c r="E330">
        <v>1</v>
      </c>
      <c r="G330">
        <v>1</v>
      </c>
    </row>
    <row r="331" spans="1:7" x14ac:dyDescent="0.25">
      <c r="A331" t="s">
        <v>367</v>
      </c>
      <c r="E331">
        <v>1</v>
      </c>
      <c r="G331">
        <v>1</v>
      </c>
    </row>
    <row r="332" spans="1:7" x14ac:dyDescent="0.25">
      <c r="A332" t="s">
        <v>477</v>
      </c>
      <c r="E332">
        <v>2</v>
      </c>
      <c r="G332">
        <v>2</v>
      </c>
    </row>
    <row r="333" spans="1:7" x14ac:dyDescent="0.25">
      <c r="A333" t="s">
        <v>288</v>
      </c>
      <c r="E333">
        <v>1</v>
      </c>
      <c r="G333">
        <v>1</v>
      </c>
    </row>
    <row r="334" spans="1:7" x14ac:dyDescent="0.25">
      <c r="A334" t="s">
        <v>434</v>
      </c>
      <c r="E334">
        <v>1</v>
      </c>
      <c r="G334">
        <v>1</v>
      </c>
    </row>
    <row r="335" spans="1:7" x14ac:dyDescent="0.25">
      <c r="A335" t="s">
        <v>478</v>
      </c>
      <c r="E335">
        <v>3</v>
      </c>
      <c r="G335">
        <v>3</v>
      </c>
    </row>
    <row r="336" spans="1:7" x14ac:dyDescent="0.25">
      <c r="A336" t="s">
        <v>377</v>
      </c>
      <c r="E336">
        <v>1</v>
      </c>
      <c r="G336">
        <v>1</v>
      </c>
    </row>
    <row r="337" spans="1:7" x14ac:dyDescent="0.25">
      <c r="A337" t="s">
        <v>288</v>
      </c>
      <c r="E337">
        <v>1</v>
      </c>
      <c r="G337">
        <v>1</v>
      </c>
    </row>
    <row r="338" spans="1:7" x14ac:dyDescent="0.25">
      <c r="A338" t="s">
        <v>434</v>
      </c>
      <c r="E338">
        <v>1</v>
      </c>
      <c r="G338">
        <v>1</v>
      </c>
    </row>
    <row r="339" spans="1:7" x14ac:dyDescent="0.25">
      <c r="A339" t="s">
        <v>479</v>
      </c>
      <c r="E339">
        <v>4</v>
      </c>
      <c r="G339">
        <v>4</v>
      </c>
    </row>
    <row r="340" spans="1:7" x14ac:dyDescent="0.25">
      <c r="A340" t="s">
        <v>377</v>
      </c>
      <c r="E340">
        <v>1</v>
      </c>
      <c r="G340">
        <v>1</v>
      </c>
    </row>
    <row r="341" spans="1:7" x14ac:dyDescent="0.25">
      <c r="A341" t="s">
        <v>385</v>
      </c>
      <c r="E341">
        <v>1</v>
      </c>
      <c r="G341">
        <v>1</v>
      </c>
    </row>
    <row r="342" spans="1:7" x14ac:dyDescent="0.25">
      <c r="A342" t="s">
        <v>288</v>
      </c>
      <c r="E342">
        <v>1</v>
      </c>
      <c r="G342">
        <v>1</v>
      </c>
    </row>
    <row r="343" spans="1:7" x14ac:dyDescent="0.25">
      <c r="A343" t="s">
        <v>380</v>
      </c>
      <c r="E343">
        <v>1</v>
      </c>
      <c r="G343">
        <v>1</v>
      </c>
    </row>
    <row r="344" spans="1:7" x14ac:dyDescent="0.25">
      <c r="A344" t="s">
        <v>480</v>
      </c>
      <c r="E344">
        <v>2</v>
      </c>
      <c r="G344">
        <v>2</v>
      </c>
    </row>
    <row r="345" spans="1:7" x14ac:dyDescent="0.25">
      <c r="A345" t="s">
        <v>291</v>
      </c>
      <c r="E345">
        <v>1</v>
      </c>
      <c r="G345">
        <v>1</v>
      </c>
    </row>
    <row r="346" spans="1:7" x14ac:dyDescent="0.25">
      <c r="A346" t="s">
        <v>380</v>
      </c>
      <c r="E346">
        <v>1</v>
      </c>
      <c r="G346">
        <v>1</v>
      </c>
    </row>
    <row r="347" spans="1:7" x14ac:dyDescent="0.25">
      <c r="A347" t="s">
        <v>481</v>
      </c>
      <c r="E347">
        <v>2</v>
      </c>
      <c r="G347">
        <v>2</v>
      </c>
    </row>
    <row r="348" spans="1:7" x14ac:dyDescent="0.25">
      <c r="A348" t="s">
        <v>288</v>
      </c>
      <c r="E348">
        <v>1</v>
      </c>
      <c r="G348">
        <v>1</v>
      </c>
    </row>
    <row r="349" spans="1:7" x14ac:dyDescent="0.25">
      <c r="A349" t="s">
        <v>380</v>
      </c>
      <c r="E349">
        <v>1</v>
      </c>
      <c r="G349">
        <v>1</v>
      </c>
    </row>
    <row r="350" spans="1:7" x14ac:dyDescent="0.25">
      <c r="A350" t="s">
        <v>482</v>
      </c>
      <c r="E350">
        <v>2</v>
      </c>
      <c r="G350">
        <v>2</v>
      </c>
    </row>
    <row r="351" spans="1:7" x14ac:dyDescent="0.25">
      <c r="A351" t="s">
        <v>288</v>
      </c>
      <c r="E351">
        <v>1</v>
      </c>
      <c r="G351">
        <v>1</v>
      </c>
    </row>
    <row r="352" spans="1:7" x14ac:dyDescent="0.25">
      <c r="A352" t="s">
        <v>380</v>
      </c>
      <c r="E352">
        <v>1</v>
      </c>
      <c r="G352">
        <v>1</v>
      </c>
    </row>
    <row r="353" spans="1:7" x14ac:dyDescent="0.25">
      <c r="A353" t="s">
        <v>483</v>
      </c>
      <c r="E353">
        <v>2</v>
      </c>
      <c r="G353">
        <v>2</v>
      </c>
    </row>
    <row r="354" spans="1:7" x14ac:dyDescent="0.25">
      <c r="A354" t="s">
        <v>288</v>
      </c>
      <c r="E354">
        <v>1</v>
      </c>
      <c r="G354">
        <v>1</v>
      </c>
    </row>
    <row r="355" spans="1:7" x14ac:dyDescent="0.25">
      <c r="A355" t="s">
        <v>367</v>
      </c>
      <c r="E355">
        <v>1</v>
      </c>
      <c r="G355">
        <v>1</v>
      </c>
    </row>
    <row r="356" spans="1:7" x14ac:dyDescent="0.25">
      <c r="A356" t="s">
        <v>484</v>
      </c>
      <c r="E356">
        <v>2</v>
      </c>
      <c r="G356">
        <v>2</v>
      </c>
    </row>
    <row r="357" spans="1:7" x14ac:dyDescent="0.25">
      <c r="A357" t="s">
        <v>291</v>
      </c>
      <c r="E357">
        <v>1</v>
      </c>
      <c r="G357">
        <v>1</v>
      </c>
    </row>
    <row r="358" spans="1:7" x14ac:dyDescent="0.25">
      <c r="A358" t="s">
        <v>367</v>
      </c>
      <c r="E358">
        <v>1</v>
      </c>
      <c r="G358">
        <v>1</v>
      </c>
    </row>
    <row r="359" spans="1:7" x14ac:dyDescent="0.25">
      <c r="A359" t="s">
        <v>485</v>
      </c>
      <c r="E359">
        <v>2</v>
      </c>
      <c r="G359">
        <v>2</v>
      </c>
    </row>
    <row r="360" spans="1:7" x14ac:dyDescent="0.25">
      <c r="A360" t="s">
        <v>288</v>
      </c>
      <c r="E360">
        <v>1</v>
      </c>
      <c r="G360">
        <v>1</v>
      </c>
    </row>
    <row r="361" spans="1:7" x14ac:dyDescent="0.25">
      <c r="A361" t="s">
        <v>380</v>
      </c>
      <c r="E361">
        <v>1</v>
      </c>
      <c r="G361">
        <v>1</v>
      </c>
    </row>
    <row r="362" spans="1:7" x14ac:dyDescent="0.25">
      <c r="A362" t="s">
        <v>486</v>
      </c>
      <c r="E362">
        <v>2</v>
      </c>
      <c r="G362">
        <v>2</v>
      </c>
    </row>
    <row r="363" spans="1:7" x14ac:dyDescent="0.25">
      <c r="A363" t="s">
        <v>288</v>
      </c>
      <c r="E363">
        <v>1</v>
      </c>
      <c r="G363">
        <v>1</v>
      </c>
    </row>
    <row r="364" spans="1:7" x14ac:dyDescent="0.25">
      <c r="A364" t="s">
        <v>380</v>
      </c>
      <c r="E364">
        <v>1</v>
      </c>
      <c r="G364">
        <v>1</v>
      </c>
    </row>
    <row r="365" spans="1:7" x14ac:dyDescent="0.25">
      <c r="A365" t="s">
        <v>487</v>
      </c>
      <c r="E365">
        <v>4</v>
      </c>
      <c r="G365">
        <v>4</v>
      </c>
    </row>
    <row r="366" spans="1:7" x14ac:dyDescent="0.25">
      <c r="A366" t="s">
        <v>377</v>
      </c>
      <c r="E366">
        <v>1</v>
      </c>
      <c r="G366">
        <v>1</v>
      </c>
    </row>
    <row r="367" spans="1:7" x14ac:dyDescent="0.25">
      <c r="A367" t="s">
        <v>290</v>
      </c>
      <c r="E367">
        <v>1</v>
      </c>
      <c r="G367">
        <v>1</v>
      </c>
    </row>
    <row r="368" spans="1:7" x14ac:dyDescent="0.25">
      <c r="A368" t="s">
        <v>291</v>
      </c>
      <c r="E368">
        <v>1</v>
      </c>
      <c r="G368">
        <v>1</v>
      </c>
    </row>
    <row r="369" spans="1:7" x14ac:dyDescent="0.25">
      <c r="A369" t="s">
        <v>380</v>
      </c>
      <c r="E369">
        <v>1</v>
      </c>
      <c r="G369">
        <v>1</v>
      </c>
    </row>
    <row r="370" spans="1:7" x14ac:dyDescent="0.25">
      <c r="A370" t="s">
        <v>488</v>
      </c>
      <c r="E370">
        <v>2</v>
      </c>
      <c r="G370">
        <v>2</v>
      </c>
    </row>
    <row r="371" spans="1:7" x14ac:dyDescent="0.25">
      <c r="A371" t="s">
        <v>288</v>
      </c>
      <c r="E371">
        <v>1</v>
      </c>
      <c r="G371">
        <v>1</v>
      </c>
    </row>
    <row r="372" spans="1:7" x14ac:dyDescent="0.25">
      <c r="A372" t="s">
        <v>380</v>
      </c>
      <c r="E372">
        <v>1</v>
      </c>
      <c r="G372">
        <v>1</v>
      </c>
    </row>
    <row r="373" spans="1:7" x14ac:dyDescent="0.25">
      <c r="A373" t="s">
        <v>489</v>
      </c>
      <c r="E373">
        <v>2</v>
      </c>
      <c r="G373">
        <v>2</v>
      </c>
    </row>
    <row r="374" spans="1:7" x14ac:dyDescent="0.25">
      <c r="A374" t="s">
        <v>288</v>
      </c>
      <c r="E374">
        <v>1</v>
      </c>
      <c r="G374">
        <v>1</v>
      </c>
    </row>
    <row r="375" spans="1:7" x14ac:dyDescent="0.25">
      <c r="A375" t="s">
        <v>490</v>
      </c>
      <c r="E375">
        <v>1</v>
      </c>
      <c r="G375">
        <v>1</v>
      </c>
    </row>
    <row r="376" spans="1:7" x14ac:dyDescent="0.25">
      <c r="A376" t="s">
        <v>491</v>
      </c>
      <c r="E376">
        <v>2</v>
      </c>
      <c r="G376">
        <v>2</v>
      </c>
    </row>
    <row r="377" spans="1:7" x14ac:dyDescent="0.25">
      <c r="A377" t="s">
        <v>288</v>
      </c>
      <c r="E377">
        <v>1</v>
      </c>
      <c r="G377">
        <v>1</v>
      </c>
    </row>
    <row r="378" spans="1:7" x14ac:dyDescent="0.25">
      <c r="A378" t="s">
        <v>490</v>
      </c>
      <c r="E378">
        <v>1</v>
      </c>
      <c r="G378">
        <v>1</v>
      </c>
    </row>
    <row r="379" spans="1:7" x14ac:dyDescent="0.25">
      <c r="A379" t="s">
        <v>492</v>
      </c>
      <c r="E379">
        <v>3</v>
      </c>
      <c r="G379">
        <v>3</v>
      </c>
    </row>
    <row r="380" spans="1:7" x14ac:dyDescent="0.25">
      <c r="A380" t="s">
        <v>377</v>
      </c>
      <c r="E380">
        <v>1</v>
      </c>
      <c r="G380">
        <v>1</v>
      </c>
    </row>
    <row r="381" spans="1:7" x14ac:dyDescent="0.25">
      <c r="A381" t="s">
        <v>288</v>
      </c>
      <c r="E381">
        <v>1</v>
      </c>
      <c r="G381">
        <v>1</v>
      </c>
    </row>
    <row r="382" spans="1:7" x14ac:dyDescent="0.25">
      <c r="A382" t="s">
        <v>493</v>
      </c>
      <c r="E382">
        <v>1</v>
      </c>
      <c r="G382">
        <v>1</v>
      </c>
    </row>
    <row r="383" spans="1:7" x14ac:dyDescent="0.25">
      <c r="A383" t="s">
        <v>494</v>
      </c>
      <c r="E383">
        <v>3</v>
      </c>
      <c r="G383">
        <v>3</v>
      </c>
    </row>
    <row r="384" spans="1:7" x14ac:dyDescent="0.25">
      <c r="A384" t="s">
        <v>377</v>
      </c>
      <c r="E384">
        <v>1</v>
      </c>
      <c r="G384">
        <v>1</v>
      </c>
    </row>
    <row r="385" spans="1:7" x14ac:dyDescent="0.25">
      <c r="A385" t="s">
        <v>289</v>
      </c>
      <c r="E385">
        <v>1</v>
      </c>
      <c r="G385">
        <v>1</v>
      </c>
    </row>
    <row r="386" spans="1:7" x14ac:dyDescent="0.25">
      <c r="A386" t="s">
        <v>493</v>
      </c>
      <c r="E386">
        <v>1</v>
      </c>
      <c r="G386">
        <v>1</v>
      </c>
    </row>
    <row r="387" spans="1:7" x14ac:dyDescent="0.25">
      <c r="A387" t="s">
        <v>495</v>
      </c>
      <c r="E387">
        <v>3</v>
      </c>
      <c r="G387">
        <v>3</v>
      </c>
    </row>
    <row r="388" spans="1:7" x14ac:dyDescent="0.25">
      <c r="A388" t="s">
        <v>377</v>
      </c>
      <c r="E388">
        <v>1</v>
      </c>
      <c r="G388">
        <v>1</v>
      </c>
    </row>
    <row r="389" spans="1:7" x14ac:dyDescent="0.25">
      <c r="A389" t="s">
        <v>288</v>
      </c>
      <c r="E389">
        <v>1</v>
      </c>
      <c r="G389">
        <v>1</v>
      </c>
    </row>
    <row r="390" spans="1:7" x14ac:dyDescent="0.25">
      <c r="A390" t="s">
        <v>380</v>
      </c>
      <c r="E390">
        <v>1</v>
      </c>
      <c r="G390">
        <v>1</v>
      </c>
    </row>
    <row r="391" spans="1:7" x14ac:dyDescent="0.25">
      <c r="A391" t="s">
        <v>496</v>
      </c>
      <c r="E391">
        <v>3</v>
      </c>
      <c r="G391">
        <v>3</v>
      </c>
    </row>
    <row r="392" spans="1:7" x14ac:dyDescent="0.25">
      <c r="A392" t="s">
        <v>377</v>
      </c>
      <c r="E392">
        <v>1</v>
      </c>
      <c r="G392">
        <v>1</v>
      </c>
    </row>
    <row r="393" spans="1:7" x14ac:dyDescent="0.25">
      <c r="A393" t="s">
        <v>288</v>
      </c>
      <c r="E393">
        <v>1</v>
      </c>
      <c r="G393">
        <v>1</v>
      </c>
    </row>
    <row r="394" spans="1:7" x14ac:dyDescent="0.25">
      <c r="A394" t="s">
        <v>493</v>
      </c>
      <c r="E394">
        <v>1</v>
      </c>
      <c r="G394">
        <v>1</v>
      </c>
    </row>
    <row r="395" spans="1:7" x14ac:dyDescent="0.25">
      <c r="A395" t="s">
        <v>497</v>
      </c>
      <c r="E395">
        <v>3</v>
      </c>
      <c r="G395">
        <v>3</v>
      </c>
    </row>
    <row r="396" spans="1:7" x14ac:dyDescent="0.25">
      <c r="A396" t="s">
        <v>377</v>
      </c>
      <c r="E396">
        <v>1</v>
      </c>
      <c r="G396">
        <v>1</v>
      </c>
    </row>
    <row r="397" spans="1:7" x14ac:dyDescent="0.25">
      <c r="A397" t="s">
        <v>288</v>
      </c>
      <c r="E397">
        <v>1</v>
      </c>
      <c r="G397">
        <v>1</v>
      </c>
    </row>
    <row r="398" spans="1:7" x14ac:dyDescent="0.25">
      <c r="A398" t="s">
        <v>493</v>
      </c>
      <c r="E398">
        <v>1</v>
      </c>
      <c r="G398">
        <v>1</v>
      </c>
    </row>
    <row r="399" spans="1:7" x14ac:dyDescent="0.25">
      <c r="A399" t="s">
        <v>498</v>
      </c>
      <c r="E399">
        <v>2</v>
      </c>
      <c r="G399">
        <v>2</v>
      </c>
    </row>
    <row r="400" spans="1:7" x14ac:dyDescent="0.25">
      <c r="A400" t="s">
        <v>288</v>
      </c>
      <c r="E400">
        <v>1</v>
      </c>
      <c r="G400">
        <v>1</v>
      </c>
    </row>
    <row r="401" spans="1:7" x14ac:dyDescent="0.25">
      <c r="A401" t="s">
        <v>380</v>
      </c>
      <c r="E401">
        <v>1</v>
      </c>
      <c r="G401">
        <v>1</v>
      </c>
    </row>
    <row r="402" spans="1:7" x14ac:dyDescent="0.25">
      <c r="A402" t="s">
        <v>499</v>
      </c>
      <c r="E402">
        <v>2</v>
      </c>
      <c r="G402">
        <v>2</v>
      </c>
    </row>
    <row r="403" spans="1:7" x14ac:dyDescent="0.25">
      <c r="A403" t="s">
        <v>291</v>
      </c>
      <c r="E403">
        <v>1</v>
      </c>
      <c r="G403">
        <v>1</v>
      </c>
    </row>
    <row r="404" spans="1:7" x14ac:dyDescent="0.25">
      <c r="A404" t="s">
        <v>367</v>
      </c>
      <c r="E404">
        <v>1</v>
      </c>
      <c r="G404">
        <v>1</v>
      </c>
    </row>
    <row r="405" spans="1:7" x14ac:dyDescent="0.25">
      <c r="A405" t="s">
        <v>500</v>
      </c>
      <c r="E405">
        <v>3</v>
      </c>
      <c r="G405">
        <v>3</v>
      </c>
    </row>
    <row r="406" spans="1:7" x14ac:dyDescent="0.25">
      <c r="A406" t="s">
        <v>291</v>
      </c>
      <c r="E406">
        <v>1</v>
      </c>
      <c r="G406">
        <v>1</v>
      </c>
    </row>
    <row r="407" spans="1:7" x14ac:dyDescent="0.25">
      <c r="A407" t="s">
        <v>288</v>
      </c>
      <c r="E407">
        <v>1</v>
      </c>
      <c r="G407">
        <v>1</v>
      </c>
    </row>
    <row r="408" spans="1:7" x14ac:dyDescent="0.25">
      <c r="A408" t="s">
        <v>380</v>
      </c>
      <c r="E408">
        <v>1</v>
      </c>
      <c r="G408">
        <v>1</v>
      </c>
    </row>
    <row r="409" spans="1:7" x14ac:dyDescent="0.25">
      <c r="A409" t="s">
        <v>501</v>
      </c>
      <c r="E409">
        <v>2</v>
      </c>
      <c r="G409">
        <v>2</v>
      </c>
    </row>
    <row r="410" spans="1:7" x14ac:dyDescent="0.25">
      <c r="A410" t="s">
        <v>288</v>
      </c>
      <c r="E410">
        <v>1</v>
      </c>
      <c r="G410">
        <v>1</v>
      </c>
    </row>
    <row r="411" spans="1:7" x14ac:dyDescent="0.25">
      <c r="A411" t="s">
        <v>367</v>
      </c>
      <c r="E411">
        <v>1</v>
      </c>
      <c r="G411">
        <v>1</v>
      </c>
    </row>
    <row r="412" spans="1:7" x14ac:dyDescent="0.25">
      <c r="A412" t="s">
        <v>502</v>
      </c>
      <c r="E412">
        <v>2</v>
      </c>
      <c r="G412">
        <v>2</v>
      </c>
    </row>
    <row r="413" spans="1:7" x14ac:dyDescent="0.25">
      <c r="A413" t="s">
        <v>288</v>
      </c>
      <c r="E413">
        <v>1</v>
      </c>
      <c r="G413">
        <v>1</v>
      </c>
    </row>
    <row r="414" spans="1:7" x14ac:dyDescent="0.25">
      <c r="A414" t="s">
        <v>367</v>
      </c>
      <c r="E414">
        <v>1</v>
      </c>
      <c r="G414">
        <v>1</v>
      </c>
    </row>
    <row r="415" spans="1:7" x14ac:dyDescent="0.25">
      <c r="A415" t="s">
        <v>503</v>
      </c>
      <c r="E415">
        <v>4</v>
      </c>
      <c r="G415">
        <v>4</v>
      </c>
    </row>
    <row r="416" spans="1:7" x14ac:dyDescent="0.25">
      <c r="A416" t="s">
        <v>289</v>
      </c>
      <c r="E416">
        <v>1</v>
      </c>
      <c r="G416">
        <v>1</v>
      </c>
    </row>
    <row r="417" spans="1:7" x14ac:dyDescent="0.25">
      <c r="A417" t="s">
        <v>290</v>
      </c>
      <c r="E417">
        <v>1</v>
      </c>
      <c r="G417">
        <v>1</v>
      </c>
    </row>
    <row r="418" spans="1:7" x14ac:dyDescent="0.25">
      <c r="A418" t="s">
        <v>291</v>
      </c>
      <c r="E418">
        <v>1</v>
      </c>
      <c r="G418">
        <v>1</v>
      </c>
    </row>
    <row r="419" spans="1:7" x14ac:dyDescent="0.25">
      <c r="A419" t="s">
        <v>380</v>
      </c>
      <c r="E419">
        <v>1</v>
      </c>
      <c r="G419">
        <v>1</v>
      </c>
    </row>
    <row r="420" spans="1:7" x14ac:dyDescent="0.25">
      <c r="A420" t="s">
        <v>504</v>
      </c>
      <c r="E420">
        <v>2</v>
      </c>
      <c r="G420">
        <v>2</v>
      </c>
    </row>
    <row r="421" spans="1:7" x14ac:dyDescent="0.25">
      <c r="A421" t="s">
        <v>291</v>
      </c>
      <c r="E421">
        <v>1</v>
      </c>
      <c r="G421">
        <v>1</v>
      </c>
    </row>
    <row r="422" spans="1:7" x14ac:dyDescent="0.25">
      <c r="A422" t="s">
        <v>367</v>
      </c>
      <c r="E422">
        <v>1</v>
      </c>
      <c r="G422">
        <v>1</v>
      </c>
    </row>
    <row r="423" spans="1:7" x14ac:dyDescent="0.25">
      <c r="A423" t="s">
        <v>505</v>
      </c>
      <c r="E423">
        <v>2</v>
      </c>
      <c r="G423">
        <v>2</v>
      </c>
    </row>
    <row r="424" spans="1:7" x14ac:dyDescent="0.25">
      <c r="A424" t="s">
        <v>288</v>
      </c>
      <c r="E424">
        <v>1</v>
      </c>
      <c r="G424">
        <v>1</v>
      </c>
    </row>
    <row r="425" spans="1:7" x14ac:dyDescent="0.25">
      <c r="A425" t="s">
        <v>367</v>
      </c>
      <c r="E425">
        <v>1</v>
      </c>
      <c r="G425">
        <v>1</v>
      </c>
    </row>
    <row r="426" spans="1:7" x14ac:dyDescent="0.25">
      <c r="A426" t="s">
        <v>506</v>
      </c>
      <c r="E426">
        <v>2</v>
      </c>
      <c r="G426">
        <v>2</v>
      </c>
    </row>
    <row r="427" spans="1:7" x14ac:dyDescent="0.25">
      <c r="A427" t="s">
        <v>288</v>
      </c>
      <c r="E427">
        <v>1</v>
      </c>
      <c r="G427">
        <v>1</v>
      </c>
    </row>
    <row r="428" spans="1:7" x14ac:dyDescent="0.25">
      <c r="A428" t="s">
        <v>367</v>
      </c>
      <c r="E428">
        <v>1</v>
      </c>
      <c r="G428">
        <v>1</v>
      </c>
    </row>
    <row r="429" spans="1:7" x14ac:dyDescent="0.25">
      <c r="A429" t="s">
        <v>507</v>
      </c>
      <c r="E429">
        <v>2</v>
      </c>
      <c r="G429">
        <v>2</v>
      </c>
    </row>
    <row r="430" spans="1:7" x14ac:dyDescent="0.25">
      <c r="A430" t="s">
        <v>288</v>
      </c>
      <c r="E430">
        <v>1</v>
      </c>
      <c r="G430">
        <v>1</v>
      </c>
    </row>
    <row r="431" spans="1:7" x14ac:dyDescent="0.25">
      <c r="A431" t="s">
        <v>367</v>
      </c>
      <c r="E431">
        <v>1</v>
      </c>
      <c r="G431">
        <v>1</v>
      </c>
    </row>
    <row r="432" spans="1:7" x14ac:dyDescent="0.25">
      <c r="A432" t="s">
        <v>508</v>
      </c>
      <c r="E432">
        <v>3</v>
      </c>
      <c r="G432">
        <v>3</v>
      </c>
    </row>
    <row r="433" spans="1:7" x14ac:dyDescent="0.25">
      <c r="A433" t="s">
        <v>377</v>
      </c>
      <c r="E433">
        <v>1</v>
      </c>
      <c r="G433">
        <v>1</v>
      </c>
    </row>
    <row r="434" spans="1:7" x14ac:dyDescent="0.25">
      <c r="A434" t="s">
        <v>288</v>
      </c>
      <c r="E434">
        <v>1</v>
      </c>
      <c r="G434">
        <v>1</v>
      </c>
    </row>
    <row r="435" spans="1:7" x14ac:dyDescent="0.25">
      <c r="A435" t="s">
        <v>493</v>
      </c>
      <c r="E435">
        <v>1</v>
      </c>
      <c r="G435">
        <v>1</v>
      </c>
    </row>
    <row r="436" spans="1:7" x14ac:dyDescent="0.25">
      <c r="A436" t="s">
        <v>509</v>
      </c>
      <c r="E436">
        <v>2</v>
      </c>
      <c r="G436">
        <v>2</v>
      </c>
    </row>
    <row r="437" spans="1:7" x14ac:dyDescent="0.25">
      <c r="A437" t="s">
        <v>288</v>
      </c>
      <c r="E437">
        <v>1</v>
      </c>
      <c r="G437">
        <v>1</v>
      </c>
    </row>
    <row r="438" spans="1:7" x14ac:dyDescent="0.25">
      <c r="A438" t="s">
        <v>380</v>
      </c>
      <c r="E438">
        <v>1</v>
      </c>
      <c r="G438">
        <v>1</v>
      </c>
    </row>
    <row r="439" spans="1:7" x14ac:dyDescent="0.25">
      <c r="A439" t="s">
        <v>510</v>
      </c>
      <c r="E439">
        <v>2</v>
      </c>
      <c r="G439">
        <v>2</v>
      </c>
    </row>
    <row r="440" spans="1:7" x14ac:dyDescent="0.25">
      <c r="A440" t="s">
        <v>291</v>
      </c>
      <c r="E440">
        <v>1</v>
      </c>
      <c r="G440">
        <v>1</v>
      </c>
    </row>
    <row r="441" spans="1:7" x14ac:dyDescent="0.25">
      <c r="A441" t="s">
        <v>380</v>
      </c>
      <c r="E441">
        <v>1</v>
      </c>
      <c r="G441">
        <v>1</v>
      </c>
    </row>
    <row r="442" spans="1:7" x14ac:dyDescent="0.25">
      <c r="A442" t="s">
        <v>511</v>
      </c>
      <c r="E442">
        <v>2</v>
      </c>
      <c r="G442">
        <v>2</v>
      </c>
    </row>
    <row r="443" spans="1:7" x14ac:dyDescent="0.25">
      <c r="A443" t="s">
        <v>288</v>
      </c>
      <c r="E443">
        <v>1</v>
      </c>
      <c r="G443">
        <v>1</v>
      </c>
    </row>
    <row r="444" spans="1:7" x14ac:dyDescent="0.25">
      <c r="A444" t="s">
        <v>367</v>
      </c>
      <c r="E444">
        <v>1</v>
      </c>
      <c r="G444">
        <v>1</v>
      </c>
    </row>
    <row r="445" spans="1:7" x14ac:dyDescent="0.25">
      <c r="A445" t="s">
        <v>512</v>
      </c>
      <c r="E445">
        <v>2</v>
      </c>
      <c r="G445">
        <v>2</v>
      </c>
    </row>
    <row r="446" spans="1:7" x14ac:dyDescent="0.25">
      <c r="A446" t="s">
        <v>288</v>
      </c>
      <c r="E446">
        <v>1</v>
      </c>
      <c r="G446">
        <v>1</v>
      </c>
    </row>
    <row r="447" spans="1:7" x14ac:dyDescent="0.25">
      <c r="A447" t="s">
        <v>367</v>
      </c>
      <c r="E447">
        <v>1</v>
      </c>
      <c r="G447">
        <v>1</v>
      </c>
    </row>
    <row r="448" spans="1:7" x14ac:dyDescent="0.25">
      <c r="A448" t="s">
        <v>513</v>
      </c>
      <c r="E448">
        <v>2</v>
      </c>
      <c r="G448">
        <v>2</v>
      </c>
    </row>
    <row r="449" spans="1:7" x14ac:dyDescent="0.25">
      <c r="A449" t="s">
        <v>288</v>
      </c>
      <c r="E449">
        <v>1</v>
      </c>
      <c r="G449">
        <v>1</v>
      </c>
    </row>
    <row r="450" spans="1:7" x14ac:dyDescent="0.25">
      <c r="A450" t="s">
        <v>367</v>
      </c>
      <c r="E450">
        <v>1</v>
      </c>
      <c r="G450">
        <v>1</v>
      </c>
    </row>
    <row r="451" spans="1:7" x14ac:dyDescent="0.25">
      <c r="A451" t="s">
        <v>514</v>
      </c>
      <c r="E451">
        <v>2</v>
      </c>
      <c r="G451">
        <v>2</v>
      </c>
    </row>
    <row r="452" spans="1:7" x14ac:dyDescent="0.25">
      <c r="A452" t="s">
        <v>291</v>
      </c>
      <c r="E452">
        <v>1</v>
      </c>
      <c r="G452">
        <v>1</v>
      </c>
    </row>
    <row r="453" spans="1:7" x14ac:dyDescent="0.25">
      <c r="A453" t="s">
        <v>367</v>
      </c>
      <c r="E453">
        <v>1</v>
      </c>
      <c r="G453">
        <v>1</v>
      </c>
    </row>
    <row r="454" spans="1:7" x14ac:dyDescent="0.25">
      <c r="A454" t="s">
        <v>515</v>
      </c>
      <c r="E454">
        <v>2</v>
      </c>
      <c r="G454">
        <v>2</v>
      </c>
    </row>
    <row r="455" spans="1:7" x14ac:dyDescent="0.25">
      <c r="A455" t="s">
        <v>288</v>
      </c>
      <c r="E455">
        <v>1</v>
      </c>
      <c r="G455">
        <v>1</v>
      </c>
    </row>
    <row r="456" spans="1:7" x14ac:dyDescent="0.25">
      <c r="A456" t="s">
        <v>380</v>
      </c>
      <c r="E456">
        <v>1</v>
      </c>
      <c r="G456">
        <v>1</v>
      </c>
    </row>
    <row r="457" spans="1:7" x14ac:dyDescent="0.25">
      <c r="A457" t="s">
        <v>516</v>
      </c>
      <c r="E457">
        <v>2</v>
      </c>
      <c r="G457">
        <v>2</v>
      </c>
    </row>
    <row r="458" spans="1:7" x14ac:dyDescent="0.25">
      <c r="A458" t="s">
        <v>288</v>
      </c>
      <c r="E458">
        <v>1</v>
      </c>
      <c r="G458">
        <v>1</v>
      </c>
    </row>
    <row r="459" spans="1:7" x14ac:dyDescent="0.25">
      <c r="A459" t="s">
        <v>367</v>
      </c>
      <c r="E459">
        <v>1</v>
      </c>
      <c r="G459">
        <v>1</v>
      </c>
    </row>
    <row r="460" spans="1:7" x14ac:dyDescent="0.25">
      <c r="A460" t="s">
        <v>517</v>
      </c>
      <c r="E460">
        <v>2</v>
      </c>
      <c r="G460">
        <v>2</v>
      </c>
    </row>
    <row r="461" spans="1:7" x14ac:dyDescent="0.25">
      <c r="A461" t="s">
        <v>288</v>
      </c>
      <c r="E461">
        <v>1</v>
      </c>
      <c r="G461">
        <v>1</v>
      </c>
    </row>
    <row r="462" spans="1:7" x14ac:dyDescent="0.25">
      <c r="A462" t="s">
        <v>367</v>
      </c>
      <c r="E462">
        <v>1</v>
      </c>
      <c r="G462">
        <v>1</v>
      </c>
    </row>
    <row r="463" spans="1:7" x14ac:dyDescent="0.25">
      <c r="A463" t="s">
        <v>518</v>
      </c>
      <c r="E463">
        <v>2</v>
      </c>
      <c r="G463">
        <v>2</v>
      </c>
    </row>
    <row r="464" spans="1:7" x14ac:dyDescent="0.25">
      <c r="A464" t="s">
        <v>288</v>
      </c>
      <c r="E464">
        <v>1</v>
      </c>
      <c r="G464">
        <v>1</v>
      </c>
    </row>
    <row r="465" spans="1:7" x14ac:dyDescent="0.25">
      <c r="A465" t="s">
        <v>367</v>
      </c>
      <c r="E465">
        <v>1</v>
      </c>
      <c r="G465">
        <v>1</v>
      </c>
    </row>
    <row r="466" spans="1:7" x14ac:dyDescent="0.25">
      <c r="A466" t="s">
        <v>519</v>
      </c>
      <c r="E466">
        <v>2</v>
      </c>
      <c r="G466">
        <v>2</v>
      </c>
    </row>
    <row r="467" spans="1:7" x14ac:dyDescent="0.25">
      <c r="A467" t="s">
        <v>288</v>
      </c>
      <c r="E467">
        <v>1</v>
      </c>
      <c r="G467">
        <v>1</v>
      </c>
    </row>
    <row r="468" spans="1:7" x14ac:dyDescent="0.25">
      <c r="A468" t="s">
        <v>367</v>
      </c>
      <c r="E468">
        <v>1</v>
      </c>
      <c r="G468">
        <v>1</v>
      </c>
    </row>
    <row r="469" spans="1:7" x14ac:dyDescent="0.25">
      <c r="A469" t="s">
        <v>520</v>
      </c>
      <c r="E469">
        <v>2</v>
      </c>
      <c r="G469">
        <v>2</v>
      </c>
    </row>
    <row r="470" spans="1:7" x14ac:dyDescent="0.25">
      <c r="A470" t="s">
        <v>292</v>
      </c>
      <c r="E470">
        <v>1</v>
      </c>
      <c r="G470">
        <v>1</v>
      </c>
    </row>
    <row r="471" spans="1:7" x14ac:dyDescent="0.25">
      <c r="A471" t="s">
        <v>380</v>
      </c>
      <c r="E471">
        <v>1</v>
      </c>
      <c r="G471">
        <v>1</v>
      </c>
    </row>
    <row r="472" spans="1:7" x14ac:dyDescent="0.25">
      <c r="A472" t="s">
        <v>521</v>
      </c>
      <c r="E472">
        <v>2</v>
      </c>
      <c r="G472">
        <v>2</v>
      </c>
    </row>
    <row r="473" spans="1:7" x14ac:dyDescent="0.25">
      <c r="A473" t="s">
        <v>288</v>
      </c>
      <c r="E473">
        <v>1</v>
      </c>
      <c r="G473">
        <v>1</v>
      </c>
    </row>
    <row r="474" spans="1:7" x14ac:dyDescent="0.25">
      <c r="A474" t="s">
        <v>380</v>
      </c>
      <c r="E474">
        <v>1</v>
      </c>
      <c r="G474">
        <v>1</v>
      </c>
    </row>
    <row r="475" spans="1:7" x14ac:dyDescent="0.25">
      <c r="A475" t="s">
        <v>522</v>
      </c>
      <c r="E475">
        <v>2</v>
      </c>
      <c r="G475">
        <v>2</v>
      </c>
    </row>
    <row r="476" spans="1:7" x14ac:dyDescent="0.25">
      <c r="A476" t="s">
        <v>403</v>
      </c>
      <c r="E476">
        <v>1</v>
      </c>
      <c r="G476">
        <v>1</v>
      </c>
    </row>
    <row r="477" spans="1:7" x14ac:dyDescent="0.25">
      <c r="A477" t="s">
        <v>369</v>
      </c>
      <c r="E477">
        <v>1</v>
      </c>
      <c r="G477">
        <v>1</v>
      </c>
    </row>
    <row r="478" spans="1:7" x14ac:dyDescent="0.25">
      <c r="A478" t="s">
        <v>523</v>
      </c>
      <c r="E478">
        <v>2</v>
      </c>
      <c r="G478">
        <v>2</v>
      </c>
    </row>
    <row r="479" spans="1:7" x14ac:dyDescent="0.25">
      <c r="A479" t="s">
        <v>403</v>
      </c>
      <c r="E479">
        <v>1</v>
      </c>
      <c r="G479">
        <v>1</v>
      </c>
    </row>
    <row r="480" spans="1:7" x14ac:dyDescent="0.25">
      <c r="A480" t="s">
        <v>369</v>
      </c>
      <c r="E480">
        <v>1</v>
      </c>
      <c r="G480">
        <v>1</v>
      </c>
    </row>
    <row r="481" spans="1:7" x14ac:dyDescent="0.25">
      <c r="A481" t="s">
        <v>524</v>
      </c>
      <c r="E481">
        <v>2</v>
      </c>
      <c r="G481">
        <v>2</v>
      </c>
    </row>
    <row r="482" spans="1:7" x14ac:dyDescent="0.25">
      <c r="A482" t="s">
        <v>292</v>
      </c>
      <c r="E482">
        <v>1</v>
      </c>
      <c r="G482">
        <v>1</v>
      </c>
    </row>
    <row r="483" spans="1:7" x14ac:dyDescent="0.25">
      <c r="A483" t="s">
        <v>380</v>
      </c>
      <c r="E483">
        <v>1</v>
      </c>
      <c r="G483">
        <v>1</v>
      </c>
    </row>
    <row r="484" spans="1:7" x14ac:dyDescent="0.25">
      <c r="A484" t="s">
        <v>525</v>
      </c>
      <c r="E484">
        <v>2</v>
      </c>
      <c r="G484">
        <v>2</v>
      </c>
    </row>
    <row r="485" spans="1:7" x14ac:dyDescent="0.25">
      <c r="A485" t="s">
        <v>526</v>
      </c>
      <c r="E485">
        <v>1</v>
      </c>
      <c r="G485">
        <v>1</v>
      </c>
    </row>
    <row r="486" spans="1:7" x14ac:dyDescent="0.25">
      <c r="A486" t="s">
        <v>369</v>
      </c>
      <c r="E486">
        <v>1</v>
      </c>
      <c r="G486">
        <v>1</v>
      </c>
    </row>
    <row r="487" spans="1:7" x14ac:dyDescent="0.25">
      <c r="A487" t="s">
        <v>527</v>
      </c>
      <c r="E487">
        <v>2</v>
      </c>
      <c r="G487">
        <v>2</v>
      </c>
    </row>
    <row r="488" spans="1:7" x14ac:dyDescent="0.25">
      <c r="A488" t="s">
        <v>464</v>
      </c>
      <c r="E488">
        <v>1</v>
      </c>
      <c r="G488">
        <v>1</v>
      </c>
    </row>
    <row r="489" spans="1:7" x14ac:dyDescent="0.25">
      <c r="A489" t="s">
        <v>369</v>
      </c>
      <c r="E489">
        <v>1</v>
      </c>
      <c r="G489">
        <v>1</v>
      </c>
    </row>
    <row r="490" spans="1:7" x14ac:dyDescent="0.25">
      <c r="A490" t="s">
        <v>528</v>
      </c>
      <c r="E490">
        <v>2</v>
      </c>
      <c r="G490">
        <v>2</v>
      </c>
    </row>
    <row r="491" spans="1:7" x14ac:dyDescent="0.25">
      <c r="A491" t="s">
        <v>288</v>
      </c>
      <c r="E491">
        <v>1</v>
      </c>
      <c r="G491">
        <v>1</v>
      </c>
    </row>
    <row r="492" spans="1:7" x14ac:dyDescent="0.25">
      <c r="A492" t="s">
        <v>367</v>
      </c>
      <c r="E492">
        <v>1</v>
      </c>
      <c r="G492">
        <v>1</v>
      </c>
    </row>
    <row r="493" spans="1:7" x14ac:dyDescent="0.25">
      <c r="A493" t="s">
        <v>529</v>
      </c>
      <c r="E493">
        <v>2</v>
      </c>
      <c r="G493">
        <v>2</v>
      </c>
    </row>
    <row r="494" spans="1:7" x14ac:dyDescent="0.25">
      <c r="A494" t="s">
        <v>403</v>
      </c>
      <c r="E494">
        <v>1</v>
      </c>
      <c r="G494">
        <v>1</v>
      </c>
    </row>
    <row r="495" spans="1:7" x14ac:dyDescent="0.25">
      <c r="A495" t="s">
        <v>369</v>
      </c>
      <c r="E495">
        <v>1</v>
      </c>
      <c r="G495">
        <v>1</v>
      </c>
    </row>
    <row r="496" spans="1:7" x14ac:dyDescent="0.25">
      <c r="A496" t="s">
        <v>530</v>
      </c>
      <c r="E496">
        <v>2</v>
      </c>
      <c r="G496">
        <v>2</v>
      </c>
    </row>
    <row r="497" spans="1:7" x14ac:dyDescent="0.25">
      <c r="A497" t="s">
        <v>531</v>
      </c>
      <c r="E497">
        <v>1</v>
      </c>
      <c r="G497">
        <v>1</v>
      </c>
    </row>
    <row r="498" spans="1:7" x14ac:dyDescent="0.25">
      <c r="A498" t="s">
        <v>369</v>
      </c>
      <c r="E498">
        <v>1</v>
      </c>
      <c r="G498">
        <v>1</v>
      </c>
    </row>
    <row r="499" spans="1:7" x14ac:dyDescent="0.25">
      <c r="A499" t="s">
        <v>532</v>
      </c>
      <c r="E499">
        <v>2</v>
      </c>
      <c r="G499">
        <v>2</v>
      </c>
    </row>
    <row r="500" spans="1:7" x14ac:dyDescent="0.25">
      <c r="A500" t="s">
        <v>373</v>
      </c>
      <c r="E500">
        <v>1</v>
      </c>
      <c r="G500">
        <v>1</v>
      </c>
    </row>
    <row r="501" spans="1:7" x14ac:dyDescent="0.25">
      <c r="A501" t="s">
        <v>369</v>
      </c>
      <c r="E501">
        <v>1</v>
      </c>
      <c r="G501">
        <v>1</v>
      </c>
    </row>
    <row r="502" spans="1:7" x14ac:dyDescent="0.25">
      <c r="A502" t="s">
        <v>533</v>
      </c>
      <c r="E502">
        <v>2</v>
      </c>
      <c r="G502">
        <v>2</v>
      </c>
    </row>
    <row r="503" spans="1:7" x14ac:dyDescent="0.25">
      <c r="A503" t="s">
        <v>403</v>
      </c>
      <c r="E503">
        <v>1</v>
      </c>
      <c r="G503">
        <v>1</v>
      </c>
    </row>
    <row r="504" spans="1:7" x14ac:dyDescent="0.25">
      <c r="A504" t="s">
        <v>369</v>
      </c>
      <c r="E504">
        <v>1</v>
      </c>
      <c r="G504">
        <v>1</v>
      </c>
    </row>
    <row r="505" spans="1:7" x14ac:dyDescent="0.25">
      <c r="A505" t="s">
        <v>534</v>
      </c>
      <c r="E505">
        <v>2</v>
      </c>
      <c r="G505">
        <v>2</v>
      </c>
    </row>
    <row r="506" spans="1:7" x14ac:dyDescent="0.25">
      <c r="A506" t="s">
        <v>403</v>
      </c>
      <c r="E506">
        <v>1</v>
      </c>
      <c r="G506">
        <v>1</v>
      </c>
    </row>
    <row r="507" spans="1:7" x14ac:dyDescent="0.25">
      <c r="A507" t="s">
        <v>369</v>
      </c>
      <c r="E507">
        <v>1</v>
      </c>
      <c r="G507">
        <v>1</v>
      </c>
    </row>
    <row r="508" spans="1:7" x14ac:dyDescent="0.25">
      <c r="A508" t="s">
        <v>535</v>
      </c>
      <c r="E508">
        <v>2</v>
      </c>
      <c r="G508">
        <v>2</v>
      </c>
    </row>
    <row r="509" spans="1:7" x14ac:dyDescent="0.25">
      <c r="A509" t="s">
        <v>403</v>
      </c>
      <c r="E509">
        <v>1</v>
      </c>
      <c r="G509">
        <v>1</v>
      </c>
    </row>
    <row r="510" spans="1:7" x14ac:dyDescent="0.25">
      <c r="A510" t="s">
        <v>369</v>
      </c>
      <c r="E510">
        <v>1</v>
      </c>
      <c r="G510">
        <v>1</v>
      </c>
    </row>
    <row r="511" spans="1:7" x14ac:dyDescent="0.25">
      <c r="A511" t="s">
        <v>536</v>
      </c>
      <c r="E511">
        <v>2</v>
      </c>
      <c r="G511">
        <v>2</v>
      </c>
    </row>
    <row r="512" spans="1:7" x14ac:dyDescent="0.25">
      <c r="A512" t="s">
        <v>288</v>
      </c>
      <c r="E512">
        <v>1</v>
      </c>
      <c r="G512">
        <v>1</v>
      </c>
    </row>
    <row r="513" spans="1:7" x14ac:dyDescent="0.25">
      <c r="A513" t="s">
        <v>367</v>
      </c>
      <c r="E513">
        <v>1</v>
      </c>
      <c r="G513">
        <v>1</v>
      </c>
    </row>
    <row r="514" spans="1:7" x14ac:dyDescent="0.25">
      <c r="A514" t="s">
        <v>537</v>
      </c>
      <c r="E514">
        <v>2</v>
      </c>
      <c r="G514">
        <v>2</v>
      </c>
    </row>
    <row r="515" spans="1:7" x14ac:dyDescent="0.25">
      <c r="A515" t="s">
        <v>292</v>
      </c>
      <c r="E515">
        <v>1</v>
      </c>
      <c r="G515">
        <v>1</v>
      </c>
    </row>
    <row r="516" spans="1:7" x14ac:dyDescent="0.25">
      <c r="A516" t="s">
        <v>380</v>
      </c>
      <c r="E516">
        <v>1</v>
      </c>
      <c r="G516">
        <v>1</v>
      </c>
    </row>
    <row r="517" spans="1:7" x14ac:dyDescent="0.25">
      <c r="A517" t="s">
        <v>538</v>
      </c>
      <c r="E517">
        <v>4</v>
      </c>
      <c r="G517">
        <v>4</v>
      </c>
    </row>
    <row r="518" spans="1:7" x14ac:dyDescent="0.25">
      <c r="A518" t="s">
        <v>377</v>
      </c>
      <c r="E518">
        <v>1</v>
      </c>
      <c r="G518">
        <v>1</v>
      </c>
    </row>
    <row r="519" spans="1:7" x14ac:dyDescent="0.25">
      <c r="A519" t="s">
        <v>289</v>
      </c>
      <c r="E519">
        <v>1</v>
      </c>
      <c r="G519">
        <v>1</v>
      </c>
    </row>
    <row r="520" spans="1:7" x14ac:dyDescent="0.25">
      <c r="A520" t="s">
        <v>291</v>
      </c>
      <c r="E520">
        <v>1</v>
      </c>
      <c r="G520">
        <v>1</v>
      </c>
    </row>
    <row r="521" spans="1:7" x14ac:dyDescent="0.25">
      <c r="A521" t="s">
        <v>380</v>
      </c>
      <c r="E521">
        <v>1</v>
      </c>
      <c r="G521">
        <v>1</v>
      </c>
    </row>
    <row r="522" spans="1:7" x14ac:dyDescent="0.25">
      <c r="A522" t="s">
        <v>539</v>
      </c>
      <c r="E522">
        <v>2</v>
      </c>
      <c r="G522">
        <v>2</v>
      </c>
    </row>
    <row r="523" spans="1:7" x14ac:dyDescent="0.25">
      <c r="A523" t="s">
        <v>292</v>
      </c>
      <c r="E523">
        <v>1</v>
      </c>
      <c r="G523">
        <v>1</v>
      </c>
    </row>
    <row r="524" spans="1:7" x14ac:dyDescent="0.25">
      <c r="A524" t="s">
        <v>380</v>
      </c>
      <c r="E524">
        <v>1</v>
      </c>
      <c r="G524">
        <v>1</v>
      </c>
    </row>
    <row r="525" spans="1:7" x14ac:dyDescent="0.25">
      <c r="A525" t="s">
        <v>540</v>
      </c>
      <c r="E525">
        <v>2</v>
      </c>
      <c r="G525">
        <v>2</v>
      </c>
    </row>
    <row r="526" spans="1:7" x14ac:dyDescent="0.25">
      <c r="A526" t="s">
        <v>288</v>
      </c>
      <c r="E526">
        <v>1</v>
      </c>
      <c r="G526">
        <v>1</v>
      </c>
    </row>
    <row r="527" spans="1:7" x14ac:dyDescent="0.25">
      <c r="A527" t="s">
        <v>367</v>
      </c>
      <c r="E527">
        <v>1</v>
      </c>
      <c r="G527">
        <v>1</v>
      </c>
    </row>
    <row r="528" spans="1:7" x14ac:dyDescent="0.25">
      <c r="A528" t="s">
        <v>541</v>
      </c>
      <c r="E528">
        <v>2</v>
      </c>
      <c r="G528">
        <v>2</v>
      </c>
    </row>
    <row r="529" spans="1:7" x14ac:dyDescent="0.25">
      <c r="A529" t="s">
        <v>288</v>
      </c>
      <c r="E529">
        <v>1</v>
      </c>
      <c r="G529">
        <v>1</v>
      </c>
    </row>
    <row r="530" spans="1:7" x14ac:dyDescent="0.25">
      <c r="A530" t="s">
        <v>380</v>
      </c>
      <c r="E530">
        <v>1</v>
      </c>
      <c r="G530">
        <v>1</v>
      </c>
    </row>
    <row r="531" spans="1:7" x14ac:dyDescent="0.25">
      <c r="A531" t="s">
        <v>542</v>
      </c>
      <c r="E531">
        <v>2</v>
      </c>
      <c r="G531">
        <v>2</v>
      </c>
    </row>
    <row r="532" spans="1:7" x14ac:dyDescent="0.25">
      <c r="A532" t="s">
        <v>288</v>
      </c>
      <c r="E532">
        <v>1</v>
      </c>
      <c r="G532">
        <v>1</v>
      </c>
    </row>
    <row r="533" spans="1:7" x14ac:dyDescent="0.25">
      <c r="A533" t="s">
        <v>367</v>
      </c>
      <c r="E533">
        <v>1</v>
      </c>
      <c r="G533">
        <v>1</v>
      </c>
    </row>
    <row r="534" spans="1:7" x14ac:dyDescent="0.25">
      <c r="A534" t="s">
        <v>543</v>
      </c>
      <c r="E534">
        <v>2</v>
      </c>
      <c r="G534">
        <v>2</v>
      </c>
    </row>
    <row r="535" spans="1:7" x14ac:dyDescent="0.25">
      <c r="A535" t="s">
        <v>291</v>
      </c>
      <c r="E535">
        <v>1</v>
      </c>
      <c r="G535">
        <v>1</v>
      </c>
    </row>
    <row r="536" spans="1:7" x14ac:dyDescent="0.25">
      <c r="A536" t="s">
        <v>380</v>
      </c>
      <c r="E536">
        <v>1</v>
      </c>
      <c r="G536">
        <v>1</v>
      </c>
    </row>
    <row r="537" spans="1:7" x14ac:dyDescent="0.25">
      <c r="A537" t="s">
        <v>544</v>
      </c>
      <c r="E537">
        <v>2</v>
      </c>
      <c r="G537">
        <v>2</v>
      </c>
    </row>
    <row r="538" spans="1:7" x14ac:dyDescent="0.25">
      <c r="A538" t="s">
        <v>288</v>
      </c>
      <c r="E538">
        <v>1</v>
      </c>
      <c r="G538">
        <v>1</v>
      </c>
    </row>
    <row r="539" spans="1:7" x14ac:dyDescent="0.25">
      <c r="A539" t="s">
        <v>367</v>
      </c>
      <c r="E539">
        <v>1</v>
      </c>
      <c r="G539">
        <v>1</v>
      </c>
    </row>
    <row r="540" spans="1:7" x14ac:dyDescent="0.25">
      <c r="A540" t="s">
        <v>545</v>
      </c>
      <c r="E540">
        <v>2</v>
      </c>
      <c r="G540">
        <v>2</v>
      </c>
    </row>
    <row r="541" spans="1:7" x14ac:dyDescent="0.25">
      <c r="A541" t="s">
        <v>291</v>
      </c>
      <c r="E541">
        <v>1</v>
      </c>
      <c r="G541">
        <v>1</v>
      </c>
    </row>
    <row r="542" spans="1:7" x14ac:dyDescent="0.25">
      <c r="A542" t="s">
        <v>367</v>
      </c>
      <c r="E542">
        <v>1</v>
      </c>
      <c r="G542">
        <v>1</v>
      </c>
    </row>
    <row r="543" spans="1:7" x14ac:dyDescent="0.25">
      <c r="A543" t="s">
        <v>546</v>
      </c>
      <c r="E543">
        <v>2</v>
      </c>
      <c r="G543">
        <v>2</v>
      </c>
    </row>
    <row r="544" spans="1:7" x14ac:dyDescent="0.25">
      <c r="A544" t="s">
        <v>288</v>
      </c>
      <c r="E544">
        <v>1</v>
      </c>
      <c r="G544">
        <v>1</v>
      </c>
    </row>
    <row r="545" spans="1:7" x14ac:dyDescent="0.25">
      <c r="A545" t="s">
        <v>367</v>
      </c>
      <c r="E545">
        <v>1</v>
      </c>
      <c r="G545">
        <v>1</v>
      </c>
    </row>
    <row r="546" spans="1:7" x14ac:dyDescent="0.25">
      <c r="A546" t="s">
        <v>547</v>
      </c>
      <c r="E546">
        <v>2</v>
      </c>
      <c r="G546">
        <v>2</v>
      </c>
    </row>
    <row r="547" spans="1:7" x14ac:dyDescent="0.25">
      <c r="A547" t="s">
        <v>291</v>
      </c>
      <c r="E547">
        <v>1</v>
      </c>
      <c r="G547">
        <v>1</v>
      </c>
    </row>
    <row r="548" spans="1:7" x14ac:dyDescent="0.25">
      <c r="A548" t="s">
        <v>367</v>
      </c>
      <c r="E548">
        <v>1</v>
      </c>
      <c r="G548">
        <v>1</v>
      </c>
    </row>
    <row r="549" spans="1:7" x14ac:dyDescent="0.25">
      <c r="A549" t="s">
        <v>548</v>
      </c>
      <c r="E549">
        <v>2</v>
      </c>
      <c r="G549">
        <v>2</v>
      </c>
    </row>
    <row r="550" spans="1:7" x14ac:dyDescent="0.25">
      <c r="A550" t="s">
        <v>288</v>
      </c>
      <c r="E550">
        <v>1</v>
      </c>
      <c r="G550">
        <v>1</v>
      </c>
    </row>
    <row r="551" spans="1:7" x14ac:dyDescent="0.25">
      <c r="A551" t="s">
        <v>367</v>
      </c>
      <c r="E551">
        <v>1</v>
      </c>
      <c r="G551">
        <v>1</v>
      </c>
    </row>
    <row r="552" spans="1:7" x14ac:dyDescent="0.25">
      <c r="A552" t="s">
        <v>549</v>
      </c>
      <c r="E552">
        <v>3</v>
      </c>
      <c r="G552">
        <v>3</v>
      </c>
    </row>
    <row r="553" spans="1:7" x14ac:dyDescent="0.25">
      <c r="A553" t="s">
        <v>377</v>
      </c>
      <c r="E553">
        <v>1</v>
      </c>
      <c r="G553">
        <v>1</v>
      </c>
    </row>
    <row r="554" spans="1:7" x14ac:dyDescent="0.25">
      <c r="A554" t="s">
        <v>291</v>
      </c>
      <c r="E554">
        <v>1</v>
      </c>
      <c r="G554">
        <v>1</v>
      </c>
    </row>
    <row r="555" spans="1:7" x14ac:dyDescent="0.25">
      <c r="A555" t="s">
        <v>493</v>
      </c>
      <c r="E555">
        <v>1</v>
      </c>
      <c r="G555">
        <v>1</v>
      </c>
    </row>
    <row r="556" spans="1:7" x14ac:dyDescent="0.25">
      <c r="A556" t="s">
        <v>550</v>
      </c>
      <c r="E556">
        <v>2</v>
      </c>
      <c r="G556">
        <v>2</v>
      </c>
    </row>
    <row r="557" spans="1:7" x14ac:dyDescent="0.25">
      <c r="A557" t="s">
        <v>288</v>
      </c>
      <c r="E557">
        <v>1</v>
      </c>
      <c r="G557">
        <v>1</v>
      </c>
    </row>
    <row r="558" spans="1:7" x14ac:dyDescent="0.25">
      <c r="A558" t="s">
        <v>380</v>
      </c>
      <c r="E558">
        <v>1</v>
      </c>
      <c r="G558">
        <v>1</v>
      </c>
    </row>
    <row r="559" spans="1:7" x14ac:dyDescent="0.25">
      <c r="A559" t="s">
        <v>551</v>
      </c>
      <c r="E559">
        <v>2</v>
      </c>
      <c r="G559">
        <v>2</v>
      </c>
    </row>
    <row r="560" spans="1:7" x14ac:dyDescent="0.25">
      <c r="A560" t="s">
        <v>288</v>
      </c>
      <c r="E560">
        <v>1</v>
      </c>
      <c r="G560">
        <v>1</v>
      </c>
    </row>
    <row r="561" spans="1:7" x14ac:dyDescent="0.25">
      <c r="A561" t="s">
        <v>367</v>
      </c>
      <c r="E561">
        <v>1</v>
      </c>
      <c r="G561">
        <v>1</v>
      </c>
    </row>
    <row r="562" spans="1:7" x14ac:dyDescent="0.25">
      <c r="A562" t="s">
        <v>552</v>
      </c>
      <c r="E562">
        <v>2</v>
      </c>
      <c r="G562">
        <v>2</v>
      </c>
    </row>
    <row r="563" spans="1:7" x14ac:dyDescent="0.25">
      <c r="A563" t="s">
        <v>288</v>
      </c>
      <c r="E563">
        <v>1</v>
      </c>
      <c r="G563">
        <v>1</v>
      </c>
    </row>
    <row r="564" spans="1:7" x14ac:dyDescent="0.25">
      <c r="A564" t="s">
        <v>367</v>
      </c>
      <c r="E564">
        <v>1</v>
      </c>
      <c r="G564">
        <v>1</v>
      </c>
    </row>
    <row r="565" spans="1:7" x14ac:dyDescent="0.25">
      <c r="A565" t="s">
        <v>553</v>
      </c>
      <c r="E565">
        <v>2</v>
      </c>
      <c r="G565">
        <v>2</v>
      </c>
    </row>
    <row r="566" spans="1:7" x14ac:dyDescent="0.25">
      <c r="A566" t="s">
        <v>292</v>
      </c>
      <c r="E566">
        <v>1</v>
      </c>
      <c r="G566">
        <v>1</v>
      </c>
    </row>
    <row r="567" spans="1:7" x14ac:dyDescent="0.25">
      <c r="A567" t="s">
        <v>380</v>
      </c>
      <c r="E567">
        <v>1</v>
      </c>
      <c r="G567">
        <v>1</v>
      </c>
    </row>
    <row r="568" spans="1:7" x14ac:dyDescent="0.25">
      <c r="A568" t="s">
        <v>554</v>
      </c>
      <c r="E568">
        <v>2</v>
      </c>
      <c r="G568">
        <v>2</v>
      </c>
    </row>
    <row r="569" spans="1:7" x14ac:dyDescent="0.25">
      <c r="A569" t="s">
        <v>288</v>
      </c>
      <c r="E569">
        <v>1</v>
      </c>
      <c r="G569">
        <v>1</v>
      </c>
    </row>
    <row r="570" spans="1:7" x14ac:dyDescent="0.25">
      <c r="A570" t="s">
        <v>380</v>
      </c>
      <c r="E570">
        <v>1</v>
      </c>
      <c r="G570">
        <v>1</v>
      </c>
    </row>
    <row r="571" spans="1:7" x14ac:dyDescent="0.25">
      <c r="A571" t="s">
        <v>555</v>
      </c>
      <c r="E571">
        <v>3</v>
      </c>
      <c r="G571">
        <v>3</v>
      </c>
    </row>
    <row r="572" spans="1:7" x14ac:dyDescent="0.25">
      <c r="A572" t="s">
        <v>377</v>
      </c>
      <c r="E572">
        <v>1</v>
      </c>
      <c r="G572">
        <v>1</v>
      </c>
    </row>
    <row r="573" spans="1:7" x14ac:dyDescent="0.25">
      <c r="A573" t="s">
        <v>288</v>
      </c>
      <c r="E573">
        <v>1</v>
      </c>
      <c r="G573">
        <v>1</v>
      </c>
    </row>
    <row r="574" spans="1:7" x14ac:dyDescent="0.25">
      <c r="A574" t="s">
        <v>493</v>
      </c>
      <c r="E574">
        <v>1</v>
      </c>
      <c r="G574">
        <v>1</v>
      </c>
    </row>
    <row r="575" spans="1:7" x14ac:dyDescent="0.25">
      <c r="A575" t="s">
        <v>556</v>
      </c>
      <c r="E575">
        <v>2</v>
      </c>
      <c r="G575">
        <v>2</v>
      </c>
    </row>
    <row r="576" spans="1:7" x14ac:dyDescent="0.25">
      <c r="A576" t="s">
        <v>288</v>
      </c>
      <c r="E576">
        <v>1</v>
      </c>
      <c r="G576">
        <v>1</v>
      </c>
    </row>
    <row r="577" spans="1:7" x14ac:dyDescent="0.25">
      <c r="A577" t="s">
        <v>380</v>
      </c>
      <c r="E577">
        <v>1</v>
      </c>
      <c r="G577">
        <v>1</v>
      </c>
    </row>
    <row r="578" spans="1:7" x14ac:dyDescent="0.25">
      <c r="A578" t="s">
        <v>557</v>
      </c>
      <c r="E578">
        <v>2</v>
      </c>
      <c r="G578">
        <v>2</v>
      </c>
    </row>
    <row r="579" spans="1:7" x14ac:dyDescent="0.25">
      <c r="A579" t="s">
        <v>291</v>
      </c>
      <c r="E579">
        <v>1</v>
      </c>
      <c r="G579">
        <v>1</v>
      </c>
    </row>
    <row r="580" spans="1:7" x14ac:dyDescent="0.25">
      <c r="A580" t="s">
        <v>380</v>
      </c>
      <c r="E580">
        <v>1</v>
      </c>
      <c r="G580">
        <v>1</v>
      </c>
    </row>
    <row r="581" spans="1:7" x14ac:dyDescent="0.25">
      <c r="A581" t="s">
        <v>558</v>
      </c>
      <c r="E581">
        <v>2</v>
      </c>
      <c r="G581">
        <v>2</v>
      </c>
    </row>
    <row r="582" spans="1:7" x14ac:dyDescent="0.25">
      <c r="A582" t="s">
        <v>290</v>
      </c>
      <c r="E582">
        <v>1</v>
      </c>
      <c r="G582">
        <v>1</v>
      </c>
    </row>
    <row r="583" spans="1:7" x14ac:dyDescent="0.25">
      <c r="A583" t="s">
        <v>380</v>
      </c>
      <c r="E583">
        <v>1</v>
      </c>
      <c r="G583">
        <v>1</v>
      </c>
    </row>
    <row r="584" spans="1:7" x14ac:dyDescent="0.25">
      <c r="A584" t="s">
        <v>559</v>
      </c>
      <c r="E584">
        <v>2</v>
      </c>
      <c r="G584">
        <v>2</v>
      </c>
    </row>
    <row r="585" spans="1:7" x14ac:dyDescent="0.25">
      <c r="A585" t="s">
        <v>288</v>
      </c>
      <c r="E585">
        <v>1</v>
      </c>
      <c r="G585">
        <v>1</v>
      </c>
    </row>
    <row r="586" spans="1:7" x14ac:dyDescent="0.25">
      <c r="A586" t="s">
        <v>367</v>
      </c>
      <c r="E586">
        <v>1</v>
      </c>
      <c r="G586">
        <v>1</v>
      </c>
    </row>
    <row r="587" spans="1:7" x14ac:dyDescent="0.25">
      <c r="A587" t="s">
        <v>560</v>
      </c>
      <c r="E587">
        <v>3</v>
      </c>
      <c r="G587">
        <v>3</v>
      </c>
    </row>
    <row r="588" spans="1:7" x14ac:dyDescent="0.25">
      <c r="A588" t="s">
        <v>377</v>
      </c>
      <c r="E588">
        <v>1</v>
      </c>
      <c r="G588">
        <v>1</v>
      </c>
    </row>
    <row r="589" spans="1:7" x14ac:dyDescent="0.25">
      <c r="A589" t="s">
        <v>292</v>
      </c>
      <c r="E589">
        <v>1</v>
      </c>
      <c r="G589">
        <v>1</v>
      </c>
    </row>
    <row r="590" spans="1:7" x14ac:dyDescent="0.25">
      <c r="A590" t="s">
        <v>380</v>
      </c>
      <c r="E590">
        <v>1</v>
      </c>
      <c r="G590">
        <v>1</v>
      </c>
    </row>
    <row r="591" spans="1:7" x14ac:dyDescent="0.25">
      <c r="A591" t="s">
        <v>561</v>
      </c>
      <c r="E591">
        <v>2</v>
      </c>
      <c r="G591">
        <v>2</v>
      </c>
    </row>
    <row r="592" spans="1:7" x14ac:dyDescent="0.25">
      <c r="A592" t="s">
        <v>288</v>
      </c>
      <c r="E592">
        <v>1</v>
      </c>
      <c r="G592">
        <v>1</v>
      </c>
    </row>
    <row r="593" spans="1:7" x14ac:dyDescent="0.25">
      <c r="A593" t="s">
        <v>367</v>
      </c>
      <c r="E593">
        <v>1</v>
      </c>
      <c r="G593">
        <v>1</v>
      </c>
    </row>
    <row r="594" spans="1:7" x14ac:dyDescent="0.25">
      <c r="A594" t="s">
        <v>562</v>
      </c>
      <c r="E594">
        <v>2</v>
      </c>
      <c r="G594">
        <v>2</v>
      </c>
    </row>
    <row r="595" spans="1:7" x14ac:dyDescent="0.25">
      <c r="A595" t="s">
        <v>292</v>
      </c>
      <c r="E595">
        <v>1</v>
      </c>
      <c r="G595">
        <v>1</v>
      </c>
    </row>
    <row r="596" spans="1:7" x14ac:dyDescent="0.25">
      <c r="A596" t="s">
        <v>380</v>
      </c>
      <c r="E596">
        <v>1</v>
      </c>
      <c r="G596">
        <v>1</v>
      </c>
    </row>
    <row r="597" spans="1:7" x14ac:dyDescent="0.25">
      <c r="A597" t="s">
        <v>563</v>
      </c>
      <c r="E597">
        <v>2</v>
      </c>
      <c r="G597">
        <v>2</v>
      </c>
    </row>
    <row r="598" spans="1:7" x14ac:dyDescent="0.25">
      <c r="A598" t="s">
        <v>292</v>
      </c>
      <c r="E598">
        <v>1</v>
      </c>
      <c r="G598">
        <v>1</v>
      </c>
    </row>
    <row r="599" spans="1:7" x14ac:dyDescent="0.25">
      <c r="A599" t="s">
        <v>380</v>
      </c>
      <c r="E599">
        <v>1</v>
      </c>
      <c r="G599">
        <v>1</v>
      </c>
    </row>
    <row r="600" spans="1:7" x14ac:dyDescent="0.25">
      <c r="A600" t="s">
        <v>564</v>
      </c>
      <c r="E600">
        <v>2</v>
      </c>
      <c r="G600">
        <v>2</v>
      </c>
    </row>
    <row r="601" spans="1:7" x14ac:dyDescent="0.25">
      <c r="A601" t="s">
        <v>292</v>
      </c>
      <c r="E601">
        <v>1</v>
      </c>
      <c r="G601">
        <v>1</v>
      </c>
    </row>
    <row r="602" spans="1:7" x14ac:dyDescent="0.25">
      <c r="A602" t="s">
        <v>380</v>
      </c>
      <c r="E602">
        <v>1</v>
      </c>
      <c r="G602">
        <v>1</v>
      </c>
    </row>
    <row r="603" spans="1:7" x14ac:dyDescent="0.25">
      <c r="A603" t="s">
        <v>565</v>
      </c>
      <c r="E603">
        <v>4</v>
      </c>
      <c r="G603">
        <v>4</v>
      </c>
    </row>
    <row r="604" spans="1:7" x14ac:dyDescent="0.25">
      <c r="A604" t="s">
        <v>377</v>
      </c>
      <c r="E604">
        <v>1</v>
      </c>
      <c r="G604">
        <v>1</v>
      </c>
    </row>
    <row r="605" spans="1:7" x14ac:dyDescent="0.25">
      <c r="A605" t="s">
        <v>289</v>
      </c>
      <c r="E605">
        <v>1</v>
      </c>
      <c r="G605">
        <v>1</v>
      </c>
    </row>
    <row r="606" spans="1:7" x14ac:dyDescent="0.25">
      <c r="A606" t="s">
        <v>288</v>
      </c>
      <c r="E606">
        <v>1</v>
      </c>
      <c r="G606">
        <v>1</v>
      </c>
    </row>
    <row r="607" spans="1:7" x14ac:dyDescent="0.25">
      <c r="A607" t="s">
        <v>493</v>
      </c>
      <c r="E607">
        <v>1</v>
      </c>
      <c r="G607">
        <v>1</v>
      </c>
    </row>
    <row r="608" spans="1:7" x14ac:dyDescent="0.25">
      <c r="A608" t="s">
        <v>566</v>
      </c>
      <c r="E608">
        <v>3</v>
      </c>
      <c r="G608">
        <v>3</v>
      </c>
    </row>
    <row r="609" spans="1:7" x14ac:dyDescent="0.25">
      <c r="A609" t="s">
        <v>377</v>
      </c>
      <c r="E609">
        <v>1</v>
      </c>
      <c r="G609">
        <v>1</v>
      </c>
    </row>
    <row r="610" spans="1:7" x14ac:dyDescent="0.25">
      <c r="A610" t="s">
        <v>292</v>
      </c>
      <c r="E610">
        <v>1</v>
      </c>
      <c r="G610">
        <v>1</v>
      </c>
    </row>
    <row r="611" spans="1:7" x14ac:dyDescent="0.25">
      <c r="A611" t="s">
        <v>567</v>
      </c>
      <c r="E611">
        <v>1</v>
      </c>
      <c r="G611">
        <v>1</v>
      </c>
    </row>
    <row r="612" spans="1:7" x14ac:dyDescent="0.25">
      <c r="A612" t="s">
        <v>568</v>
      </c>
      <c r="E612">
        <v>3</v>
      </c>
      <c r="G612">
        <v>3</v>
      </c>
    </row>
    <row r="613" spans="1:7" x14ac:dyDescent="0.25">
      <c r="A613" t="s">
        <v>377</v>
      </c>
      <c r="E613">
        <v>1</v>
      </c>
      <c r="G613">
        <v>1</v>
      </c>
    </row>
    <row r="614" spans="1:7" x14ac:dyDescent="0.25">
      <c r="A614" t="s">
        <v>288</v>
      </c>
      <c r="E614">
        <v>1</v>
      </c>
      <c r="G614">
        <v>1</v>
      </c>
    </row>
    <row r="615" spans="1:7" x14ac:dyDescent="0.25">
      <c r="A615" t="s">
        <v>380</v>
      </c>
      <c r="E615">
        <v>1</v>
      </c>
      <c r="G615">
        <v>1</v>
      </c>
    </row>
    <row r="616" spans="1:7" x14ac:dyDescent="0.25">
      <c r="A616" t="s">
        <v>569</v>
      </c>
      <c r="E616">
        <v>2</v>
      </c>
      <c r="G616">
        <v>2</v>
      </c>
    </row>
    <row r="617" spans="1:7" x14ac:dyDescent="0.25">
      <c r="A617" t="s">
        <v>292</v>
      </c>
      <c r="E617">
        <v>1</v>
      </c>
      <c r="G617">
        <v>1</v>
      </c>
    </row>
    <row r="618" spans="1:7" x14ac:dyDescent="0.25">
      <c r="A618" t="s">
        <v>380</v>
      </c>
      <c r="E618">
        <v>1</v>
      </c>
      <c r="G618">
        <v>1</v>
      </c>
    </row>
    <row r="619" spans="1:7" x14ac:dyDescent="0.25">
      <c r="A619" t="s">
        <v>570</v>
      </c>
      <c r="E619">
        <v>2</v>
      </c>
      <c r="G619">
        <v>2</v>
      </c>
    </row>
    <row r="620" spans="1:7" x14ac:dyDescent="0.25">
      <c r="A620" t="s">
        <v>292</v>
      </c>
      <c r="E620">
        <v>1</v>
      </c>
      <c r="G620">
        <v>1</v>
      </c>
    </row>
    <row r="621" spans="1:7" x14ac:dyDescent="0.25">
      <c r="A621" t="s">
        <v>367</v>
      </c>
      <c r="E621">
        <v>1</v>
      </c>
      <c r="G621">
        <v>1</v>
      </c>
    </row>
    <row r="622" spans="1:7" x14ac:dyDescent="0.25">
      <c r="A622" t="s">
        <v>571</v>
      </c>
      <c r="E622">
        <v>2</v>
      </c>
      <c r="G622">
        <v>2</v>
      </c>
    </row>
    <row r="623" spans="1:7" x14ac:dyDescent="0.25">
      <c r="A623" t="s">
        <v>288</v>
      </c>
      <c r="E623">
        <v>1</v>
      </c>
      <c r="G623">
        <v>1</v>
      </c>
    </row>
    <row r="624" spans="1:7" x14ac:dyDescent="0.25">
      <c r="A624" t="s">
        <v>367</v>
      </c>
      <c r="E624">
        <v>1</v>
      </c>
      <c r="G624">
        <v>1</v>
      </c>
    </row>
    <row r="625" spans="1:7" x14ac:dyDescent="0.25">
      <c r="A625" t="s">
        <v>572</v>
      </c>
      <c r="E625">
        <v>3</v>
      </c>
      <c r="G625">
        <v>3</v>
      </c>
    </row>
    <row r="626" spans="1:7" x14ac:dyDescent="0.25">
      <c r="A626" t="s">
        <v>377</v>
      </c>
      <c r="E626">
        <v>1</v>
      </c>
      <c r="G626">
        <v>1</v>
      </c>
    </row>
    <row r="627" spans="1:7" x14ac:dyDescent="0.25">
      <c r="A627" t="s">
        <v>288</v>
      </c>
      <c r="E627">
        <v>1</v>
      </c>
      <c r="G627">
        <v>1</v>
      </c>
    </row>
    <row r="628" spans="1:7" x14ac:dyDescent="0.25">
      <c r="A628" t="s">
        <v>380</v>
      </c>
      <c r="E628">
        <v>1</v>
      </c>
      <c r="G628">
        <v>1</v>
      </c>
    </row>
    <row r="629" spans="1:7" x14ac:dyDescent="0.25">
      <c r="A629" t="s">
        <v>573</v>
      </c>
      <c r="E629">
        <v>2</v>
      </c>
      <c r="G629">
        <v>2</v>
      </c>
    </row>
    <row r="630" spans="1:7" x14ac:dyDescent="0.25">
      <c r="A630" t="s">
        <v>288</v>
      </c>
      <c r="E630">
        <v>1</v>
      </c>
      <c r="G630">
        <v>1</v>
      </c>
    </row>
    <row r="631" spans="1:7" x14ac:dyDescent="0.25">
      <c r="A631" t="s">
        <v>367</v>
      </c>
      <c r="E631">
        <v>1</v>
      </c>
      <c r="G631">
        <v>1</v>
      </c>
    </row>
    <row r="632" spans="1:7" x14ac:dyDescent="0.25">
      <c r="A632" t="s">
        <v>574</v>
      </c>
      <c r="E632">
        <v>2</v>
      </c>
      <c r="G632">
        <v>2</v>
      </c>
    </row>
    <row r="633" spans="1:7" x14ac:dyDescent="0.25">
      <c r="A633" t="s">
        <v>292</v>
      </c>
      <c r="E633">
        <v>1</v>
      </c>
      <c r="G633">
        <v>1</v>
      </c>
    </row>
    <row r="634" spans="1:7" x14ac:dyDescent="0.25">
      <c r="A634" t="s">
        <v>367</v>
      </c>
      <c r="E634">
        <v>1</v>
      </c>
      <c r="G634">
        <v>1</v>
      </c>
    </row>
    <row r="635" spans="1:7" x14ac:dyDescent="0.25">
      <c r="A635" t="s">
        <v>575</v>
      </c>
      <c r="E635">
        <v>2</v>
      </c>
      <c r="G635">
        <v>2</v>
      </c>
    </row>
    <row r="636" spans="1:7" x14ac:dyDescent="0.25">
      <c r="A636" t="s">
        <v>288</v>
      </c>
      <c r="E636">
        <v>1</v>
      </c>
      <c r="G636">
        <v>1</v>
      </c>
    </row>
    <row r="637" spans="1:7" x14ac:dyDescent="0.25">
      <c r="A637" t="s">
        <v>380</v>
      </c>
      <c r="E637">
        <v>1</v>
      </c>
      <c r="G637">
        <v>1</v>
      </c>
    </row>
    <row r="638" spans="1:7" x14ac:dyDescent="0.25">
      <c r="A638" t="s">
        <v>576</v>
      </c>
      <c r="E638">
        <v>2</v>
      </c>
      <c r="G638">
        <v>2</v>
      </c>
    </row>
    <row r="639" spans="1:7" x14ac:dyDescent="0.25">
      <c r="A639" t="s">
        <v>289</v>
      </c>
      <c r="E639">
        <v>1</v>
      </c>
      <c r="G639">
        <v>1</v>
      </c>
    </row>
    <row r="640" spans="1:7" x14ac:dyDescent="0.25">
      <c r="A640" t="s">
        <v>367</v>
      </c>
      <c r="E640">
        <v>1</v>
      </c>
      <c r="G640">
        <v>1</v>
      </c>
    </row>
    <row r="641" spans="1:7" x14ac:dyDescent="0.25">
      <c r="A641" t="s">
        <v>577</v>
      </c>
      <c r="E641">
        <v>2</v>
      </c>
      <c r="G641">
        <v>2</v>
      </c>
    </row>
    <row r="642" spans="1:7" x14ac:dyDescent="0.25">
      <c r="A642" t="s">
        <v>288</v>
      </c>
      <c r="E642">
        <v>1</v>
      </c>
      <c r="G642">
        <v>1</v>
      </c>
    </row>
    <row r="643" spans="1:7" x14ac:dyDescent="0.25">
      <c r="A643" t="s">
        <v>367</v>
      </c>
      <c r="E643">
        <v>1</v>
      </c>
      <c r="G643">
        <v>1</v>
      </c>
    </row>
    <row r="644" spans="1:7" x14ac:dyDescent="0.25">
      <c r="A644" t="s">
        <v>578</v>
      </c>
      <c r="E644">
        <v>2</v>
      </c>
      <c r="G644">
        <v>2</v>
      </c>
    </row>
    <row r="645" spans="1:7" x14ac:dyDescent="0.25">
      <c r="A645" t="s">
        <v>291</v>
      </c>
      <c r="E645">
        <v>1</v>
      </c>
      <c r="G645">
        <v>1</v>
      </c>
    </row>
    <row r="646" spans="1:7" x14ac:dyDescent="0.25">
      <c r="A646" t="s">
        <v>490</v>
      </c>
      <c r="E646">
        <v>1</v>
      </c>
      <c r="G646">
        <v>1</v>
      </c>
    </row>
    <row r="647" spans="1:7" x14ac:dyDescent="0.25">
      <c r="A647" t="s">
        <v>579</v>
      </c>
      <c r="E647">
        <v>2</v>
      </c>
      <c r="G647">
        <v>2</v>
      </c>
    </row>
    <row r="648" spans="1:7" x14ac:dyDescent="0.25">
      <c r="A648" t="s">
        <v>288</v>
      </c>
      <c r="E648">
        <v>1</v>
      </c>
      <c r="G648">
        <v>1</v>
      </c>
    </row>
    <row r="649" spans="1:7" x14ac:dyDescent="0.25">
      <c r="A649" t="s">
        <v>367</v>
      </c>
      <c r="E649">
        <v>1</v>
      </c>
      <c r="G649">
        <v>1</v>
      </c>
    </row>
    <row r="650" spans="1:7" x14ac:dyDescent="0.25">
      <c r="A650" t="s">
        <v>580</v>
      </c>
      <c r="E650">
        <v>2</v>
      </c>
      <c r="G650">
        <v>2</v>
      </c>
    </row>
    <row r="651" spans="1:7" x14ac:dyDescent="0.25">
      <c r="A651" t="s">
        <v>288</v>
      </c>
      <c r="E651">
        <v>1</v>
      </c>
      <c r="G651">
        <v>1</v>
      </c>
    </row>
    <row r="652" spans="1:7" x14ac:dyDescent="0.25">
      <c r="A652" t="s">
        <v>367</v>
      </c>
      <c r="E652">
        <v>1</v>
      </c>
      <c r="G652">
        <v>1</v>
      </c>
    </row>
    <row r="653" spans="1:7" x14ac:dyDescent="0.25">
      <c r="A653" t="s">
        <v>581</v>
      </c>
      <c r="E653">
        <v>3</v>
      </c>
      <c r="G653">
        <v>3</v>
      </c>
    </row>
    <row r="654" spans="1:7" x14ac:dyDescent="0.25">
      <c r="A654" t="s">
        <v>377</v>
      </c>
      <c r="E654">
        <v>1</v>
      </c>
      <c r="G654">
        <v>1</v>
      </c>
    </row>
    <row r="655" spans="1:7" x14ac:dyDescent="0.25">
      <c r="A655" t="s">
        <v>292</v>
      </c>
      <c r="E655">
        <v>1</v>
      </c>
      <c r="G655">
        <v>1</v>
      </c>
    </row>
    <row r="656" spans="1:7" x14ac:dyDescent="0.25">
      <c r="A656" t="s">
        <v>567</v>
      </c>
      <c r="E656">
        <v>1</v>
      </c>
      <c r="G656">
        <v>1</v>
      </c>
    </row>
    <row r="657" spans="1:7" x14ac:dyDescent="0.25">
      <c r="A657" t="s">
        <v>582</v>
      </c>
      <c r="E657">
        <v>2</v>
      </c>
      <c r="G657">
        <v>2</v>
      </c>
    </row>
    <row r="658" spans="1:7" x14ac:dyDescent="0.25">
      <c r="A658" t="s">
        <v>289</v>
      </c>
      <c r="E658">
        <v>1</v>
      </c>
      <c r="G658">
        <v>1</v>
      </c>
    </row>
    <row r="659" spans="1:7" x14ac:dyDescent="0.25">
      <c r="A659" t="s">
        <v>367</v>
      </c>
      <c r="E659">
        <v>1</v>
      </c>
      <c r="G659">
        <v>1</v>
      </c>
    </row>
    <row r="660" spans="1:7" x14ac:dyDescent="0.25">
      <c r="A660" t="s">
        <v>583</v>
      </c>
      <c r="E660">
        <v>2</v>
      </c>
      <c r="G660">
        <v>2</v>
      </c>
    </row>
    <row r="661" spans="1:7" x14ac:dyDescent="0.25">
      <c r="A661" t="s">
        <v>291</v>
      </c>
      <c r="E661">
        <v>1</v>
      </c>
      <c r="G661">
        <v>1</v>
      </c>
    </row>
    <row r="662" spans="1:7" x14ac:dyDescent="0.25">
      <c r="A662" t="s">
        <v>367</v>
      </c>
      <c r="E662">
        <v>1</v>
      </c>
      <c r="G662">
        <v>1</v>
      </c>
    </row>
    <row r="663" spans="1:7" x14ac:dyDescent="0.25">
      <c r="A663" t="s">
        <v>584</v>
      </c>
      <c r="E663">
        <v>2</v>
      </c>
      <c r="G663">
        <v>2</v>
      </c>
    </row>
    <row r="664" spans="1:7" x14ac:dyDescent="0.25">
      <c r="A664" t="s">
        <v>292</v>
      </c>
      <c r="E664">
        <v>1</v>
      </c>
      <c r="G664">
        <v>1</v>
      </c>
    </row>
    <row r="665" spans="1:7" x14ac:dyDescent="0.25">
      <c r="A665" t="s">
        <v>380</v>
      </c>
      <c r="E665">
        <v>1</v>
      </c>
      <c r="G665">
        <v>1</v>
      </c>
    </row>
    <row r="666" spans="1:7" x14ac:dyDescent="0.25">
      <c r="A666" t="s">
        <v>585</v>
      </c>
      <c r="E666">
        <v>2</v>
      </c>
      <c r="G666">
        <v>2</v>
      </c>
    </row>
    <row r="667" spans="1:7" x14ac:dyDescent="0.25">
      <c r="A667" t="s">
        <v>288</v>
      </c>
      <c r="E667">
        <v>1</v>
      </c>
      <c r="G667">
        <v>1</v>
      </c>
    </row>
    <row r="668" spans="1:7" x14ac:dyDescent="0.25">
      <c r="A668" t="s">
        <v>380</v>
      </c>
      <c r="E668">
        <v>1</v>
      </c>
      <c r="G668">
        <v>1</v>
      </c>
    </row>
    <row r="669" spans="1:7" x14ac:dyDescent="0.25">
      <c r="A669" t="s">
        <v>586</v>
      </c>
      <c r="E669">
        <v>3</v>
      </c>
      <c r="G669">
        <v>3</v>
      </c>
    </row>
    <row r="670" spans="1:7" x14ac:dyDescent="0.25">
      <c r="A670" t="s">
        <v>292</v>
      </c>
      <c r="E670">
        <v>1</v>
      </c>
      <c r="G670">
        <v>1</v>
      </c>
    </row>
    <row r="671" spans="1:7" x14ac:dyDescent="0.25">
      <c r="A671" t="s">
        <v>288</v>
      </c>
      <c r="E671">
        <v>1</v>
      </c>
      <c r="G671">
        <v>1</v>
      </c>
    </row>
    <row r="672" spans="1:7" x14ac:dyDescent="0.25">
      <c r="A672" t="s">
        <v>380</v>
      </c>
      <c r="E672">
        <v>1</v>
      </c>
      <c r="G672">
        <v>1</v>
      </c>
    </row>
    <row r="673" spans="1:7" x14ac:dyDescent="0.25">
      <c r="A673" t="s">
        <v>587</v>
      </c>
      <c r="E673">
        <v>2</v>
      </c>
      <c r="G673">
        <v>2</v>
      </c>
    </row>
    <row r="674" spans="1:7" x14ac:dyDescent="0.25">
      <c r="A674" t="s">
        <v>291</v>
      </c>
      <c r="E674">
        <v>1</v>
      </c>
      <c r="G674">
        <v>1</v>
      </c>
    </row>
    <row r="675" spans="1:7" x14ac:dyDescent="0.25">
      <c r="A675" t="s">
        <v>380</v>
      </c>
      <c r="E675">
        <v>1</v>
      </c>
      <c r="G675">
        <v>1</v>
      </c>
    </row>
    <row r="676" spans="1:7" x14ac:dyDescent="0.25">
      <c r="A676" t="s">
        <v>588</v>
      </c>
      <c r="E676">
        <v>2</v>
      </c>
      <c r="G676">
        <v>2</v>
      </c>
    </row>
    <row r="677" spans="1:7" x14ac:dyDescent="0.25">
      <c r="A677" t="s">
        <v>292</v>
      </c>
      <c r="E677">
        <v>1</v>
      </c>
      <c r="G677">
        <v>1</v>
      </c>
    </row>
    <row r="678" spans="1:7" x14ac:dyDescent="0.25">
      <c r="A678" t="s">
        <v>380</v>
      </c>
      <c r="E678">
        <v>1</v>
      </c>
      <c r="G678">
        <v>1</v>
      </c>
    </row>
    <row r="679" spans="1:7" x14ac:dyDescent="0.25">
      <c r="A679" t="s">
        <v>589</v>
      </c>
      <c r="E679">
        <v>2</v>
      </c>
      <c r="G679">
        <v>2</v>
      </c>
    </row>
    <row r="680" spans="1:7" x14ac:dyDescent="0.25">
      <c r="A680" t="s">
        <v>288</v>
      </c>
      <c r="E680">
        <v>1</v>
      </c>
      <c r="G680">
        <v>1</v>
      </c>
    </row>
    <row r="681" spans="1:7" x14ac:dyDescent="0.25">
      <c r="A681" t="s">
        <v>380</v>
      </c>
      <c r="E681">
        <v>1</v>
      </c>
      <c r="G681">
        <v>1</v>
      </c>
    </row>
    <row r="682" spans="1:7" x14ac:dyDescent="0.25">
      <c r="A682" t="s">
        <v>590</v>
      </c>
      <c r="E682">
        <v>2</v>
      </c>
      <c r="G682">
        <v>2</v>
      </c>
    </row>
    <row r="683" spans="1:7" x14ac:dyDescent="0.25">
      <c r="A683" t="s">
        <v>292</v>
      </c>
      <c r="E683">
        <v>1</v>
      </c>
      <c r="G683">
        <v>1</v>
      </c>
    </row>
    <row r="684" spans="1:7" x14ac:dyDescent="0.25">
      <c r="A684" t="s">
        <v>380</v>
      </c>
      <c r="E684">
        <v>1</v>
      </c>
      <c r="G684">
        <v>1</v>
      </c>
    </row>
    <row r="685" spans="1:7" x14ac:dyDescent="0.25">
      <c r="A685" t="s">
        <v>591</v>
      </c>
      <c r="E685">
        <v>2</v>
      </c>
      <c r="G685">
        <v>2</v>
      </c>
    </row>
    <row r="686" spans="1:7" x14ac:dyDescent="0.25">
      <c r="A686" t="s">
        <v>288</v>
      </c>
      <c r="E686">
        <v>1</v>
      </c>
      <c r="G686">
        <v>1</v>
      </c>
    </row>
    <row r="687" spans="1:7" x14ac:dyDescent="0.25">
      <c r="A687" t="s">
        <v>367</v>
      </c>
      <c r="E687">
        <v>1</v>
      </c>
      <c r="G687">
        <v>1</v>
      </c>
    </row>
    <row r="688" spans="1:7" x14ac:dyDescent="0.25">
      <c r="A688" t="s">
        <v>592</v>
      </c>
      <c r="E688">
        <v>3</v>
      </c>
      <c r="G688">
        <v>3</v>
      </c>
    </row>
    <row r="689" spans="1:7" x14ac:dyDescent="0.25">
      <c r="A689" t="s">
        <v>377</v>
      </c>
      <c r="E689">
        <v>1</v>
      </c>
      <c r="G689">
        <v>1</v>
      </c>
    </row>
    <row r="690" spans="1:7" x14ac:dyDescent="0.25">
      <c r="A690" t="s">
        <v>292</v>
      </c>
      <c r="E690">
        <v>1</v>
      </c>
      <c r="G690">
        <v>1</v>
      </c>
    </row>
    <row r="691" spans="1:7" x14ac:dyDescent="0.25">
      <c r="A691" t="s">
        <v>567</v>
      </c>
      <c r="E691">
        <v>1</v>
      </c>
      <c r="G691">
        <v>1</v>
      </c>
    </row>
    <row r="692" spans="1:7" x14ac:dyDescent="0.25">
      <c r="A692" t="s">
        <v>593</v>
      </c>
      <c r="E692">
        <v>3</v>
      </c>
      <c r="G692">
        <v>3</v>
      </c>
    </row>
    <row r="693" spans="1:7" x14ac:dyDescent="0.25">
      <c r="A693" t="s">
        <v>377</v>
      </c>
      <c r="E693">
        <v>1</v>
      </c>
      <c r="G693">
        <v>1</v>
      </c>
    </row>
    <row r="694" spans="1:7" x14ac:dyDescent="0.25">
      <c r="A694" t="s">
        <v>288</v>
      </c>
      <c r="E694">
        <v>1</v>
      </c>
      <c r="G694">
        <v>1</v>
      </c>
    </row>
    <row r="695" spans="1:7" x14ac:dyDescent="0.25">
      <c r="A695" t="s">
        <v>567</v>
      </c>
      <c r="E695">
        <v>1</v>
      </c>
      <c r="G695">
        <v>1</v>
      </c>
    </row>
    <row r="696" spans="1:7" x14ac:dyDescent="0.25">
      <c r="A696" t="s">
        <v>594</v>
      </c>
      <c r="E696">
        <v>2</v>
      </c>
      <c r="G696">
        <v>2</v>
      </c>
    </row>
    <row r="697" spans="1:7" x14ac:dyDescent="0.25">
      <c r="A697" t="s">
        <v>292</v>
      </c>
      <c r="E697">
        <v>1</v>
      </c>
      <c r="G697">
        <v>1</v>
      </c>
    </row>
    <row r="698" spans="1:7" x14ac:dyDescent="0.25">
      <c r="A698" t="s">
        <v>380</v>
      </c>
      <c r="E698">
        <v>1</v>
      </c>
      <c r="G698">
        <v>1</v>
      </c>
    </row>
    <row r="699" spans="1:7" x14ac:dyDescent="0.25">
      <c r="A699" t="s">
        <v>595</v>
      </c>
      <c r="E699">
        <v>3</v>
      </c>
      <c r="G699">
        <v>3</v>
      </c>
    </row>
    <row r="700" spans="1:7" x14ac:dyDescent="0.25">
      <c r="A700" t="s">
        <v>377</v>
      </c>
      <c r="E700">
        <v>1</v>
      </c>
      <c r="G700">
        <v>1</v>
      </c>
    </row>
    <row r="701" spans="1:7" x14ac:dyDescent="0.25">
      <c r="A701" t="s">
        <v>292</v>
      </c>
      <c r="E701">
        <v>1</v>
      </c>
      <c r="G701">
        <v>1</v>
      </c>
    </row>
    <row r="702" spans="1:7" x14ac:dyDescent="0.25">
      <c r="A702" t="s">
        <v>493</v>
      </c>
      <c r="E702">
        <v>1</v>
      </c>
      <c r="G702">
        <v>1</v>
      </c>
    </row>
    <row r="703" spans="1:7" x14ac:dyDescent="0.25">
      <c r="A703" t="s">
        <v>596</v>
      </c>
      <c r="E703">
        <v>2</v>
      </c>
      <c r="G703">
        <v>2</v>
      </c>
    </row>
    <row r="704" spans="1:7" x14ac:dyDescent="0.25">
      <c r="A704" t="s">
        <v>288</v>
      </c>
      <c r="E704">
        <v>1</v>
      </c>
      <c r="G704">
        <v>1</v>
      </c>
    </row>
    <row r="705" spans="1:7" x14ac:dyDescent="0.25">
      <c r="A705" t="s">
        <v>367</v>
      </c>
      <c r="E705">
        <v>1</v>
      </c>
      <c r="G705">
        <v>1</v>
      </c>
    </row>
    <row r="706" spans="1:7" x14ac:dyDescent="0.25">
      <c r="A706" t="s">
        <v>597</v>
      </c>
      <c r="E706">
        <v>2</v>
      </c>
      <c r="G706">
        <v>2</v>
      </c>
    </row>
    <row r="707" spans="1:7" x14ac:dyDescent="0.25">
      <c r="A707" t="s">
        <v>292</v>
      </c>
      <c r="E707">
        <v>1</v>
      </c>
      <c r="G707">
        <v>1</v>
      </c>
    </row>
    <row r="708" spans="1:7" x14ac:dyDescent="0.25">
      <c r="A708" t="s">
        <v>380</v>
      </c>
      <c r="E708">
        <v>1</v>
      </c>
      <c r="G708">
        <v>1</v>
      </c>
    </row>
    <row r="709" spans="1:7" x14ac:dyDescent="0.25">
      <c r="A709" t="s">
        <v>598</v>
      </c>
      <c r="E709">
        <v>2</v>
      </c>
      <c r="G709">
        <v>2</v>
      </c>
    </row>
    <row r="710" spans="1:7" x14ac:dyDescent="0.25">
      <c r="A710" t="s">
        <v>288</v>
      </c>
      <c r="E710">
        <v>1</v>
      </c>
      <c r="G710">
        <v>1</v>
      </c>
    </row>
    <row r="711" spans="1:7" x14ac:dyDescent="0.25">
      <c r="A711" t="s">
        <v>367</v>
      </c>
      <c r="E711">
        <v>1</v>
      </c>
      <c r="G711">
        <v>1</v>
      </c>
    </row>
    <row r="712" spans="1:7" x14ac:dyDescent="0.25">
      <c r="A712" t="s">
        <v>599</v>
      </c>
      <c r="E712">
        <v>2</v>
      </c>
      <c r="G712">
        <v>2</v>
      </c>
    </row>
    <row r="713" spans="1:7" x14ac:dyDescent="0.25">
      <c r="A713" t="s">
        <v>289</v>
      </c>
      <c r="E713">
        <v>1</v>
      </c>
      <c r="G713">
        <v>1</v>
      </c>
    </row>
    <row r="714" spans="1:7" x14ac:dyDescent="0.25">
      <c r="A714" t="s">
        <v>380</v>
      </c>
      <c r="E714">
        <v>1</v>
      </c>
      <c r="G714">
        <v>1</v>
      </c>
    </row>
    <row r="715" spans="1:7" x14ac:dyDescent="0.25">
      <c r="A715" t="s">
        <v>600</v>
      </c>
      <c r="E715">
        <v>2</v>
      </c>
      <c r="G715">
        <v>2</v>
      </c>
    </row>
    <row r="716" spans="1:7" x14ac:dyDescent="0.25">
      <c r="A716" t="s">
        <v>288</v>
      </c>
      <c r="E716">
        <v>1</v>
      </c>
      <c r="G716">
        <v>1</v>
      </c>
    </row>
    <row r="717" spans="1:7" x14ac:dyDescent="0.25">
      <c r="A717" t="s">
        <v>367</v>
      </c>
      <c r="E717">
        <v>1</v>
      </c>
      <c r="G717">
        <v>1</v>
      </c>
    </row>
    <row r="718" spans="1:7" x14ac:dyDescent="0.25">
      <c r="A718" t="s">
        <v>601</v>
      </c>
      <c r="E718">
        <v>2</v>
      </c>
      <c r="G718">
        <v>2</v>
      </c>
    </row>
    <row r="719" spans="1:7" x14ac:dyDescent="0.25">
      <c r="A719" t="s">
        <v>288</v>
      </c>
      <c r="E719">
        <v>1</v>
      </c>
      <c r="G719">
        <v>1</v>
      </c>
    </row>
    <row r="720" spans="1:7" x14ac:dyDescent="0.25">
      <c r="A720" t="s">
        <v>367</v>
      </c>
      <c r="E720">
        <v>1</v>
      </c>
      <c r="G720">
        <v>1</v>
      </c>
    </row>
    <row r="721" spans="1:7" x14ac:dyDescent="0.25">
      <c r="A721" t="s">
        <v>602</v>
      </c>
      <c r="E721">
        <v>3</v>
      </c>
      <c r="G721">
        <v>3</v>
      </c>
    </row>
    <row r="722" spans="1:7" x14ac:dyDescent="0.25">
      <c r="A722" t="s">
        <v>290</v>
      </c>
      <c r="E722">
        <v>1</v>
      </c>
      <c r="G722">
        <v>1</v>
      </c>
    </row>
    <row r="723" spans="1:7" x14ac:dyDescent="0.25">
      <c r="A723" t="s">
        <v>292</v>
      </c>
      <c r="E723">
        <v>1</v>
      </c>
      <c r="G723">
        <v>1</v>
      </c>
    </row>
    <row r="724" spans="1:7" x14ac:dyDescent="0.25">
      <c r="A724" t="s">
        <v>380</v>
      </c>
      <c r="E724">
        <v>1</v>
      </c>
      <c r="G724">
        <v>1</v>
      </c>
    </row>
    <row r="725" spans="1:7" x14ac:dyDescent="0.25">
      <c r="A725" t="s">
        <v>603</v>
      </c>
      <c r="E725">
        <v>2</v>
      </c>
      <c r="G725">
        <v>2</v>
      </c>
    </row>
    <row r="726" spans="1:7" x14ac:dyDescent="0.25">
      <c r="A726" t="s">
        <v>292</v>
      </c>
      <c r="E726">
        <v>1</v>
      </c>
      <c r="G726">
        <v>1</v>
      </c>
    </row>
    <row r="727" spans="1:7" x14ac:dyDescent="0.25">
      <c r="A727" t="s">
        <v>380</v>
      </c>
      <c r="E727">
        <v>1</v>
      </c>
      <c r="G727">
        <v>1</v>
      </c>
    </row>
    <row r="728" spans="1:7" x14ac:dyDescent="0.25">
      <c r="A728" t="s">
        <v>604</v>
      </c>
      <c r="E728">
        <v>2</v>
      </c>
      <c r="G728">
        <v>2</v>
      </c>
    </row>
    <row r="729" spans="1:7" x14ac:dyDescent="0.25">
      <c r="A729" t="s">
        <v>291</v>
      </c>
      <c r="E729">
        <v>1</v>
      </c>
      <c r="G729">
        <v>1</v>
      </c>
    </row>
    <row r="730" spans="1:7" x14ac:dyDescent="0.25">
      <c r="A730" t="s">
        <v>367</v>
      </c>
      <c r="E730">
        <v>1</v>
      </c>
      <c r="G730">
        <v>1</v>
      </c>
    </row>
    <row r="731" spans="1:7" x14ac:dyDescent="0.25">
      <c r="A731" t="s">
        <v>605</v>
      </c>
      <c r="E731">
        <v>2</v>
      </c>
      <c r="G731">
        <v>2</v>
      </c>
    </row>
    <row r="732" spans="1:7" x14ac:dyDescent="0.25">
      <c r="A732" t="s">
        <v>292</v>
      </c>
      <c r="E732">
        <v>1</v>
      </c>
      <c r="G732">
        <v>1</v>
      </c>
    </row>
    <row r="733" spans="1:7" x14ac:dyDescent="0.25">
      <c r="A733" t="s">
        <v>380</v>
      </c>
      <c r="E733">
        <v>1</v>
      </c>
      <c r="G733">
        <v>1</v>
      </c>
    </row>
    <row r="734" spans="1:7" x14ac:dyDescent="0.25">
      <c r="A734" t="s">
        <v>606</v>
      </c>
      <c r="E734">
        <v>2</v>
      </c>
      <c r="G734">
        <v>2</v>
      </c>
    </row>
    <row r="735" spans="1:7" x14ac:dyDescent="0.25">
      <c r="A735" t="s">
        <v>290</v>
      </c>
      <c r="E735">
        <v>1</v>
      </c>
      <c r="G735">
        <v>1</v>
      </c>
    </row>
    <row r="736" spans="1:7" x14ac:dyDescent="0.25">
      <c r="A736" t="s">
        <v>367</v>
      </c>
      <c r="E736">
        <v>1</v>
      </c>
      <c r="G736">
        <v>1</v>
      </c>
    </row>
    <row r="737" spans="1:7" x14ac:dyDescent="0.25">
      <c r="A737" t="s">
        <v>607</v>
      </c>
      <c r="E737">
        <v>4</v>
      </c>
      <c r="G737">
        <v>4</v>
      </c>
    </row>
    <row r="738" spans="1:7" x14ac:dyDescent="0.25">
      <c r="A738" t="s">
        <v>293</v>
      </c>
      <c r="E738">
        <v>1</v>
      </c>
      <c r="G738">
        <v>1</v>
      </c>
    </row>
    <row r="739" spans="1:7" x14ac:dyDescent="0.25">
      <c r="A739" t="s">
        <v>295</v>
      </c>
      <c r="E739">
        <v>1</v>
      </c>
      <c r="G739">
        <v>1</v>
      </c>
    </row>
    <row r="740" spans="1:7" x14ac:dyDescent="0.25">
      <c r="A740" t="s">
        <v>297</v>
      </c>
      <c r="E740">
        <v>1</v>
      </c>
      <c r="G740">
        <v>1</v>
      </c>
    </row>
    <row r="741" spans="1:7" x14ac:dyDescent="0.25">
      <c r="A741" t="s">
        <v>493</v>
      </c>
      <c r="E741">
        <v>1</v>
      </c>
      <c r="G741">
        <v>1</v>
      </c>
    </row>
    <row r="742" spans="1:7" x14ac:dyDescent="0.25">
      <c r="A742" t="s">
        <v>608</v>
      </c>
      <c r="E742">
        <v>2</v>
      </c>
      <c r="G742">
        <v>2</v>
      </c>
    </row>
    <row r="743" spans="1:7" x14ac:dyDescent="0.25">
      <c r="A743" t="s">
        <v>291</v>
      </c>
      <c r="E743">
        <v>1</v>
      </c>
      <c r="G743">
        <v>1</v>
      </c>
    </row>
    <row r="744" spans="1:7" x14ac:dyDescent="0.25">
      <c r="A744" t="s">
        <v>380</v>
      </c>
      <c r="E744">
        <v>1</v>
      </c>
      <c r="G744">
        <v>1</v>
      </c>
    </row>
    <row r="745" spans="1:7" x14ac:dyDescent="0.25">
      <c r="A745" t="s">
        <v>609</v>
      </c>
      <c r="E745">
        <v>2</v>
      </c>
      <c r="G745">
        <v>2</v>
      </c>
    </row>
    <row r="746" spans="1:7" x14ac:dyDescent="0.25">
      <c r="A746" t="s">
        <v>289</v>
      </c>
      <c r="E746">
        <v>1</v>
      </c>
      <c r="G746">
        <v>1</v>
      </c>
    </row>
    <row r="747" spans="1:7" x14ac:dyDescent="0.25">
      <c r="A747" t="s">
        <v>367</v>
      </c>
      <c r="E747">
        <v>1</v>
      </c>
      <c r="G747">
        <v>1</v>
      </c>
    </row>
    <row r="748" spans="1:7" x14ac:dyDescent="0.25">
      <c r="A748" t="s">
        <v>610</v>
      </c>
      <c r="E748">
        <v>3</v>
      </c>
      <c r="G748">
        <v>3</v>
      </c>
    </row>
    <row r="749" spans="1:7" x14ac:dyDescent="0.25">
      <c r="A749" t="s">
        <v>377</v>
      </c>
      <c r="E749">
        <v>1</v>
      </c>
      <c r="G749">
        <v>1</v>
      </c>
    </row>
    <row r="750" spans="1:7" x14ac:dyDescent="0.25">
      <c r="A750" t="s">
        <v>288</v>
      </c>
      <c r="E750">
        <v>1</v>
      </c>
      <c r="G750">
        <v>1</v>
      </c>
    </row>
    <row r="751" spans="1:7" x14ac:dyDescent="0.25">
      <c r="A751" t="s">
        <v>493</v>
      </c>
      <c r="E751">
        <v>1</v>
      </c>
      <c r="G751">
        <v>1</v>
      </c>
    </row>
    <row r="752" spans="1:7" x14ac:dyDescent="0.25">
      <c r="A752" t="s">
        <v>611</v>
      </c>
      <c r="E752">
        <v>2</v>
      </c>
      <c r="G752">
        <v>2</v>
      </c>
    </row>
    <row r="753" spans="1:7" x14ac:dyDescent="0.25">
      <c r="A753" t="s">
        <v>289</v>
      </c>
      <c r="E753">
        <v>1</v>
      </c>
      <c r="G753">
        <v>1</v>
      </c>
    </row>
    <row r="754" spans="1:7" x14ac:dyDescent="0.25">
      <c r="A754" t="s">
        <v>367</v>
      </c>
      <c r="E754">
        <v>1</v>
      </c>
      <c r="G754">
        <v>1</v>
      </c>
    </row>
    <row r="755" spans="1:7" x14ac:dyDescent="0.25">
      <c r="A755" t="s">
        <v>612</v>
      </c>
      <c r="E755">
        <v>2</v>
      </c>
      <c r="G755">
        <v>2</v>
      </c>
    </row>
    <row r="756" spans="1:7" x14ac:dyDescent="0.25">
      <c r="A756" t="s">
        <v>288</v>
      </c>
      <c r="E756">
        <v>1</v>
      </c>
      <c r="G756">
        <v>1</v>
      </c>
    </row>
    <row r="757" spans="1:7" x14ac:dyDescent="0.25">
      <c r="A757" t="s">
        <v>380</v>
      </c>
      <c r="E757">
        <v>1</v>
      </c>
      <c r="G757">
        <v>1</v>
      </c>
    </row>
    <row r="758" spans="1:7" x14ac:dyDescent="0.25">
      <c r="A758" t="s">
        <v>613</v>
      </c>
      <c r="E758">
        <v>2</v>
      </c>
      <c r="G758">
        <v>2</v>
      </c>
    </row>
    <row r="759" spans="1:7" x14ac:dyDescent="0.25">
      <c r="A759" t="s">
        <v>292</v>
      </c>
      <c r="E759">
        <v>1</v>
      </c>
      <c r="G759">
        <v>1</v>
      </c>
    </row>
    <row r="760" spans="1:7" x14ac:dyDescent="0.25">
      <c r="A760" t="s">
        <v>380</v>
      </c>
      <c r="E760">
        <v>1</v>
      </c>
      <c r="G760">
        <v>1</v>
      </c>
    </row>
    <row r="761" spans="1:7" x14ac:dyDescent="0.25">
      <c r="A761" t="s">
        <v>614</v>
      </c>
      <c r="E761">
        <v>3</v>
      </c>
      <c r="G761">
        <v>3</v>
      </c>
    </row>
    <row r="762" spans="1:7" x14ac:dyDescent="0.25">
      <c r="A762" t="s">
        <v>377</v>
      </c>
      <c r="E762">
        <v>1</v>
      </c>
      <c r="G762">
        <v>1</v>
      </c>
    </row>
    <row r="763" spans="1:7" x14ac:dyDescent="0.25">
      <c r="A763" t="s">
        <v>288</v>
      </c>
      <c r="E763">
        <v>1</v>
      </c>
      <c r="G763">
        <v>1</v>
      </c>
    </row>
    <row r="764" spans="1:7" x14ac:dyDescent="0.25">
      <c r="A764" t="s">
        <v>380</v>
      </c>
      <c r="E764">
        <v>1</v>
      </c>
      <c r="G764">
        <v>1</v>
      </c>
    </row>
    <row r="765" spans="1:7" x14ac:dyDescent="0.25">
      <c r="A765" t="s">
        <v>615</v>
      </c>
      <c r="E765">
        <v>2</v>
      </c>
      <c r="G765">
        <v>2</v>
      </c>
    </row>
    <row r="766" spans="1:7" x14ac:dyDescent="0.25">
      <c r="A766" t="s">
        <v>288</v>
      </c>
      <c r="E766">
        <v>1</v>
      </c>
      <c r="G766">
        <v>1</v>
      </c>
    </row>
    <row r="767" spans="1:7" x14ac:dyDescent="0.25">
      <c r="A767" t="s">
        <v>380</v>
      </c>
      <c r="E767">
        <v>1</v>
      </c>
      <c r="G767">
        <v>1</v>
      </c>
    </row>
    <row r="768" spans="1:7" x14ac:dyDescent="0.25">
      <c r="A768" t="s">
        <v>616</v>
      </c>
      <c r="E768">
        <v>2</v>
      </c>
      <c r="G768">
        <v>2</v>
      </c>
    </row>
    <row r="769" spans="1:7" x14ac:dyDescent="0.25">
      <c r="A769" t="s">
        <v>288</v>
      </c>
      <c r="E769">
        <v>1</v>
      </c>
      <c r="G769">
        <v>1</v>
      </c>
    </row>
    <row r="770" spans="1:7" x14ac:dyDescent="0.25">
      <c r="A770" t="s">
        <v>367</v>
      </c>
      <c r="E770">
        <v>1</v>
      </c>
      <c r="G770">
        <v>1</v>
      </c>
    </row>
    <row r="771" spans="1:7" x14ac:dyDescent="0.25">
      <c r="A771" t="s">
        <v>617</v>
      </c>
      <c r="E771">
        <v>2</v>
      </c>
      <c r="G771">
        <v>2</v>
      </c>
    </row>
    <row r="772" spans="1:7" x14ac:dyDescent="0.25">
      <c r="A772" t="s">
        <v>291</v>
      </c>
      <c r="E772">
        <v>1</v>
      </c>
      <c r="G772">
        <v>1</v>
      </c>
    </row>
    <row r="773" spans="1:7" x14ac:dyDescent="0.25">
      <c r="A773" t="s">
        <v>367</v>
      </c>
      <c r="E773">
        <v>1</v>
      </c>
      <c r="G773">
        <v>1</v>
      </c>
    </row>
    <row r="774" spans="1:7" x14ac:dyDescent="0.25">
      <c r="A774" t="s">
        <v>618</v>
      </c>
      <c r="E774">
        <v>2</v>
      </c>
      <c r="G774">
        <v>2</v>
      </c>
    </row>
    <row r="775" spans="1:7" x14ac:dyDescent="0.25">
      <c r="A775" t="s">
        <v>288</v>
      </c>
      <c r="E775">
        <v>1</v>
      </c>
      <c r="G775">
        <v>1</v>
      </c>
    </row>
    <row r="776" spans="1:7" x14ac:dyDescent="0.25">
      <c r="A776" t="s">
        <v>367</v>
      </c>
      <c r="E776">
        <v>1</v>
      </c>
      <c r="G776">
        <v>1</v>
      </c>
    </row>
    <row r="777" spans="1:7" x14ac:dyDescent="0.25">
      <c r="A777" t="s">
        <v>619</v>
      </c>
      <c r="E777">
        <v>2</v>
      </c>
      <c r="G777">
        <v>2</v>
      </c>
    </row>
    <row r="778" spans="1:7" x14ac:dyDescent="0.25">
      <c r="A778" t="s">
        <v>288</v>
      </c>
      <c r="E778">
        <v>1</v>
      </c>
      <c r="G778">
        <v>1</v>
      </c>
    </row>
    <row r="779" spans="1:7" x14ac:dyDescent="0.25">
      <c r="A779" t="s">
        <v>380</v>
      </c>
      <c r="E779">
        <v>1</v>
      </c>
      <c r="G779">
        <v>1</v>
      </c>
    </row>
    <row r="780" spans="1:7" x14ac:dyDescent="0.25">
      <c r="A780" t="s">
        <v>620</v>
      </c>
      <c r="E780">
        <v>2</v>
      </c>
      <c r="G780">
        <v>2</v>
      </c>
    </row>
    <row r="781" spans="1:7" x14ac:dyDescent="0.25">
      <c r="A781" t="s">
        <v>292</v>
      </c>
      <c r="E781">
        <v>1</v>
      </c>
      <c r="G781">
        <v>1</v>
      </c>
    </row>
    <row r="782" spans="1:7" x14ac:dyDescent="0.25">
      <c r="A782" t="s">
        <v>367</v>
      </c>
      <c r="E782">
        <v>1</v>
      </c>
      <c r="G782">
        <v>1</v>
      </c>
    </row>
    <row r="783" spans="1:7" x14ac:dyDescent="0.25">
      <c r="A783" t="s">
        <v>621</v>
      </c>
      <c r="E783">
        <v>3</v>
      </c>
      <c r="G783">
        <v>3</v>
      </c>
    </row>
    <row r="784" spans="1:7" x14ac:dyDescent="0.25">
      <c r="A784" t="s">
        <v>377</v>
      </c>
      <c r="E784">
        <v>1</v>
      </c>
      <c r="G784">
        <v>1</v>
      </c>
    </row>
    <row r="785" spans="1:7" x14ac:dyDescent="0.25">
      <c r="A785" t="s">
        <v>288</v>
      </c>
      <c r="E785">
        <v>1</v>
      </c>
      <c r="G785">
        <v>1</v>
      </c>
    </row>
    <row r="786" spans="1:7" x14ac:dyDescent="0.25">
      <c r="A786" t="s">
        <v>567</v>
      </c>
      <c r="E786">
        <v>1</v>
      </c>
      <c r="G786">
        <v>1</v>
      </c>
    </row>
    <row r="787" spans="1:7" x14ac:dyDescent="0.25">
      <c r="A787" t="s">
        <v>622</v>
      </c>
      <c r="E787">
        <v>2</v>
      </c>
      <c r="G787">
        <v>2</v>
      </c>
    </row>
    <row r="788" spans="1:7" x14ac:dyDescent="0.25">
      <c r="A788" t="s">
        <v>288</v>
      </c>
      <c r="E788">
        <v>1</v>
      </c>
      <c r="G788">
        <v>1</v>
      </c>
    </row>
    <row r="789" spans="1:7" x14ac:dyDescent="0.25">
      <c r="A789" t="s">
        <v>367</v>
      </c>
      <c r="E789">
        <v>1</v>
      </c>
      <c r="G789">
        <v>1</v>
      </c>
    </row>
    <row r="790" spans="1:7" x14ac:dyDescent="0.25">
      <c r="A790" t="s">
        <v>623</v>
      </c>
      <c r="E790">
        <v>2</v>
      </c>
      <c r="G790">
        <v>2</v>
      </c>
    </row>
    <row r="791" spans="1:7" x14ac:dyDescent="0.25">
      <c r="A791" t="s">
        <v>292</v>
      </c>
      <c r="E791">
        <v>1</v>
      </c>
      <c r="G791">
        <v>1</v>
      </c>
    </row>
    <row r="792" spans="1:7" x14ac:dyDescent="0.25">
      <c r="A792" t="s">
        <v>380</v>
      </c>
      <c r="E792">
        <v>1</v>
      </c>
      <c r="G792">
        <v>1</v>
      </c>
    </row>
    <row r="793" spans="1:7" x14ac:dyDescent="0.25">
      <c r="A793" t="s">
        <v>624</v>
      </c>
      <c r="E793">
        <v>3</v>
      </c>
      <c r="G793">
        <v>3</v>
      </c>
    </row>
    <row r="794" spans="1:7" x14ac:dyDescent="0.25">
      <c r="A794" t="s">
        <v>291</v>
      </c>
      <c r="E794">
        <v>1</v>
      </c>
      <c r="G794">
        <v>1</v>
      </c>
    </row>
    <row r="795" spans="1:7" x14ac:dyDescent="0.25">
      <c r="A795" t="s">
        <v>288</v>
      </c>
      <c r="E795">
        <v>1</v>
      </c>
      <c r="G795">
        <v>1</v>
      </c>
    </row>
    <row r="796" spans="1:7" x14ac:dyDescent="0.25">
      <c r="A796" t="s">
        <v>380</v>
      </c>
      <c r="E796">
        <v>1</v>
      </c>
      <c r="G796">
        <v>1</v>
      </c>
    </row>
    <row r="797" spans="1:7" x14ac:dyDescent="0.25">
      <c r="A797" t="s">
        <v>625</v>
      </c>
      <c r="E797">
        <v>2</v>
      </c>
      <c r="G797">
        <v>2</v>
      </c>
    </row>
    <row r="798" spans="1:7" x14ac:dyDescent="0.25">
      <c r="A798" t="s">
        <v>288</v>
      </c>
      <c r="E798">
        <v>1</v>
      </c>
      <c r="G798">
        <v>1</v>
      </c>
    </row>
    <row r="799" spans="1:7" x14ac:dyDescent="0.25">
      <c r="A799" t="s">
        <v>367</v>
      </c>
      <c r="E799">
        <v>1</v>
      </c>
      <c r="G799">
        <v>1</v>
      </c>
    </row>
    <row r="800" spans="1:7" x14ac:dyDescent="0.25">
      <c r="A800" t="s">
        <v>626</v>
      </c>
      <c r="E800">
        <v>2</v>
      </c>
      <c r="G800">
        <v>2</v>
      </c>
    </row>
    <row r="801" spans="1:7" x14ac:dyDescent="0.25">
      <c r="A801" t="s">
        <v>292</v>
      </c>
      <c r="E801">
        <v>1</v>
      </c>
      <c r="G801">
        <v>1</v>
      </c>
    </row>
    <row r="802" spans="1:7" x14ac:dyDescent="0.25">
      <c r="A802" t="s">
        <v>380</v>
      </c>
      <c r="E802">
        <v>1</v>
      </c>
      <c r="G802">
        <v>1</v>
      </c>
    </row>
    <row r="803" spans="1:7" x14ac:dyDescent="0.25">
      <c r="A803" t="s">
        <v>627</v>
      </c>
      <c r="E803">
        <v>2</v>
      </c>
      <c r="G803">
        <v>2</v>
      </c>
    </row>
    <row r="804" spans="1:7" x14ac:dyDescent="0.25">
      <c r="A804" t="s">
        <v>291</v>
      </c>
      <c r="E804">
        <v>1</v>
      </c>
      <c r="G804">
        <v>1</v>
      </c>
    </row>
    <row r="805" spans="1:7" x14ac:dyDescent="0.25">
      <c r="A805" t="s">
        <v>367</v>
      </c>
      <c r="E805">
        <v>1</v>
      </c>
      <c r="G805">
        <v>1</v>
      </c>
    </row>
    <row r="806" spans="1:7" x14ac:dyDescent="0.25">
      <c r="A806" t="s">
        <v>628</v>
      </c>
      <c r="E806">
        <v>3</v>
      </c>
      <c r="G806">
        <v>3</v>
      </c>
    </row>
    <row r="807" spans="1:7" x14ac:dyDescent="0.25">
      <c r="A807" t="s">
        <v>377</v>
      </c>
      <c r="E807">
        <v>1</v>
      </c>
      <c r="G807">
        <v>1</v>
      </c>
    </row>
    <row r="808" spans="1:7" x14ac:dyDescent="0.25">
      <c r="A808" t="s">
        <v>292</v>
      </c>
      <c r="E808">
        <v>1</v>
      </c>
      <c r="G808">
        <v>1</v>
      </c>
    </row>
    <row r="809" spans="1:7" x14ac:dyDescent="0.25">
      <c r="A809" t="s">
        <v>380</v>
      </c>
      <c r="E809">
        <v>1</v>
      </c>
      <c r="G809">
        <v>1</v>
      </c>
    </row>
    <row r="810" spans="1:7" x14ac:dyDescent="0.25">
      <c r="A810" t="s">
        <v>629</v>
      </c>
      <c r="E810">
        <v>2</v>
      </c>
      <c r="G810">
        <v>2</v>
      </c>
    </row>
    <row r="811" spans="1:7" x14ac:dyDescent="0.25">
      <c r="A811" t="s">
        <v>290</v>
      </c>
      <c r="E811">
        <v>1</v>
      </c>
      <c r="G811">
        <v>1</v>
      </c>
    </row>
    <row r="812" spans="1:7" x14ac:dyDescent="0.25">
      <c r="A812" t="s">
        <v>367</v>
      </c>
      <c r="E812">
        <v>1</v>
      </c>
      <c r="G812">
        <v>1</v>
      </c>
    </row>
    <row r="813" spans="1:7" x14ac:dyDescent="0.25">
      <c r="A813" t="s">
        <v>630</v>
      </c>
      <c r="E813">
        <v>2</v>
      </c>
      <c r="G813">
        <v>2</v>
      </c>
    </row>
    <row r="814" spans="1:7" x14ac:dyDescent="0.25">
      <c r="A814" t="s">
        <v>288</v>
      </c>
      <c r="E814">
        <v>1</v>
      </c>
      <c r="G814">
        <v>1</v>
      </c>
    </row>
    <row r="815" spans="1:7" x14ac:dyDescent="0.25">
      <c r="A815" t="s">
        <v>367</v>
      </c>
      <c r="E815">
        <v>1</v>
      </c>
      <c r="G815">
        <v>1</v>
      </c>
    </row>
    <row r="816" spans="1:7" x14ac:dyDescent="0.25">
      <c r="A816" t="s">
        <v>631</v>
      </c>
      <c r="E816">
        <v>3</v>
      </c>
      <c r="G816">
        <v>3</v>
      </c>
    </row>
    <row r="817" spans="1:7" x14ac:dyDescent="0.25">
      <c r="A817" t="s">
        <v>377</v>
      </c>
      <c r="E817">
        <v>1</v>
      </c>
      <c r="G817">
        <v>1</v>
      </c>
    </row>
    <row r="818" spans="1:7" x14ac:dyDescent="0.25">
      <c r="A818" t="s">
        <v>292</v>
      </c>
      <c r="E818">
        <v>1</v>
      </c>
      <c r="G818">
        <v>1</v>
      </c>
    </row>
    <row r="819" spans="1:7" x14ac:dyDescent="0.25">
      <c r="A819" t="s">
        <v>567</v>
      </c>
      <c r="E819">
        <v>1</v>
      </c>
      <c r="G819">
        <v>1</v>
      </c>
    </row>
    <row r="820" spans="1:7" x14ac:dyDescent="0.25">
      <c r="A820" t="s">
        <v>632</v>
      </c>
      <c r="E820">
        <v>5</v>
      </c>
      <c r="G820">
        <v>5</v>
      </c>
    </row>
    <row r="821" spans="1:7" x14ac:dyDescent="0.25">
      <c r="A821" t="s">
        <v>377</v>
      </c>
      <c r="E821">
        <v>1</v>
      </c>
      <c r="G821">
        <v>1</v>
      </c>
    </row>
    <row r="822" spans="1:7" x14ac:dyDescent="0.25">
      <c r="A822" t="s">
        <v>289</v>
      </c>
      <c r="E822">
        <v>1</v>
      </c>
      <c r="G822">
        <v>1</v>
      </c>
    </row>
    <row r="823" spans="1:7" x14ac:dyDescent="0.25">
      <c r="A823" t="s">
        <v>290</v>
      </c>
      <c r="E823">
        <v>1</v>
      </c>
      <c r="G823">
        <v>1</v>
      </c>
    </row>
    <row r="824" spans="1:7" x14ac:dyDescent="0.25">
      <c r="A824" t="s">
        <v>291</v>
      </c>
      <c r="E824">
        <v>1</v>
      </c>
      <c r="G824">
        <v>1</v>
      </c>
    </row>
    <row r="825" spans="1:7" x14ac:dyDescent="0.25">
      <c r="A825" t="s">
        <v>493</v>
      </c>
      <c r="E825">
        <v>1</v>
      </c>
      <c r="G825">
        <v>1</v>
      </c>
    </row>
    <row r="826" spans="1:7" x14ac:dyDescent="0.25">
      <c r="A826" t="s">
        <v>633</v>
      </c>
      <c r="E826">
        <v>2</v>
      </c>
      <c r="G826">
        <v>2</v>
      </c>
    </row>
    <row r="827" spans="1:7" x14ac:dyDescent="0.25">
      <c r="A827" t="s">
        <v>288</v>
      </c>
      <c r="E827">
        <v>1</v>
      </c>
      <c r="G827">
        <v>1</v>
      </c>
    </row>
    <row r="828" spans="1:7" x14ac:dyDescent="0.25">
      <c r="A828" t="s">
        <v>367</v>
      </c>
      <c r="E828">
        <v>1</v>
      </c>
      <c r="G828">
        <v>1</v>
      </c>
    </row>
    <row r="829" spans="1:7" x14ac:dyDescent="0.25">
      <c r="A829" t="s">
        <v>634</v>
      </c>
      <c r="E829">
        <v>3</v>
      </c>
      <c r="G829">
        <v>3</v>
      </c>
    </row>
    <row r="830" spans="1:7" x14ac:dyDescent="0.25">
      <c r="A830" t="s">
        <v>377</v>
      </c>
      <c r="E830">
        <v>1</v>
      </c>
      <c r="G830">
        <v>1</v>
      </c>
    </row>
    <row r="831" spans="1:7" x14ac:dyDescent="0.25">
      <c r="A831" t="s">
        <v>292</v>
      </c>
      <c r="E831">
        <v>1</v>
      </c>
      <c r="G831">
        <v>1</v>
      </c>
    </row>
    <row r="832" spans="1:7" x14ac:dyDescent="0.25">
      <c r="A832" t="s">
        <v>567</v>
      </c>
      <c r="E832">
        <v>1</v>
      </c>
      <c r="G832">
        <v>1</v>
      </c>
    </row>
    <row r="833" spans="1:7" x14ac:dyDescent="0.25">
      <c r="A833" t="s">
        <v>635</v>
      </c>
      <c r="E833">
        <v>2</v>
      </c>
      <c r="G833">
        <v>2</v>
      </c>
    </row>
    <row r="834" spans="1:7" x14ac:dyDescent="0.25">
      <c r="A834" t="s">
        <v>288</v>
      </c>
      <c r="E834">
        <v>1</v>
      </c>
      <c r="G834">
        <v>1</v>
      </c>
    </row>
    <row r="835" spans="1:7" x14ac:dyDescent="0.25">
      <c r="A835" t="s">
        <v>367</v>
      </c>
      <c r="E835">
        <v>1</v>
      </c>
      <c r="G835">
        <v>1</v>
      </c>
    </row>
    <row r="836" spans="1:7" x14ac:dyDescent="0.25">
      <c r="A836" t="s">
        <v>636</v>
      </c>
      <c r="E836">
        <v>2</v>
      </c>
      <c r="G836">
        <v>2</v>
      </c>
    </row>
    <row r="837" spans="1:7" x14ac:dyDescent="0.25">
      <c r="A837" t="s">
        <v>292</v>
      </c>
      <c r="E837">
        <v>1</v>
      </c>
      <c r="G837">
        <v>1</v>
      </c>
    </row>
    <row r="838" spans="1:7" x14ac:dyDescent="0.25">
      <c r="A838" t="s">
        <v>380</v>
      </c>
      <c r="E838">
        <v>1</v>
      </c>
      <c r="G838">
        <v>1</v>
      </c>
    </row>
    <row r="839" spans="1:7" x14ac:dyDescent="0.25">
      <c r="A839" t="s">
        <v>637</v>
      </c>
      <c r="E839">
        <v>2</v>
      </c>
      <c r="G839">
        <v>2</v>
      </c>
    </row>
    <row r="840" spans="1:7" x14ac:dyDescent="0.25">
      <c r="A840" t="s">
        <v>288</v>
      </c>
      <c r="E840">
        <v>1</v>
      </c>
      <c r="G840">
        <v>1</v>
      </c>
    </row>
    <row r="841" spans="1:7" x14ac:dyDescent="0.25">
      <c r="A841" t="s">
        <v>380</v>
      </c>
      <c r="E841">
        <v>1</v>
      </c>
      <c r="G841">
        <v>1</v>
      </c>
    </row>
    <row r="842" spans="1:7" x14ac:dyDescent="0.25">
      <c r="A842" t="s">
        <v>638</v>
      </c>
      <c r="E842">
        <v>4</v>
      </c>
      <c r="G842">
        <v>4</v>
      </c>
    </row>
    <row r="843" spans="1:7" x14ac:dyDescent="0.25">
      <c r="A843" t="s">
        <v>377</v>
      </c>
      <c r="E843">
        <v>1</v>
      </c>
      <c r="G843">
        <v>1</v>
      </c>
    </row>
    <row r="844" spans="1:7" x14ac:dyDescent="0.25">
      <c r="A844" t="s">
        <v>385</v>
      </c>
      <c r="E844">
        <v>1</v>
      </c>
      <c r="G844">
        <v>1</v>
      </c>
    </row>
    <row r="845" spans="1:7" x14ac:dyDescent="0.25">
      <c r="A845" t="s">
        <v>288</v>
      </c>
      <c r="E845">
        <v>1</v>
      </c>
      <c r="G845">
        <v>1</v>
      </c>
    </row>
    <row r="846" spans="1:7" x14ac:dyDescent="0.25">
      <c r="A846" t="s">
        <v>380</v>
      </c>
      <c r="E846">
        <v>1</v>
      </c>
      <c r="G846">
        <v>1</v>
      </c>
    </row>
    <row r="847" spans="1:7" x14ac:dyDescent="0.25">
      <c r="A847" t="s">
        <v>639</v>
      </c>
      <c r="E847">
        <v>3</v>
      </c>
      <c r="G847">
        <v>3</v>
      </c>
    </row>
    <row r="848" spans="1:7" x14ac:dyDescent="0.25">
      <c r="A848" t="s">
        <v>377</v>
      </c>
      <c r="E848">
        <v>1</v>
      </c>
      <c r="G848">
        <v>1</v>
      </c>
    </row>
    <row r="849" spans="1:7" x14ac:dyDescent="0.25">
      <c r="A849" t="s">
        <v>292</v>
      </c>
      <c r="E849">
        <v>1</v>
      </c>
      <c r="G849">
        <v>1</v>
      </c>
    </row>
    <row r="850" spans="1:7" x14ac:dyDescent="0.25">
      <c r="A850" t="s">
        <v>567</v>
      </c>
      <c r="E850">
        <v>1</v>
      </c>
      <c r="G850">
        <v>1</v>
      </c>
    </row>
    <row r="851" spans="1:7" x14ac:dyDescent="0.25">
      <c r="A851" t="s">
        <v>640</v>
      </c>
      <c r="E851">
        <v>3</v>
      </c>
      <c r="G851">
        <v>3</v>
      </c>
    </row>
    <row r="852" spans="1:7" x14ac:dyDescent="0.25">
      <c r="A852" t="s">
        <v>377</v>
      </c>
      <c r="E852">
        <v>1</v>
      </c>
      <c r="G852">
        <v>1</v>
      </c>
    </row>
    <row r="853" spans="1:7" x14ac:dyDescent="0.25">
      <c r="A853" t="s">
        <v>292</v>
      </c>
      <c r="E853">
        <v>1</v>
      </c>
      <c r="G853">
        <v>1</v>
      </c>
    </row>
    <row r="854" spans="1:7" x14ac:dyDescent="0.25">
      <c r="A854" t="s">
        <v>567</v>
      </c>
      <c r="E854">
        <v>1</v>
      </c>
      <c r="G854">
        <v>1</v>
      </c>
    </row>
    <row r="855" spans="1:7" x14ac:dyDescent="0.25">
      <c r="A855" t="s">
        <v>641</v>
      </c>
      <c r="E855">
        <v>2</v>
      </c>
      <c r="G855">
        <v>2</v>
      </c>
    </row>
    <row r="856" spans="1:7" x14ac:dyDescent="0.25">
      <c r="A856" t="s">
        <v>288</v>
      </c>
      <c r="E856">
        <v>1</v>
      </c>
      <c r="G856">
        <v>1</v>
      </c>
    </row>
    <row r="857" spans="1:7" x14ac:dyDescent="0.25">
      <c r="A857" t="s">
        <v>380</v>
      </c>
      <c r="E857">
        <v>1</v>
      </c>
      <c r="G857">
        <v>1</v>
      </c>
    </row>
    <row r="858" spans="1:7" x14ac:dyDescent="0.25">
      <c r="A858" t="s">
        <v>642</v>
      </c>
      <c r="E858">
        <v>2</v>
      </c>
      <c r="G858">
        <v>2</v>
      </c>
    </row>
    <row r="859" spans="1:7" x14ac:dyDescent="0.25">
      <c r="A859" t="s">
        <v>290</v>
      </c>
      <c r="E859">
        <v>1</v>
      </c>
      <c r="G859">
        <v>1</v>
      </c>
    </row>
    <row r="860" spans="1:7" x14ac:dyDescent="0.25">
      <c r="A860" t="s">
        <v>367</v>
      </c>
      <c r="E860">
        <v>1</v>
      </c>
      <c r="G860">
        <v>1</v>
      </c>
    </row>
    <row r="861" spans="1:7" x14ac:dyDescent="0.25">
      <c r="A861" t="s">
        <v>643</v>
      </c>
      <c r="E861">
        <v>2</v>
      </c>
      <c r="G861">
        <v>2</v>
      </c>
    </row>
    <row r="862" spans="1:7" x14ac:dyDescent="0.25">
      <c r="A862" t="s">
        <v>292</v>
      </c>
      <c r="E862">
        <v>1</v>
      </c>
      <c r="G862">
        <v>1</v>
      </c>
    </row>
    <row r="863" spans="1:7" x14ac:dyDescent="0.25">
      <c r="A863" t="s">
        <v>380</v>
      </c>
      <c r="E863">
        <v>1</v>
      </c>
      <c r="G863">
        <v>1</v>
      </c>
    </row>
    <row r="864" spans="1:7" x14ac:dyDescent="0.25">
      <c r="A864" t="s">
        <v>644</v>
      </c>
      <c r="E864">
        <v>3</v>
      </c>
      <c r="G864">
        <v>3</v>
      </c>
    </row>
    <row r="865" spans="1:7" x14ac:dyDescent="0.25">
      <c r="A865" t="s">
        <v>377</v>
      </c>
      <c r="E865">
        <v>1</v>
      </c>
      <c r="G865">
        <v>1</v>
      </c>
    </row>
    <row r="866" spans="1:7" x14ac:dyDescent="0.25">
      <c r="A866" t="s">
        <v>292</v>
      </c>
      <c r="E866">
        <v>1</v>
      </c>
      <c r="G866">
        <v>1</v>
      </c>
    </row>
    <row r="867" spans="1:7" x14ac:dyDescent="0.25">
      <c r="A867" t="s">
        <v>567</v>
      </c>
      <c r="E867">
        <v>1</v>
      </c>
      <c r="G867">
        <v>1</v>
      </c>
    </row>
    <row r="868" spans="1:7" x14ac:dyDescent="0.25">
      <c r="A868" t="s">
        <v>645</v>
      </c>
      <c r="E868">
        <v>2</v>
      </c>
      <c r="G868">
        <v>2</v>
      </c>
    </row>
    <row r="869" spans="1:7" x14ac:dyDescent="0.25">
      <c r="A869" t="s">
        <v>288</v>
      </c>
      <c r="E869">
        <v>1</v>
      </c>
      <c r="G869">
        <v>1</v>
      </c>
    </row>
    <row r="870" spans="1:7" x14ac:dyDescent="0.25">
      <c r="A870" t="s">
        <v>367</v>
      </c>
      <c r="E870">
        <v>1</v>
      </c>
      <c r="G870">
        <v>1</v>
      </c>
    </row>
    <row r="871" spans="1:7" x14ac:dyDescent="0.25">
      <c r="A871" t="s">
        <v>646</v>
      </c>
      <c r="E871">
        <v>2</v>
      </c>
      <c r="G871">
        <v>2</v>
      </c>
    </row>
    <row r="872" spans="1:7" x14ac:dyDescent="0.25">
      <c r="A872" t="s">
        <v>288</v>
      </c>
      <c r="E872">
        <v>1</v>
      </c>
      <c r="G872">
        <v>1</v>
      </c>
    </row>
    <row r="873" spans="1:7" x14ac:dyDescent="0.25">
      <c r="A873" t="s">
        <v>367</v>
      </c>
      <c r="E873">
        <v>1</v>
      </c>
      <c r="G873">
        <v>1</v>
      </c>
    </row>
    <row r="874" spans="1:7" x14ac:dyDescent="0.25">
      <c r="A874" t="s">
        <v>647</v>
      </c>
      <c r="E874">
        <v>3</v>
      </c>
      <c r="G874">
        <v>3</v>
      </c>
    </row>
    <row r="875" spans="1:7" x14ac:dyDescent="0.25">
      <c r="A875" t="s">
        <v>289</v>
      </c>
      <c r="E875">
        <v>1</v>
      </c>
      <c r="G875">
        <v>1</v>
      </c>
    </row>
    <row r="876" spans="1:7" x14ac:dyDescent="0.25">
      <c r="A876" t="s">
        <v>288</v>
      </c>
      <c r="E876">
        <v>1</v>
      </c>
      <c r="G876">
        <v>1</v>
      </c>
    </row>
    <row r="877" spans="1:7" x14ac:dyDescent="0.25">
      <c r="A877" t="s">
        <v>380</v>
      </c>
      <c r="E877">
        <v>1</v>
      </c>
      <c r="G877">
        <v>1</v>
      </c>
    </row>
    <row r="878" spans="1:7" x14ac:dyDescent="0.25">
      <c r="A878" t="s">
        <v>648</v>
      </c>
      <c r="E878">
        <v>2</v>
      </c>
      <c r="G878">
        <v>2</v>
      </c>
    </row>
    <row r="879" spans="1:7" x14ac:dyDescent="0.25">
      <c r="A879" t="s">
        <v>291</v>
      </c>
      <c r="E879">
        <v>1</v>
      </c>
      <c r="G879">
        <v>1</v>
      </c>
    </row>
    <row r="880" spans="1:7" x14ac:dyDescent="0.25">
      <c r="A880" t="s">
        <v>380</v>
      </c>
      <c r="E880">
        <v>1</v>
      </c>
      <c r="G880">
        <v>1</v>
      </c>
    </row>
    <row r="881" spans="1:7" x14ac:dyDescent="0.25">
      <c r="A881" t="s">
        <v>649</v>
      </c>
      <c r="E881">
        <v>2</v>
      </c>
      <c r="G881">
        <v>2</v>
      </c>
    </row>
    <row r="882" spans="1:7" x14ac:dyDescent="0.25">
      <c r="A882" t="s">
        <v>288</v>
      </c>
      <c r="E882">
        <v>1</v>
      </c>
      <c r="G882">
        <v>1</v>
      </c>
    </row>
    <row r="883" spans="1:7" x14ac:dyDescent="0.25">
      <c r="A883" t="s">
        <v>367</v>
      </c>
      <c r="E883">
        <v>1</v>
      </c>
      <c r="G883">
        <v>1</v>
      </c>
    </row>
    <row r="884" spans="1:7" x14ac:dyDescent="0.25">
      <c r="A884" t="s">
        <v>650</v>
      </c>
      <c r="E884">
        <v>2</v>
      </c>
      <c r="G884">
        <v>2</v>
      </c>
    </row>
    <row r="885" spans="1:7" x14ac:dyDescent="0.25">
      <c r="A885" t="s">
        <v>288</v>
      </c>
      <c r="E885">
        <v>1</v>
      </c>
      <c r="G885">
        <v>1</v>
      </c>
    </row>
    <row r="886" spans="1:7" x14ac:dyDescent="0.25">
      <c r="A886" t="s">
        <v>380</v>
      </c>
      <c r="E886">
        <v>1</v>
      </c>
      <c r="G886">
        <v>1</v>
      </c>
    </row>
    <row r="887" spans="1:7" x14ac:dyDescent="0.25">
      <c r="A887" t="s">
        <v>651</v>
      </c>
      <c r="E887">
        <v>2</v>
      </c>
      <c r="G887">
        <v>2</v>
      </c>
    </row>
    <row r="888" spans="1:7" x14ac:dyDescent="0.25">
      <c r="A888" t="s">
        <v>292</v>
      </c>
      <c r="E888">
        <v>1</v>
      </c>
      <c r="G888">
        <v>1</v>
      </c>
    </row>
    <row r="889" spans="1:7" x14ac:dyDescent="0.25">
      <c r="A889" t="s">
        <v>380</v>
      </c>
      <c r="E889">
        <v>1</v>
      </c>
      <c r="G889">
        <v>1</v>
      </c>
    </row>
    <row r="890" spans="1:7" x14ac:dyDescent="0.25">
      <c r="A890" t="s">
        <v>652</v>
      </c>
      <c r="E890">
        <v>2</v>
      </c>
      <c r="G890">
        <v>2</v>
      </c>
    </row>
    <row r="891" spans="1:7" x14ac:dyDescent="0.25">
      <c r="A891" t="s">
        <v>291</v>
      </c>
      <c r="E891">
        <v>1</v>
      </c>
      <c r="G891">
        <v>1</v>
      </c>
    </row>
    <row r="892" spans="1:7" x14ac:dyDescent="0.25">
      <c r="A892" t="s">
        <v>367</v>
      </c>
      <c r="E892">
        <v>1</v>
      </c>
      <c r="G892">
        <v>1</v>
      </c>
    </row>
    <row r="893" spans="1:7" x14ac:dyDescent="0.25">
      <c r="A893" t="s">
        <v>653</v>
      </c>
      <c r="E893">
        <v>4</v>
      </c>
      <c r="G893">
        <v>4</v>
      </c>
    </row>
    <row r="894" spans="1:7" x14ac:dyDescent="0.25">
      <c r="A894" t="s">
        <v>289</v>
      </c>
      <c r="E894">
        <v>1</v>
      </c>
      <c r="G894">
        <v>1</v>
      </c>
    </row>
    <row r="895" spans="1:7" x14ac:dyDescent="0.25">
      <c r="A895" t="s">
        <v>367</v>
      </c>
      <c r="E895">
        <v>1</v>
      </c>
      <c r="G895">
        <v>1</v>
      </c>
    </row>
    <row r="896" spans="1:7" x14ac:dyDescent="0.25">
      <c r="A896" t="s">
        <v>379</v>
      </c>
      <c r="E896">
        <v>1</v>
      </c>
      <c r="G896">
        <v>1</v>
      </c>
    </row>
    <row r="897" spans="1:7" x14ac:dyDescent="0.25">
      <c r="A897" t="s">
        <v>381</v>
      </c>
      <c r="E897">
        <v>1</v>
      </c>
      <c r="G897">
        <v>1</v>
      </c>
    </row>
    <row r="898" spans="1:7" x14ac:dyDescent="0.25">
      <c r="A898" t="s">
        <v>654</v>
      </c>
      <c r="E898">
        <v>2</v>
      </c>
      <c r="G898">
        <v>2</v>
      </c>
    </row>
    <row r="899" spans="1:7" x14ac:dyDescent="0.25">
      <c r="A899" t="s">
        <v>288</v>
      </c>
      <c r="E899">
        <v>1</v>
      </c>
      <c r="G899">
        <v>1</v>
      </c>
    </row>
    <row r="900" spans="1:7" x14ac:dyDescent="0.25">
      <c r="A900" t="s">
        <v>380</v>
      </c>
      <c r="E900">
        <v>1</v>
      </c>
      <c r="G900">
        <v>1</v>
      </c>
    </row>
    <row r="901" spans="1:7" x14ac:dyDescent="0.25">
      <c r="A901" t="s">
        <v>655</v>
      </c>
      <c r="E901">
        <v>2</v>
      </c>
      <c r="G901">
        <v>2</v>
      </c>
    </row>
    <row r="902" spans="1:7" x14ac:dyDescent="0.25">
      <c r="A902" t="s">
        <v>288</v>
      </c>
      <c r="E902">
        <v>1</v>
      </c>
      <c r="G902">
        <v>1</v>
      </c>
    </row>
    <row r="903" spans="1:7" x14ac:dyDescent="0.25">
      <c r="A903" t="s">
        <v>380</v>
      </c>
      <c r="E903">
        <v>1</v>
      </c>
      <c r="G903">
        <v>1</v>
      </c>
    </row>
    <row r="904" spans="1:7" x14ac:dyDescent="0.25">
      <c r="A904" t="s">
        <v>656</v>
      </c>
      <c r="E904">
        <v>4</v>
      </c>
      <c r="G904">
        <v>4</v>
      </c>
    </row>
    <row r="905" spans="1:7" x14ac:dyDescent="0.25">
      <c r="A905" t="s">
        <v>377</v>
      </c>
      <c r="E905">
        <v>1</v>
      </c>
      <c r="G905">
        <v>1</v>
      </c>
    </row>
    <row r="906" spans="1:7" x14ac:dyDescent="0.25">
      <c r="A906" t="s">
        <v>291</v>
      </c>
      <c r="E906">
        <v>1</v>
      </c>
      <c r="G906">
        <v>1</v>
      </c>
    </row>
    <row r="907" spans="1:7" x14ac:dyDescent="0.25">
      <c r="A907" t="s">
        <v>288</v>
      </c>
      <c r="E907">
        <v>1</v>
      </c>
      <c r="G907">
        <v>1</v>
      </c>
    </row>
    <row r="908" spans="1:7" x14ac:dyDescent="0.25">
      <c r="A908" t="s">
        <v>380</v>
      </c>
      <c r="E908">
        <v>1</v>
      </c>
      <c r="G908">
        <v>1</v>
      </c>
    </row>
    <row r="909" spans="1:7" x14ac:dyDescent="0.25">
      <c r="A909" t="s">
        <v>657</v>
      </c>
      <c r="E909">
        <v>3</v>
      </c>
      <c r="G909">
        <v>3</v>
      </c>
    </row>
    <row r="910" spans="1:7" x14ac:dyDescent="0.25">
      <c r="A910" t="s">
        <v>377</v>
      </c>
      <c r="E910">
        <v>1</v>
      </c>
      <c r="G910">
        <v>1</v>
      </c>
    </row>
    <row r="911" spans="1:7" x14ac:dyDescent="0.25">
      <c r="A911" t="s">
        <v>288</v>
      </c>
      <c r="E911">
        <v>1</v>
      </c>
      <c r="G911">
        <v>1</v>
      </c>
    </row>
    <row r="912" spans="1:7" x14ac:dyDescent="0.25">
      <c r="A912" t="s">
        <v>567</v>
      </c>
      <c r="E912">
        <v>1</v>
      </c>
      <c r="G912">
        <v>1</v>
      </c>
    </row>
    <row r="913" spans="1:7" x14ac:dyDescent="0.25">
      <c r="A913" t="s">
        <v>658</v>
      </c>
      <c r="E913">
        <v>3</v>
      </c>
      <c r="G913">
        <v>3</v>
      </c>
    </row>
    <row r="914" spans="1:7" x14ac:dyDescent="0.25">
      <c r="A914" t="s">
        <v>377</v>
      </c>
      <c r="E914">
        <v>1</v>
      </c>
      <c r="G914">
        <v>1</v>
      </c>
    </row>
    <row r="915" spans="1:7" x14ac:dyDescent="0.25">
      <c r="A915" t="s">
        <v>292</v>
      </c>
      <c r="E915">
        <v>1</v>
      </c>
      <c r="G915">
        <v>1</v>
      </c>
    </row>
    <row r="916" spans="1:7" x14ac:dyDescent="0.25">
      <c r="A916" t="s">
        <v>659</v>
      </c>
      <c r="E916">
        <v>1</v>
      </c>
      <c r="G916">
        <v>1</v>
      </c>
    </row>
    <row r="917" spans="1:7" x14ac:dyDescent="0.25">
      <c r="A917" t="s">
        <v>660</v>
      </c>
      <c r="E917">
        <v>2</v>
      </c>
      <c r="G917">
        <v>2</v>
      </c>
    </row>
    <row r="918" spans="1:7" x14ac:dyDescent="0.25">
      <c r="A918" t="s">
        <v>293</v>
      </c>
      <c r="E918">
        <v>1</v>
      </c>
      <c r="G918">
        <v>1</v>
      </c>
    </row>
    <row r="919" spans="1:7" x14ac:dyDescent="0.25">
      <c r="A919" t="s">
        <v>493</v>
      </c>
      <c r="E919">
        <v>1</v>
      </c>
      <c r="G919">
        <v>1</v>
      </c>
    </row>
    <row r="920" spans="1:7" x14ac:dyDescent="0.25">
      <c r="A920" t="s">
        <v>661</v>
      </c>
      <c r="E920">
        <v>2</v>
      </c>
      <c r="G920">
        <v>2</v>
      </c>
    </row>
    <row r="921" spans="1:7" x14ac:dyDescent="0.25">
      <c r="A921" t="s">
        <v>290</v>
      </c>
      <c r="E921">
        <v>1</v>
      </c>
      <c r="G921">
        <v>1</v>
      </c>
    </row>
    <row r="922" spans="1:7" x14ac:dyDescent="0.25">
      <c r="A922" t="s">
        <v>380</v>
      </c>
      <c r="E922">
        <v>1</v>
      </c>
      <c r="G922">
        <v>1</v>
      </c>
    </row>
    <row r="923" spans="1:7" x14ac:dyDescent="0.25">
      <c r="A923" t="s">
        <v>662</v>
      </c>
      <c r="E923">
        <v>2</v>
      </c>
      <c r="G923">
        <v>2</v>
      </c>
    </row>
    <row r="924" spans="1:7" x14ac:dyDescent="0.25">
      <c r="A924" t="s">
        <v>288</v>
      </c>
      <c r="E924">
        <v>1</v>
      </c>
      <c r="G924">
        <v>1</v>
      </c>
    </row>
    <row r="925" spans="1:7" x14ac:dyDescent="0.25">
      <c r="A925" t="s">
        <v>380</v>
      </c>
      <c r="E925">
        <v>1</v>
      </c>
      <c r="G925">
        <v>1</v>
      </c>
    </row>
    <row r="926" spans="1:7" x14ac:dyDescent="0.25">
      <c r="A926" t="s">
        <v>663</v>
      </c>
      <c r="E926">
        <v>2</v>
      </c>
      <c r="G926">
        <v>2</v>
      </c>
    </row>
    <row r="927" spans="1:7" x14ac:dyDescent="0.25">
      <c r="A927" t="s">
        <v>288</v>
      </c>
      <c r="E927">
        <v>1</v>
      </c>
      <c r="G927">
        <v>1</v>
      </c>
    </row>
    <row r="928" spans="1:7" x14ac:dyDescent="0.25">
      <c r="A928" t="s">
        <v>380</v>
      </c>
      <c r="E928">
        <v>1</v>
      </c>
      <c r="G928">
        <v>1</v>
      </c>
    </row>
    <row r="929" spans="1:7" x14ac:dyDescent="0.25">
      <c r="A929" t="s">
        <v>664</v>
      </c>
      <c r="E929">
        <v>2</v>
      </c>
      <c r="G929">
        <v>2</v>
      </c>
    </row>
    <row r="930" spans="1:7" x14ac:dyDescent="0.25">
      <c r="A930" t="s">
        <v>288</v>
      </c>
      <c r="E930">
        <v>1</v>
      </c>
      <c r="G930">
        <v>1</v>
      </c>
    </row>
    <row r="931" spans="1:7" x14ac:dyDescent="0.25">
      <c r="A931" t="s">
        <v>367</v>
      </c>
      <c r="E931">
        <v>1</v>
      </c>
      <c r="G931">
        <v>1</v>
      </c>
    </row>
    <row r="932" spans="1:7" x14ac:dyDescent="0.25">
      <c r="A932" t="s">
        <v>665</v>
      </c>
      <c r="E932">
        <v>4</v>
      </c>
      <c r="G932">
        <v>4</v>
      </c>
    </row>
    <row r="933" spans="1:7" x14ac:dyDescent="0.25">
      <c r="A933" t="s">
        <v>377</v>
      </c>
      <c r="E933">
        <v>1</v>
      </c>
      <c r="G933">
        <v>1</v>
      </c>
    </row>
    <row r="934" spans="1:7" x14ac:dyDescent="0.25">
      <c r="A934" t="s">
        <v>385</v>
      </c>
      <c r="E934">
        <v>1</v>
      </c>
      <c r="G934">
        <v>1</v>
      </c>
    </row>
    <row r="935" spans="1:7" x14ac:dyDescent="0.25">
      <c r="A935" t="s">
        <v>288</v>
      </c>
      <c r="E935">
        <v>1</v>
      </c>
      <c r="G935">
        <v>1</v>
      </c>
    </row>
    <row r="936" spans="1:7" x14ac:dyDescent="0.25">
      <c r="A936" t="s">
        <v>380</v>
      </c>
      <c r="E936">
        <v>1</v>
      </c>
      <c r="G936">
        <v>1</v>
      </c>
    </row>
    <row r="937" spans="1:7" x14ac:dyDescent="0.25">
      <c r="A937" t="s">
        <v>666</v>
      </c>
      <c r="E937">
        <v>3</v>
      </c>
      <c r="G937">
        <v>3</v>
      </c>
    </row>
    <row r="938" spans="1:7" x14ac:dyDescent="0.25">
      <c r="A938" t="s">
        <v>377</v>
      </c>
      <c r="E938">
        <v>1</v>
      </c>
      <c r="G938">
        <v>1</v>
      </c>
    </row>
    <row r="939" spans="1:7" x14ac:dyDescent="0.25">
      <c r="A939" t="s">
        <v>288</v>
      </c>
      <c r="E939">
        <v>1</v>
      </c>
      <c r="G939">
        <v>1</v>
      </c>
    </row>
    <row r="940" spans="1:7" x14ac:dyDescent="0.25">
      <c r="A940" t="s">
        <v>380</v>
      </c>
      <c r="E940">
        <v>1</v>
      </c>
      <c r="G940">
        <v>1</v>
      </c>
    </row>
    <row r="941" spans="1:7" x14ac:dyDescent="0.25">
      <c r="A941" t="s">
        <v>667</v>
      </c>
      <c r="E941">
        <v>2</v>
      </c>
      <c r="G941">
        <v>2</v>
      </c>
    </row>
    <row r="942" spans="1:7" x14ac:dyDescent="0.25">
      <c r="A942" t="s">
        <v>288</v>
      </c>
      <c r="E942">
        <v>1</v>
      </c>
      <c r="G942">
        <v>1</v>
      </c>
    </row>
    <row r="943" spans="1:7" x14ac:dyDescent="0.25">
      <c r="A943" t="s">
        <v>367</v>
      </c>
      <c r="E943">
        <v>1</v>
      </c>
      <c r="G943">
        <v>1</v>
      </c>
    </row>
    <row r="944" spans="1:7" x14ac:dyDescent="0.25">
      <c r="A944" t="s">
        <v>668</v>
      </c>
      <c r="E944">
        <v>2</v>
      </c>
      <c r="G944">
        <v>2</v>
      </c>
    </row>
    <row r="945" spans="1:7" x14ac:dyDescent="0.25">
      <c r="A945" t="s">
        <v>291</v>
      </c>
      <c r="E945">
        <v>1</v>
      </c>
      <c r="G945">
        <v>1</v>
      </c>
    </row>
    <row r="946" spans="1:7" x14ac:dyDescent="0.25">
      <c r="A946" t="s">
        <v>367</v>
      </c>
      <c r="E946">
        <v>1</v>
      </c>
      <c r="G946">
        <v>1</v>
      </c>
    </row>
    <row r="947" spans="1:7" x14ac:dyDescent="0.25">
      <c r="A947" t="s">
        <v>669</v>
      </c>
      <c r="E947">
        <v>3</v>
      </c>
      <c r="G947">
        <v>3</v>
      </c>
    </row>
    <row r="948" spans="1:7" x14ac:dyDescent="0.25">
      <c r="A948" t="s">
        <v>377</v>
      </c>
      <c r="E948">
        <v>1</v>
      </c>
      <c r="G948">
        <v>1</v>
      </c>
    </row>
    <row r="949" spans="1:7" x14ac:dyDescent="0.25">
      <c r="A949" t="s">
        <v>290</v>
      </c>
      <c r="E949">
        <v>1</v>
      </c>
      <c r="G949">
        <v>1</v>
      </c>
    </row>
    <row r="950" spans="1:7" x14ac:dyDescent="0.25">
      <c r="A950" t="s">
        <v>380</v>
      </c>
      <c r="E950">
        <v>1</v>
      </c>
      <c r="G950">
        <v>1</v>
      </c>
    </row>
    <row r="951" spans="1:7" x14ac:dyDescent="0.25">
      <c r="A951" t="s">
        <v>670</v>
      </c>
      <c r="E951">
        <v>2</v>
      </c>
      <c r="G951">
        <v>2</v>
      </c>
    </row>
    <row r="952" spans="1:7" x14ac:dyDescent="0.25">
      <c r="A952" t="s">
        <v>288</v>
      </c>
      <c r="E952">
        <v>1</v>
      </c>
      <c r="G952">
        <v>1</v>
      </c>
    </row>
    <row r="953" spans="1:7" x14ac:dyDescent="0.25">
      <c r="A953" t="s">
        <v>367</v>
      </c>
      <c r="E953">
        <v>1</v>
      </c>
      <c r="G953">
        <v>1</v>
      </c>
    </row>
    <row r="954" spans="1:7" x14ac:dyDescent="0.25">
      <c r="A954" t="s">
        <v>671</v>
      </c>
      <c r="E954">
        <v>2</v>
      </c>
      <c r="G954">
        <v>2</v>
      </c>
    </row>
    <row r="955" spans="1:7" x14ac:dyDescent="0.25">
      <c r="A955" t="s">
        <v>288</v>
      </c>
      <c r="E955">
        <v>1</v>
      </c>
      <c r="G955">
        <v>1</v>
      </c>
    </row>
    <row r="956" spans="1:7" x14ac:dyDescent="0.25">
      <c r="A956" t="s">
        <v>380</v>
      </c>
      <c r="E956">
        <v>1</v>
      </c>
      <c r="G956">
        <v>1</v>
      </c>
    </row>
    <row r="957" spans="1:7" x14ac:dyDescent="0.25">
      <c r="A957" t="s">
        <v>672</v>
      </c>
      <c r="E957">
        <v>2</v>
      </c>
      <c r="G957">
        <v>2</v>
      </c>
    </row>
    <row r="958" spans="1:7" x14ac:dyDescent="0.25">
      <c r="A958" t="s">
        <v>292</v>
      </c>
      <c r="E958">
        <v>1</v>
      </c>
      <c r="G958">
        <v>1</v>
      </c>
    </row>
    <row r="959" spans="1:7" x14ac:dyDescent="0.25">
      <c r="A959" t="s">
        <v>380</v>
      </c>
      <c r="E959">
        <v>1</v>
      </c>
      <c r="G959">
        <v>1</v>
      </c>
    </row>
    <row r="960" spans="1:7" x14ac:dyDescent="0.25">
      <c r="A960" t="s">
        <v>673</v>
      </c>
      <c r="E960">
        <v>3</v>
      </c>
      <c r="G960">
        <v>3</v>
      </c>
    </row>
    <row r="961" spans="1:7" x14ac:dyDescent="0.25">
      <c r="A961" t="s">
        <v>377</v>
      </c>
      <c r="E961">
        <v>1</v>
      </c>
      <c r="G961">
        <v>1</v>
      </c>
    </row>
    <row r="962" spans="1:7" x14ac:dyDescent="0.25">
      <c r="A962" t="s">
        <v>292</v>
      </c>
      <c r="E962">
        <v>1</v>
      </c>
      <c r="G962">
        <v>1</v>
      </c>
    </row>
    <row r="963" spans="1:7" x14ac:dyDescent="0.25">
      <c r="A963" t="s">
        <v>659</v>
      </c>
      <c r="E963">
        <v>1</v>
      </c>
      <c r="G963">
        <v>1</v>
      </c>
    </row>
    <row r="964" spans="1:7" x14ac:dyDescent="0.25">
      <c r="A964" t="s">
        <v>674</v>
      </c>
      <c r="E964">
        <v>2</v>
      </c>
      <c r="G964">
        <v>2</v>
      </c>
    </row>
    <row r="965" spans="1:7" x14ac:dyDescent="0.25">
      <c r="A965" t="s">
        <v>288</v>
      </c>
      <c r="E965">
        <v>1</v>
      </c>
      <c r="G965">
        <v>1</v>
      </c>
    </row>
    <row r="966" spans="1:7" x14ac:dyDescent="0.25">
      <c r="A966" t="s">
        <v>380</v>
      </c>
      <c r="E966">
        <v>1</v>
      </c>
      <c r="G966">
        <v>1</v>
      </c>
    </row>
    <row r="967" spans="1:7" x14ac:dyDescent="0.25">
      <c r="A967" t="s">
        <v>675</v>
      </c>
      <c r="E967">
        <v>2</v>
      </c>
      <c r="G967">
        <v>2</v>
      </c>
    </row>
    <row r="968" spans="1:7" x14ac:dyDescent="0.25">
      <c r="A968" t="s">
        <v>292</v>
      </c>
      <c r="E968">
        <v>1</v>
      </c>
      <c r="G968">
        <v>1</v>
      </c>
    </row>
    <row r="969" spans="1:7" x14ac:dyDescent="0.25">
      <c r="A969" t="s">
        <v>367</v>
      </c>
      <c r="E969">
        <v>1</v>
      </c>
      <c r="G969">
        <v>1</v>
      </c>
    </row>
    <row r="970" spans="1:7" x14ac:dyDescent="0.25">
      <c r="A970" t="s">
        <v>676</v>
      </c>
      <c r="E970">
        <v>3</v>
      </c>
      <c r="G970">
        <v>3</v>
      </c>
    </row>
    <row r="971" spans="1:7" x14ac:dyDescent="0.25">
      <c r="A971" t="s">
        <v>290</v>
      </c>
      <c r="E971">
        <v>1</v>
      </c>
      <c r="G971">
        <v>1</v>
      </c>
    </row>
    <row r="972" spans="1:7" x14ac:dyDescent="0.25">
      <c r="A972" t="s">
        <v>291</v>
      </c>
      <c r="E972">
        <v>1</v>
      </c>
      <c r="G972">
        <v>1</v>
      </c>
    </row>
    <row r="973" spans="1:7" x14ac:dyDescent="0.25">
      <c r="A973" t="s">
        <v>380</v>
      </c>
      <c r="E973">
        <v>1</v>
      </c>
      <c r="G973">
        <v>1</v>
      </c>
    </row>
    <row r="974" spans="1:7" x14ac:dyDescent="0.25">
      <c r="A974" t="s">
        <v>677</v>
      </c>
      <c r="E974">
        <v>3</v>
      </c>
      <c r="G974">
        <v>3</v>
      </c>
    </row>
    <row r="975" spans="1:7" x14ac:dyDescent="0.25">
      <c r="A975" t="s">
        <v>292</v>
      </c>
      <c r="E975">
        <v>1</v>
      </c>
      <c r="G975">
        <v>1</v>
      </c>
    </row>
    <row r="976" spans="1:7" x14ac:dyDescent="0.25">
      <c r="A976" t="s">
        <v>288</v>
      </c>
      <c r="E976">
        <v>1</v>
      </c>
      <c r="G976">
        <v>1</v>
      </c>
    </row>
    <row r="977" spans="1:7" x14ac:dyDescent="0.25">
      <c r="A977" t="s">
        <v>380</v>
      </c>
      <c r="E977">
        <v>1</v>
      </c>
      <c r="G977">
        <v>1</v>
      </c>
    </row>
    <row r="978" spans="1:7" x14ac:dyDescent="0.25">
      <c r="A978" t="s">
        <v>678</v>
      </c>
      <c r="E978">
        <v>2</v>
      </c>
      <c r="G978">
        <v>2</v>
      </c>
    </row>
    <row r="979" spans="1:7" x14ac:dyDescent="0.25">
      <c r="A979" t="s">
        <v>291</v>
      </c>
      <c r="E979">
        <v>1</v>
      </c>
      <c r="G979">
        <v>1</v>
      </c>
    </row>
    <row r="980" spans="1:7" x14ac:dyDescent="0.25">
      <c r="A980" t="s">
        <v>367</v>
      </c>
      <c r="E980">
        <v>1</v>
      </c>
      <c r="G980">
        <v>1</v>
      </c>
    </row>
    <row r="981" spans="1:7" x14ac:dyDescent="0.25">
      <c r="A981" t="s">
        <v>679</v>
      </c>
      <c r="E981">
        <v>2</v>
      </c>
      <c r="G981">
        <v>2</v>
      </c>
    </row>
    <row r="982" spans="1:7" x14ac:dyDescent="0.25">
      <c r="A982" t="s">
        <v>291</v>
      </c>
      <c r="E982">
        <v>1</v>
      </c>
      <c r="G982">
        <v>1</v>
      </c>
    </row>
    <row r="983" spans="1:7" x14ac:dyDescent="0.25">
      <c r="A983" t="s">
        <v>380</v>
      </c>
      <c r="E983">
        <v>1</v>
      </c>
      <c r="G983">
        <v>1</v>
      </c>
    </row>
    <row r="984" spans="1:7" x14ac:dyDescent="0.25">
      <c r="A984" t="s">
        <v>680</v>
      </c>
      <c r="E984">
        <v>2</v>
      </c>
      <c r="G984">
        <v>2</v>
      </c>
    </row>
    <row r="985" spans="1:7" x14ac:dyDescent="0.25">
      <c r="A985" t="s">
        <v>291</v>
      </c>
      <c r="E985">
        <v>1</v>
      </c>
      <c r="G985">
        <v>1</v>
      </c>
    </row>
    <row r="986" spans="1:7" x14ac:dyDescent="0.25">
      <c r="A986" t="s">
        <v>367</v>
      </c>
      <c r="E986">
        <v>1</v>
      </c>
      <c r="G986">
        <v>1</v>
      </c>
    </row>
    <row r="987" spans="1:7" x14ac:dyDescent="0.25">
      <c r="A987" t="s">
        <v>681</v>
      </c>
      <c r="E987">
        <v>2</v>
      </c>
      <c r="G987">
        <v>2</v>
      </c>
    </row>
    <row r="988" spans="1:7" x14ac:dyDescent="0.25">
      <c r="A988" t="s">
        <v>288</v>
      </c>
      <c r="E988">
        <v>1</v>
      </c>
      <c r="G988">
        <v>1</v>
      </c>
    </row>
    <row r="989" spans="1:7" x14ac:dyDescent="0.25">
      <c r="A989" t="s">
        <v>367</v>
      </c>
      <c r="E989">
        <v>1</v>
      </c>
      <c r="G989">
        <v>1</v>
      </c>
    </row>
    <row r="990" spans="1:7" x14ac:dyDescent="0.25">
      <c r="A990" t="s">
        <v>682</v>
      </c>
      <c r="E990">
        <v>2</v>
      </c>
      <c r="G990">
        <v>2</v>
      </c>
    </row>
    <row r="991" spans="1:7" x14ac:dyDescent="0.25">
      <c r="A991" t="s">
        <v>288</v>
      </c>
      <c r="E991">
        <v>1</v>
      </c>
      <c r="G991">
        <v>1</v>
      </c>
    </row>
    <row r="992" spans="1:7" x14ac:dyDescent="0.25">
      <c r="A992" t="s">
        <v>380</v>
      </c>
      <c r="E992">
        <v>1</v>
      </c>
      <c r="G992">
        <v>1</v>
      </c>
    </row>
    <row r="993" spans="1:7" x14ac:dyDescent="0.25">
      <c r="A993" t="s">
        <v>683</v>
      </c>
      <c r="E993">
        <v>2</v>
      </c>
      <c r="G993">
        <v>2</v>
      </c>
    </row>
    <row r="994" spans="1:7" x14ac:dyDescent="0.25">
      <c r="A994" t="s">
        <v>292</v>
      </c>
      <c r="E994">
        <v>1</v>
      </c>
      <c r="G994">
        <v>1</v>
      </c>
    </row>
    <row r="995" spans="1:7" x14ac:dyDescent="0.25">
      <c r="A995" t="s">
        <v>367</v>
      </c>
      <c r="E995">
        <v>1</v>
      </c>
      <c r="G995">
        <v>1</v>
      </c>
    </row>
    <row r="996" spans="1:7" x14ac:dyDescent="0.25">
      <c r="A996" t="s">
        <v>684</v>
      </c>
      <c r="E996">
        <v>2</v>
      </c>
      <c r="G996">
        <v>2</v>
      </c>
    </row>
    <row r="997" spans="1:7" x14ac:dyDescent="0.25">
      <c r="A997" t="s">
        <v>288</v>
      </c>
      <c r="E997">
        <v>1</v>
      </c>
      <c r="G997">
        <v>1</v>
      </c>
    </row>
    <row r="998" spans="1:7" x14ac:dyDescent="0.25">
      <c r="A998" t="s">
        <v>367</v>
      </c>
      <c r="E998">
        <v>1</v>
      </c>
      <c r="G998">
        <v>1</v>
      </c>
    </row>
    <row r="999" spans="1:7" x14ac:dyDescent="0.25">
      <c r="A999" t="s">
        <v>685</v>
      </c>
      <c r="E999">
        <v>2</v>
      </c>
      <c r="G999">
        <v>2</v>
      </c>
    </row>
    <row r="1000" spans="1:7" x14ac:dyDescent="0.25">
      <c r="A1000" t="s">
        <v>288</v>
      </c>
      <c r="E1000">
        <v>1</v>
      </c>
      <c r="G1000">
        <v>1</v>
      </c>
    </row>
    <row r="1001" spans="1:7" x14ac:dyDescent="0.25">
      <c r="A1001" t="s">
        <v>367</v>
      </c>
      <c r="E1001">
        <v>1</v>
      </c>
      <c r="G1001">
        <v>1</v>
      </c>
    </row>
    <row r="1002" spans="1:7" x14ac:dyDescent="0.25">
      <c r="A1002" t="s">
        <v>686</v>
      </c>
      <c r="E1002">
        <v>5</v>
      </c>
      <c r="G1002">
        <v>5</v>
      </c>
    </row>
    <row r="1003" spans="1:7" x14ac:dyDescent="0.25">
      <c r="A1003" t="s">
        <v>377</v>
      </c>
      <c r="E1003">
        <v>1</v>
      </c>
      <c r="G1003">
        <v>1</v>
      </c>
    </row>
    <row r="1004" spans="1:7" x14ac:dyDescent="0.25">
      <c r="A1004" t="s">
        <v>289</v>
      </c>
      <c r="E1004">
        <v>1</v>
      </c>
      <c r="G1004">
        <v>1</v>
      </c>
    </row>
    <row r="1005" spans="1:7" x14ac:dyDescent="0.25">
      <c r="A1005" t="s">
        <v>290</v>
      </c>
      <c r="E1005">
        <v>1</v>
      </c>
      <c r="G1005">
        <v>1</v>
      </c>
    </row>
    <row r="1006" spans="1:7" x14ac:dyDescent="0.25">
      <c r="A1006" t="s">
        <v>295</v>
      </c>
      <c r="E1006">
        <v>1</v>
      </c>
      <c r="G1006">
        <v>1</v>
      </c>
    </row>
    <row r="1007" spans="1:7" x14ac:dyDescent="0.25">
      <c r="A1007" t="s">
        <v>493</v>
      </c>
      <c r="E1007">
        <v>1</v>
      </c>
      <c r="G1007">
        <v>1</v>
      </c>
    </row>
    <row r="1008" spans="1:7" x14ac:dyDescent="0.25">
      <c r="A1008" t="s">
        <v>687</v>
      </c>
      <c r="E1008">
        <v>3</v>
      </c>
      <c r="G1008">
        <v>3</v>
      </c>
    </row>
    <row r="1009" spans="1:7" x14ac:dyDescent="0.25">
      <c r="A1009" t="s">
        <v>377</v>
      </c>
      <c r="E1009">
        <v>1</v>
      </c>
      <c r="G1009">
        <v>1</v>
      </c>
    </row>
    <row r="1010" spans="1:7" x14ac:dyDescent="0.25">
      <c r="A1010" t="s">
        <v>288</v>
      </c>
      <c r="E1010">
        <v>1</v>
      </c>
      <c r="G1010">
        <v>1</v>
      </c>
    </row>
    <row r="1011" spans="1:7" x14ac:dyDescent="0.25">
      <c r="A1011" t="s">
        <v>493</v>
      </c>
      <c r="E1011">
        <v>1</v>
      </c>
      <c r="G1011">
        <v>1</v>
      </c>
    </row>
    <row r="1012" spans="1:7" x14ac:dyDescent="0.25">
      <c r="A1012" t="s">
        <v>688</v>
      </c>
      <c r="E1012">
        <v>4</v>
      </c>
      <c r="G1012">
        <v>4</v>
      </c>
    </row>
    <row r="1013" spans="1:7" x14ac:dyDescent="0.25">
      <c r="A1013" t="s">
        <v>289</v>
      </c>
      <c r="E1013">
        <v>1</v>
      </c>
      <c r="G1013">
        <v>1</v>
      </c>
    </row>
    <row r="1014" spans="1:7" x14ac:dyDescent="0.25">
      <c r="A1014" t="s">
        <v>290</v>
      </c>
      <c r="E1014">
        <v>1</v>
      </c>
      <c r="G1014">
        <v>1</v>
      </c>
    </row>
    <row r="1015" spans="1:7" x14ac:dyDescent="0.25">
      <c r="A1015" t="s">
        <v>291</v>
      </c>
      <c r="E1015">
        <v>1</v>
      </c>
      <c r="G1015">
        <v>1</v>
      </c>
    </row>
    <row r="1016" spans="1:7" x14ac:dyDescent="0.25">
      <c r="A1016" t="s">
        <v>493</v>
      </c>
      <c r="E1016">
        <v>1</v>
      </c>
      <c r="G1016">
        <v>1</v>
      </c>
    </row>
    <row r="1017" spans="1:7" x14ac:dyDescent="0.25">
      <c r="A1017" t="s">
        <v>689</v>
      </c>
      <c r="E1017">
        <v>2</v>
      </c>
      <c r="G1017">
        <v>2</v>
      </c>
    </row>
    <row r="1018" spans="1:7" x14ac:dyDescent="0.25">
      <c r="A1018" t="s">
        <v>292</v>
      </c>
      <c r="E1018">
        <v>1</v>
      </c>
      <c r="G1018">
        <v>1</v>
      </c>
    </row>
    <row r="1019" spans="1:7" x14ac:dyDescent="0.25">
      <c r="A1019" t="s">
        <v>380</v>
      </c>
      <c r="E1019">
        <v>1</v>
      </c>
      <c r="G1019">
        <v>1</v>
      </c>
    </row>
    <row r="1020" spans="1:7" x14ac:dyDescent="0.25">
      <c r="A1020" t="s">
        <v>690</v>
      </c>
      <c r="E1020">
        <v>3</v>
      </c>
      <c r="G1020">
        <v>3</v>
      </c>
    </row>
    <row r="1021" spans="1:7" x14ac:dyDescent="0.25">
      <c r="A1021" t="s">
        <v>377</v>
      </c>
      <c r="E1021">
        <v>1</v>
      </c>
      <c r="G1021">
        <v>1</v>
      </c>
    </row>
    <row r="1022" spans="1:7" x14ac:dyDescent="0.25">
      <c r="A1022" t="s">
        <v>288</v>
      </c>
      <c r="E1022">
        <v>1</v>
      </c>
      <c r="G1022">
        <v>1</v>
      </c>
    </row>
    <row r="1023" spans="1:7" x14ac:dyDescent="0.25">
      <c r="A1023" t="s">
        <v>659</v>
      </c>
      <c r="E1023">
        <v>1</v>
      </c>
      <c r="G1023">
        <v>1</v>
      </c>
    </row>
    <row r="1024" spans="1:7" x14ac:dyDescent="0.25">
      <c r="A1024" t="s">
        <v>691</v>
      </c>
      <c r="E1024">
        <v>2</v>
      </c>
      <c r="G1024">
        <v>2</v>
      </c>
    </row>
    <row r="1025" spans="1:7" x14ac:dyDescent="0.25">
      <c r="A1025" t="s">
        <v>288</v>
      </c>
      <c r="E1025">
        <v>1</v>
      </c>
      <c r="G1025">
        <v>1</v>
      </c>
    </row>
    <row r="1026" spans="1:7" x14ac:dyDescent="0.25">
      <c r="A1026" t="s">
        <v>380</v>
      </c>
      <c r="E1026">
        <v>1</v>
      </c>
      <c r="G1026">
        <v>1</v>
      </c>
    </row>
    <row r="1027" spans="1:7" x14ac:dyDescent="0.25">
      <c r="A1027" t="s">
        <v>692</v>
      </c>
      <c r="E1027">
        <v>3</v>
      </c>
      <c r="G1027">
        <v>3</v>
      </c>
    </row>
    <row r="1028" spans="1:7" x14ac:dyDescent="0.25">
      <c r="A1028" t="s">
        <v>292</v>
      </c>
      <c r="E1028">
        <v>1</v>
      </c>
      <c r="G1028">
        <v>1</v>
      </c>
    </row>
    <row r="1029" spans="1:7" x14ac:dyDescent="0.25">
      <c r="A1029" t="s">
        <v>288</v>
      </c>
      <c r="E1029">
        <v>1</v>
      </c>
      <c r="G1029">
        <v>1</v>
      </c>
    </row>
    <row r="1030" spans="1:7" x14ac:dyDescent="0.25">
      <c r="A1030" t="s">
        <v>380</v>
      </c>
      <c r="E1030">
        <v>1</v>
      </c>
      <c r="G1030">
        <v>1</v>
      </c>
    </row>
    <row r="1031" spans="1:7" x14ac:dyDescent="0.25">
      <c r="A1031" t="s">
        <v>693</v>
      </c>
      <c r="E1031">
        <v>2</v>
      </c>
      <c r="G1031">
        <v>2</v>
      </c>
    </row>
    <row r="1032" spans="1:7" x14ac:dyDescent="0.25">
      <c r="A1032" t="s">
        <v>288</v>
      </c>
      <c r="E1032">
        <v>1</v>
      </c>
      <c r="G1032">
        <v>1</v>
      </c>
    </row>
    <row r="1033" spans="1:7" x14ac:dyDescent="0.25">
      <c r="A1033" t="s">
        <v>367</v>
      </c>
      <c r="E1033">
        <v>1</v>
      </c>
      <c r="G1033">
        <v>1</v>
      </c>
    </row>
    <row r="1034" spans="1:7" x14ac:dyDescent="0.25">
      <c r="A1034" t="s">
        <v>694</v>
      </c>
      <c r="E1034">
        <v>3</v>
      </c>
      <c r="G1034">
        <v>3</v>
      </c>
    </row>
    <row r="1035" spans="1:7" x14ac:dyDescent="0.25">
      <c r="A1035" t="s">
        <v>290</v>
      </c>
      <c r="E1035">
        <v>1</v>
      </c>
      <c r="G1035">
        <v>1</v>
      </c>
    </row>
    <row r="1036" spans="1:7" x14ac:dyDescent="0.25">
      <c r="A1036" t="s">
        <v>291</v>
      </c>
      <c r="E1036">
        <v>1</v>
      </c>
      <c r="G1036">
        <v>1</v>
      </c>
    </row>
    <row r="1037" spans="1:7" x14ac:dyDescent="0.25">
      <c r="A1037" t="s">
        <v>493</v>
      </c>
      <c r="E1037">
        <v>1</v>
      </c>
      <c r="G1037">
        <v>1</v>
      </c>
    </row>
    <row r="1038" spans="1:7" x14ac:dyDescent="0.25">
      <c r="A1038" t="s">
        <v>695</v>
      </c>
      <c r="E1038">
        <v>3</v>
      </c>
      <c r="G1038">
        <v>3</v>
      </c>
    </row>
    <row r="1039" spans="1:7" x14ac:dyDescent="0.25">
      <c r="A1039" t="s">
        <v>289</v>
      </c>
      <c r="E1039">
        <v>1</v>
      </c>
      <c r="G1039">
        <v>1</v>
      </c>
    </row>
    <row r="1040" spans="1:7" x14ac:dyDescent="0.25">
      <c r="A1040" t="s">
        <v>290</v>
      </c>
      <c r="E1040">
        <v>1</v>
      </c>
      <c r="G1040">
        <v>1</v>
      </c>
    </row>
    <row r="1041" spans="1:7" x14ac:dyDescent="0.25">
      <c r="A1041" t="s">
        <v>493</v>
      </c>
      <c r="E1041">
        <v>1</v>
      </c>
      <c r="G1041">
        <v>1</v>
      </c>
    </row>
    <row r="1042" spans="1:7" x14ac:dyDescent="0.25">
      <c r="A1042" t="s">
        <v>696</v>
      </c>
      <c r="E1042">
        <v>2</v>
      </c>
      <c r="G1042">
        <v>2</v>
      </c>
    </row>
    <row r="1043" spans="1:7" x14ac:dyDescent="0.25">
      <c r="A1043" t="s">
        <v>288</v>
      </c>
      <c r="E1043">
        <v>1</v>
      </c>
      <c r="G1043">
        <v>1</v>
      </c>
    </row>
    <row r="1044" spans="1:7" x14ac:dyDescent="0.25">
      <c r="A1044" t="s">
        <v>490</v>
      </c>
      <c r="E1044">
        <v>1</v>
      </c>
      <c r="G1044">
        <v>1</v>
      </c>
    </row>
    <row r="1045" spans="1:7" x14ac:dyDescent="0.25">
      <c r="A1045" t="s">
        <v>697</v>
      </c>
      <c r="E1045">
        <v>3</v>
      </c>
      <c r="G1045">
        <v>3</v>
      </c>
    </row>
    <row r="1046" spans="1:7" x14ac:dyDescent="0.25">
      <c r="A1046" t="s">
        <v>377</v>
      </c>
      <c r="E1046">
        <v>1</v>
      </c>
      <c r="G1046">
        <v>1</v>
      </c>
    </row>
    <row r="1047" spans="1:7" x14ac:dyDescent="0.25">
      <c r="A1047" t="s">
        <v>288</v>
      </c>
      <c r="E1047">
        <v>1</v>
      </c>
      <c r="G1047">
        <v>1</v>
      </c>
    </row>
    <row r="1048" spans="1:7" x14ac:dyDescent="0.25">
      <c r="A1048" t="s">
        <v>659</v>
      </c>
      <c r="E1048">
        <v>1</v>
      </c>
      <c r="G1048">
        <v>1</v>
      </c>
    </row>
    <row r="1049" spans="1:7" x14ac:dyDescent="0.25">
      <c r="A1049" t="s">
        <v>698</v>
      </c>
      <c r="E1049">
        <v>5</v>
      </c>
      <c r="G1049">
        <v>5</v>
      </c>
    </row>
    <row r="1050" spans="1:7" x14ac:dyDescent="0.25">
      <c r="A1050" t="s">
        <v>377</v>
      </c>
      <c r="E1050">
        <v>1</v>
      </c>
      <c r="G1050">
        <v>1</v>
      </c>
    </row>
    <row r="1051" spans="1:7" x14ac:dyDescent="0.25">
      <c r="A1051" t="s">
        <v>289</v>
      </c>
      <c r="E1051">
        <v>1</v>
      </c>
      <c r="G1051">
        <v>1</v>
      </c>
    </row>
    <row r="1052" spans="1:7" x14ac:dyDescent="0.25">
      <c r="A1052" t="s">
        <v>290</v>
      </c>
      <c r="E1052">
        <v>1</v>
      </c>
      <c r="G1052">
        <v>1</v>
      </c>
    </row>
    <row r="1053" spans="1:7" x14ac:dyDescent="0.25">
      <c r="A1053" t="s">
        <v>291</v>
      </c>
      <c r="E1053">
        <v>1</v>
      </c>
      <c r="G1053">
        <v>1</v>
      </c>
    </row>
    <row r="1054" spans="1:7" x14ac:dyDescent="0.25">
      <c r="A1054" t="s">
        <v>493</v>
      </c>
      <c r="E1054">
        <v>1</v>
      </c>
      <c r="G1054">
        <v>1</v>
      </c>
    </row>
    <row r="1055" spans="1:7" x14ac:dyDescent="0.25">
      <c r="A1055" t="s">
        <v>699</v>
      </c>
      <c r="E1055">
        <v>5</v>
      </c>
      <c r="G1055">
        <v>5</v>
      </c>
    </row>
    <row r="1056" spans="1:7" x14ac:dyDescent="0.25">
      <c r="A1056" t="s">
        <v>377</v>
      </c>
      <c r="E1056">
        <v>1</v>
      </c>
      <c r="G1056">
        <v>1</v>
      </c>
    </row>
    <row r="1057" spans="1:7" x14ac:dyDescent="0.25">
      <c r="A1057" t="s">
        <v>289</v>
      </c>
      <c r="E1057">
        <v>1</v>
      </c>
      <c r="G1057">
        <v>1</v>
      </c>
    </row>
    <row r="1058" spans="1:7" x14ac:dyDescent="0.25">
      <c r="A1058" t="s">
        <v>290</v>
      </c>
      <c r="E1058">
        <v>1</v>
      </c>
      <c r="G1058">
        <v>1</v>
      </c>
    </row>
    <row r="1059" spans="1:7" x14ac:dyDescent="0.25">
      <c r="A1059" t="s">
        <v>291</v>
      </c>
      <c r="E1059">
        <v>1</v>
      </c>
      <c r="G1059">
        <v>1</v>
      </c>
    </row>
    <row r="1060" spans="1:7" x14ac:dyDescent="0.25">
      <c r="A1060" t="s">
        <v>493</v>
      </c>
      <c r="E1060">
        <v>1</v>
      </c>
      <c r="G1060">
        <v>1</v>
      </c>
    </row>
    <row r="1061" spans="1:7" x14ac:dyDescent="0.25">
      <c r="A1061" t="s">
        <v>700</v>
      </c>
      <c r="E1061">
        <v>2</v>
      </c>
      <c r="G1061">
        <v>2</v>
      </c>
    </row>
    <row r="1062" spans="1:7" x14ac:dyDescent="0.25">
      <c r="A1062" t="s">
        <v>288</v>
      </c>
      <c r="E1062">
        <v>1</v>
      </c>
      <c r="G1062">
        <v>1</v>
      </c>
    </row>
    <row r="1063" spans="1:7" x14ac:dyDescent="0.25">
      <c r="A1063" t="s">
        <v>380</v>
      </c>
      <c r="E1063">
        <v>1</v>
      </c>
      <c r="G1063">
        <v>1</v>
      </c>
    </row>
    <row r="1064" spans="1:7" x14ac:dyDescent="0.25">
      <c r="A1064" t="s">
        <v>701</v>
      </c>
      <c r="E1064">
        <v>5</v>
      </c>
      <c r="G1064">
        <v>5</v>
      </c>
    </row>
    <row r="1065" spans="1:7" x14ac:dyDescent="0.25">
      <c r="A1065" t="s">
        <v>377</v>
      </c>
      <c r="E1065">
        <v>1</v>
      </c>
      <c r="G1065">
        <v>1</v>
      </c>
    </row>
    <row r="1066" spans="1:7" x14ac:dyDescent="0.25">
      <c r="A1066" t="s">
        <v>289</v>
      </c>
      <c r="E1066">
        <v>1</v>
      </c>
      <c r="G1066">
        <v>1</v>
      </c>
    </row>
    <row r="1067" spans="1:7" x14ac:dyDescent="0.25">
      <c r="A1067" t="s">
        <v>290</v>
      </c>
      <c r="E1067">
        <v>1</v>
      </c>
      <c r="G1067">
        <v>1</v>
      </c>
    </row>
    <row r="1068" spans="1:7" x14ac:dyDescent="0.25">
      <c r="A1068" t="s">
        <v>291</v>
      </c>
      <c r="E1068">
        <v>1</v>
      </c>
      <c r="G1068">
        <v>1</v>
      </c>
    </row>
    <row r="1069" spans="1:7" x14ac:dyDescent="0.25">
      <c r="A1069" t="s">
        <v>493</v>
      </c>
      <c r="E1069">
        <v>1</v>
      </c>
      <c r="G1069">
        <v>1</v>
      </c>
    </row>
    <row r="1070" spans="1:7" x14ac:dyDescent="0.25">
      <c r="A1070" t="s">
        <v>702</v>
      </c>
      <c r="E1070">
        <v>3</v>
      </c>
      <c r="G1070">
        <v>3</v>
      </c>
    </row>
    <row r="1071" spans="1:7" x14ac:dyDescent="0.25">
      <c r="A1071" t="s">
        <v>377</v>
      </c>
      <c r="E1071">
        <v>1</v>
      </c>
      <c r="G1071">
        <v>1</v>
      </c>
    </row>
    <row r="1072" spans="1:7" x14ac:dyDescent="0.25">
      <c r="A1072" t="s">
        <v>288</v>
      </c>
      <c r="E1072">
        <v>1</v>
      </c>
      <c r="G1072">
        <v>1</v>
      </c>
    </row>
    <row r="1073" spans="1:7" x14ac:dyDescent="0.25">
      <c r="A1073" t="s">
        <v>493</v>
      </c>
      <c r="E1073">
        <v>1</v>
      </c>
      <c r="G1073">
        <v>1</v>
      </c>
    </row>
    <row r="1074" spans="1:7" x14ac:dyDescent="0.25">
      <c r="A1074" t="s">
        <v>703</v>
      </c>
      <c r="E1074">
        <v>5</v>
      </c>
      <c r="G1074">
        <v>5</v>
      </c>
    </row>
    <row r="1075" spans="1:7" x14ac:dyDescent="0.25">
      <c r="A1075" t="s">
        <v>377</v>
      </c>
      <c r="E1075">
        <v>1</v>
      </c>
      <c r="G1075">
        <v>1</v>
      </c>
    </row>
    <row r="1076" spans="1:7" x14ac:dyDescent="0.25">
      <c r="A1076" t="s">
        <v>289</v>
      </c>
      <c r="E1076">
        <v>1</v>
      </c>
      <c r="G1076">
        <v>1</v>
      </c>
    </row>
    <row r="1077" spans="1:7" x14ac:dyDescent="0.25">
      <c r="A1077" t="s">
        <v>290</v>
      </c>
      <c r="E1077">
        <v>1</v>
      </c>
      <c r="G1077">
        <v>1</v>
      </c>
    </row>
    <row r="1078" spans="1:7" x14ac:dyDescent="0.25">
      <c r="A1078" t="s">
        <v>291</v>
      </c>
      <c r="E1078">
        <v>1</v>
      </c>
      <c r="G1078">
        <v>1</v>
      </c>
    </row>
    <row r="1079" spans="1:7" x14ac:dyDescent="0.25">
      <c r="A1079" t="s">
        <v>493</v>
      </c>
      <c r="E1079">
        <v>1</v>
      </c>
      <c r="G1079">
        <v>1</v>
      </c>
    </row>
    <row r="1080" spans="1:7" x14ac:dyDescent="0.25">
      <c r="A1080" t="s">
        <v>704</v>
      </c>
      <c r="E1080">
        <v>2</v>
      </c>
      <c r="G1080">
        <v>2</v>
      </c>
    </row>
    <row r="1081" spans="1:7" x14ac:dyDescent="0.25">
      <c r="A1081" t="s">
        <v>291</v>
      </c>
      <c r="E1081">
        <v>1</v>
      </c>
      <c r="G1081">
        <v>1</v>
      </c>
    </row>
    <row r="1082" spans="1:7" x14ac:dyDescent="0.25">
      <c r="A1082" t="s">
        <v>367</v>
      </c>
      <c r="E1082">
        <v>1</v>
      </c>
      <c r="G1082">
        <v>1</v>
      </c>
    </row>
    <row r="1083" spans="1:7" x14ac:dyDescent="0.25">
      <c r="A1083" t="s">
        <v>705</v>
      </c>
      <c r="E1083">
        <v>3</v>
      </c>
      <c r="G1083">
        <v>3</v>
      </c>
    </row>
    <row r="1084" spans="1:7" x14ac:dyDescent="0.25">
      <c r="A1084" t="s">
        <v>377</v>
      </c>
      <c r="E1084">
        <v>1</v>
      </c>
      <c r="G1084">
        <v>1</v>
      </c>
    </row>
    <row r="1085" spans="1:7" x14ac:dyDescent="0.25">
      <c r="A1085" t="s">
        <v>289</v>
      </c>
      <c r="E1085">
        <v>1</v>
      </c>
      <c r="G1085">
        <v>1</v>
      </c>
    </row>
    <row r="1086" spans="1:7" x14ac:dyDescent="0.25">
      <c r="A1086" t="s">
        <v>493</v>
      </c>
      <c r="E1086">
        <v>1</v>
      </c>
      <c r="G1086">
        <v>1</v>
      </c>
    </row>
    <row r="1087" spans="1:7" x14ac:dyDescent="0.25">
      <c r="A1087" t="s">
        <v>706</v>
      </c>
      <c r="E1087">
        <v>3</v>
      </c>
      <c r="G1087">
        <v>3</v>
      </c>
    </row>
    <row r="1088" spans="1:7" x14ac:dyDescent="0.25">
      <c r="A1088" t="s">
        <v>377</v>
      </c>
      <c r="E1088">
        <v>1</v>
      </c>
      <c r="G1088">
        <v>1</v>
      </c>
    </row>
    <row r="1089" spans="1:7" x14ac:dyDescent="0.25">
      <c r="A1089" t="s">
        <v>288</v>
      </c>
      <c r="E1089">
        <v>1</v>
      </c>
      <c r="G1089">
        <v>1</v>
      </c>
    </row>
    <row r="1090" spans="1:7" x14ac:dyDescent="0.25">
      <c r="A1090" t="s">
        <v>493</v>
      </c>
      <c r="E1090">
        <v>1</v>
      </c>
      <c r="G1090">
        <v>1</v>
      </c>
    </row>
    <row r="1091" spans="1:7" x14ac:dyDescent="0.25">
      <c r="A1091" t="s">
        <v>707</v>
      </c>
      <c r="E1091">
        <v>3</v>
      </c>
      <c r="G1091">
        <v>3</v>
      </c>
    </row>
    <row r="1092" spans="1:7" x14ac:dyDescent="0.25">
      <c r="A1092" t="s">
        <v>290</v>
      </c>
      <c r="E1092">
        <v>1</v>
      </c>
      <c r="G1092">
        <v>1</v>
      </c>
    </row>
    <row r="1093" spans="1:7" x14ac:dyDescent="0.25">
      <c r="A1093" t="s">
        <v>291</v>
      </c>
      <c r="E1093">
        <v>1</v>
      </c>
      <c r="G1093">
        <v>1</v>
      </c>
    </row>
    <row r="1094" spans="1:7" x14ac:dyDescent="0.25">
      <c r="A1094" t="s">
        <v>380</v>
      </c>
      <c r="E1094">
        <v>1</v>
      </c>
      <c r="G1094">
        <v>1</v>
      </c>
    </row>
    <row r="1095" spans="1:7" x14ac:dyDescent="0.25">
      <c r="A1095" t="s">
        <v>708</v>
      </c>
      <c r="E1095">
        <v>5</v>
      </c>
      <c r="G1095">
        <v>5</v>
      </c>
    </row>
    <row r="1096" spans="1:7" x14ac:dyDescent="0.25">
      <c r="A1096" t="s">
        <v>377</v>
      </c>
      <c r="E1096">
        <v>1</v>
      </c>
      <c r="G1096">
        <v>1</v>
      </c>
    </row>
    <row r="1097" spans="1:7" x14ac:dyDescent="0.25">
      <c r="A1097" t="s">
        <v>289</v>
      </c>
      <c r="E1097">
        <v>1</v>
      </c>
      <c r="G1097">
        <v>1</v>
      </c>
    </row>
    <row r="1098" spans="1:7" x14ac:dyDescent="0.25">
      <c r="A1098" t="s">
        <v>290</v>
      </c>
      <c r="E1098">
        <v>1</v>
      </c>
      <c r="G1098">
        <v>1</v>
      </c>
    </row>
    <row r="1099" spans="1:7" x14ac:dyDescent="0.25">
      <c r="A1099" t="s">
        <v>291</v>
      </c>
      <c r="E1099">
        <v>1</v>
      </c>
      <c r="G1099">
        <v>1</v>
      </c>
    </row>
    <row r="1100" spans="1:7" x14ac:dyDescent="0.25">
      <c r="A1100" t="s">
        <v>493</v>
      </c>
      <c r="E1100">
        <v>1</v>
      </c>
      <c r="G1100">
        <v>1</v>
      </c>
    </row>
    <row r="1101" spans="1:7" x14ac:dyDescent="0.25">
      <c r="A1101" t="s">
        <v>709</v>
      </c>
      <c r="E1101">
        <v>2</v>
      </c>
      <c r="G1101">
        <v>2</v>
      </c>
    </row>
    <row r="1102" spans="1:7" x14ac:dyDescent="0.25">
      <c r="A1102" t="s">
        <v>289</v>
      </c>
      <c r="E1102">
        <v>1</v>
      </c>
      <c r="G1102">
        <v>1</v>
      </c>
    </row>
    <row r="1103" spans="1:7" x14ac:dyDescent="0.25">
      <c r="A1103" t="s">
        <v>493</v>
      </c>
      <c r="E1103">
        <v>1</v>
      </c>
      <c r="G1103">
        <v>1</v>
      </c>
    </row>
    <row r="1104" spans="1:7" x14ac:dyDescent="0.25">
      <c r="A1104" t="s">
        <v>710</v>
      </c>
      <c r="E1104">
        <v>4</v>
      </c>
      <c r="G1104">
        <v>4</v>
      </c>
    </row>
    <row r="1105" spans="1:7" x14ac:dyDescent="0.25">
      <c r="A1105" t="s">
        <v>377</v>
      </c>
      <c r="E1105">
        <v>1</v>
      </c>
      <c r="G1105">
        <v>1</v>
      </c>
    </row>
    <row r="1106" spans="1:7" x14ac:dyDescent="0.25">
      <c r="A1106" t="s">
        <v>290</v>
      </c>
      <c r="E1106">
        <v>1</v>
      </c>
      <c r="G1106">
        <v>1</v>
      </c>
    </row>
    <row r="1107" spans="1:7" x14ac:dyDescent="0.25">
      <c r="A1107" t="s">
        <v>291</v>
      </c>
      <c r="E1107">
        <v>1</v>
      </c>
      <c r="G1107">
        <v>1</v>
      </c>
    </row>
    <row r="1108" spans="1:7" x14ac:dyDescent="0.25">
      <c r="A1108" t="s">
        <v>493</v>
      </c>
      <c r="E1108">
        <v>1</v>
      </c>
      <c r="G1108">
        <v>1</v>
      </c>
    </row>
    <row r="1109" spans="1:7" x14ac:dyDescent="0.25">
      <c r="A1109" t="s">
        <v>711</v>
      </c>
      <c r="E1109">
        <v>6</v>
      </c>
      <c r="G1109">
        <v>6</v>
      </c>
    </row>
    <row r="1110" spans="1:7" x14ac:dyDescent="0.25">
      <c r="A1110" t="s">
        <v>377</v>
      </c>
      <c r="E1110">
        <v>1</v>
      </c>
      <c r="G1110">
        <v>1</v>
      </c>
    </row>
    <row r="1111" spans="1:7" x14ac:dyDescent="0.25">
      <c r="A1111" t="s">
        <v>385</v>
      </c>
      <c r="E1111">
        <v>1</v>
      </c>
      <c r="G1111">
        <v>1</v>
      </c>
    </row>
    <row r="1112" spans="1:7" x14ac:dyDescent="0.25">
      <c r="A1112" t="s">
        <v>289</v>
      </c>
      <c r="E1112">
        <v>1</v>
      </c>
      <c r="G1112">
        <v>1</v>
      </c>
    </row>
    <row r="1113" spans="1:7" x14ac:dyDescent="0.25">
      <c r="A1113" t="s">
        <v>290</v>
      </c>
      <c r="E1113">
        <v>1</v>
      </c>
      <c r="G1113">
        <v>1</v>
      </c>
    </row>
    <row r="1114" spans="1:7" x14ac:dyDescent="0.25">
      <c r="A1114" t="s">
        <v>291</v>
      </c>
      <c r="E1114">
        <v>1</v>
      </c>
      <c r="G1114">
        <v>1</v>
      </c>
    </row>
    <row r="1115" spans="1:7" x14ac:dyDescent="0.25">
      <c r="A1115" t="s">
        <v>493</v>
      </c>
      <c r="E1115">
        <v>1</v>
      </c>
      <c r="G1115">
        <v>1</v>
      </c>
    </row>
    <row r="1116" spans="1:7" x14ac:dyDescent="0.25">
      <c r="A1116" t="s">
        <v>712</v>
      </c>
      <c r="E1116">
        <v>2</v>
      </c>
      <c r="G1116">
        <v>2</v>
      </c>
    </row>
    <row r="1117" spans="1:7" x14ac:dyDescent="0.25">
      <c r="A1117" t="s">
        <v>288</v>
      </c>
      <c r="E1117">
        <v>1</v>
      </c>
      <c r="G1117">
        <v>1</v>
      </c>
    </row>
    <row r="1118" spans="1:7" x14ac:dyDescent="0.25">
      <c r="A1118" t="s">
        <v>380</v>
      </c>
      <c r="E1118">
        <v>1</v>
      </c>
      <c r="G1118">
        <v>1</v>
      </c>
    </row>
    <row r="1119" spans="1:7" x14ac:dyDescent="0.25">
      <c r="A1119" t="s">
        <v>713</v>
      </c>
      <c r="E1119">
        <v>3</v>
      </c>
      <c r="G1119">
        <v>3</v>
      </c>
    </row>
    <row r="1120" spans="1:7" x14ac:dyDescent="0.25">
      <c r="A1120" t="s">
        <v>289</v>
      </c>
      <c r="E1120">
        <v>1</v>
      </c>
      <c r="G1120">
        <v>1</v>
      </c>
    </row>
    <row r="1121" spans="1:7" x14ac:dyDescent="0.25">
      <c r="A1121" t="s">
        <v>290</v>
      </c>
      <c r="E1121">
        <v>1</v>
      </c>
      <c r="G1121">
        <v>1</v>
      </c>
    </row>
    <row r="1122" spans="1:7" x14ac:dyDescent="0.25">
      <c r="A1122" t="s">
        <v>493</v>
      </c>
      <c r="E1122">
        <v>1</v>
      </c>
      <c r="G1122">
        <v>1</v>
      </c>
    </row>
    <row r="1123" spans="1:7" x14ac:dyDescent="0.25">
      <c r="A1123" t="s">
        <v>714</v>
      </c>
      <c r="E1123">
        <v>5</v>
      </c>
      <c r="G1123">
        <v>5</v>
      </c>
    </row>
    <row r="1124" spans="1:7" x14ac:dyDescent="0.25">
      <c r="A1124" t="s">
        <v>377</v>
      </c>
      <c r="E1124">
        <v>1</v>
      </c>
      <c r="G1124">
        <v>1</v>
      </c>
    </row>
    <row r="1125" spans="1:7" x14ac:dyDescent="0.25">
      <c r="A1125" t="s">
        <v>289</v>
      </c>
      <c r="E1125">
        <v>1</v>
      </c>
      <c r="G1125">
        <v>1</v>
      </c>
    </row>
    <row r="1126" spans="1:7" x14ac:dyDescent="0.25">
      <c r="A1126" t="s">
        <v>290</v>
      </c>
      <c r="E1126">
        <v>1</v>
      </c>
      <c r="G1126">
        <v>1</v>
      </c>
    </row>
    <row r="1127" spans="1:7" x14ac:dyDescent="0.25">
      <c r="A1127" t="s">
        <v>291</v>
      </c>
      <c r="E1127">
        <v>1</v>
      </c>
      <c r="G1127">
        <v>1</v>
      </c>
    </row>
    <row r="1128" spans="1:7" x14ac:dyDescent="0.25">
      <c r="A1128" t="s">
        <v>493</v>
      </c>
      <c r="E1128">
        <v>1</v>
      </c>
      <c r="G1128">
        <v>1</v>
      </c>
    </row>
    <row r="1129" spans="1:7" x14ac:dyDescent="0.25">
      <c r="A1129" t="s">
        <v>715</v>
      </c>
      <c r="E1129">
        <v>3</v>
      </c>
      <c r="G1129">
        <v>3</v>
      </c>
    </row>
    <row r="1130" spans="1:7" x14ac:dyDescent="0.25">
      <c r="A1130" t="s">
        <v>377</v>
      </c>
      <c r="E1130">
        <v>1</v>
      </c>
      <c r="G1130">
        <v>1</v>
      </c>
    </row>
    <row r="1131" spans="1:7" x14ac:dyDescent="0.25">
      <c r="A1131" t="s">
        <v>292</v>
      </c>
      <c r="E1131">
        <v>1</v>
      </c>
      <c r="G1131">
        <v>1</v>
      </c>
    </row>
    <row r="1132" spans="1:7" x14ac:dyDescent="0.25">
      <c r="A1132" t="s">
        <v>380</v>
      </c>
      <c r="E1132">
        <v>1</v>
      </c>
      <c r="G1132">
        <v>1</v>
      </c>
    </row>
    <row r="1133" spans="1:7" x14ac:dyDescent="0.25">
      <c r="A1133" t="s">
        <v>716</v>
      </c>
      <c r="E1133">
        <v>2</v>
      </c>
      <c r="G1133">
        <v>2</v>
      </c>
    </row>
    <row r="1134" spans="1:7" x14ac:dyDescent="0.25">
      <c r="A1134" t="s">
        <v>288</v>
      </c>
      <c r="E1134">
        <v>1</v>
      </c>
      <c r="G1134">
        <v>1</v>
      </c>
    </row>
    <row r="1135" spans="1:7" x14ac:dyDescent="0.25">
      <c r="A1135" t="s">
        <v>380</v>
      </c>
      <c r="E1135">
        <v>1</v>
      </c>
      <c r="G1135">
        <v>1</v>
      </c>
    </row>
    <row r="1136" spans="1:7" x14ac:dyDescent="0.25">
      <c r="A1136" t="s">
        <v>717</v>
      </c>
      <c r="E1136">
        <v>4</v>
      </c>
      <c r="G1136">
        <v>4</v>
      </c>
    </row>
    <row r="1137" spans="1:7" x14ac:dyDescent="0.25">
      <c r="A1137" t="s">
        <v>377</v>
      </c>
      <c r="E1137">
        <v>1</v>
      </c>
      <c r="G1137">
        <v>1</v>
      </c>
    </row>
    <row r="1138" spans="1:7" x14ac:dyDescent="0.25">
      <c r="A1138" t="s">
        <v>289</v>
      </c>
      <c r="E1138">
        <v>1</v>
      </c>
      <c r="G1138">
        <v>1</v>
      </c>
    </row>
    <row r="1139" spans="1:7" x14ac:dyDescent="0.25">
      <c r="A1139" t="s">
        <v>288</v>
      </c>
      <c r="E1139">
        <v>1</v>
      </c>
      <c r="G1139">
        <v>1</v>
      </c>
    </row>
    <row r="1140" spans="1:7" x14ac:dyDescent="0.25">
      <c r="A1140" t="s">
        <v>380</v>
      </c>
      <c r="E1140">
        <v>1</v>
      </c>
      <c r="G1140">
        <v>1</v>
      </c>
    </row>
    <row r="1141" spans="1:7" x14ac:dyDescent="0.25">
      <c r="A1141" t="s">
        <v>718</v>
      </c>
      <c r="E1141">
        <v>3</v>
      </c>
      <c r="G1141">
        <v>3</v>
      </c>
    </row>
    <row r="1142" spans="1:7" x14ac:dyDescent="0.25">
      <c r="A1142" t="s">
        <v>377</v>
      </c>
      <c r="E1142">
        <v>1</v>
      </c>
      <c r="G1142">
        <v>1</v>
      </c>
    </row>
    <row r="1143" spans="1:7" x14ac:dyDescent="0.25">
      <c r="A1143" t="s">
        <v>292</v>
      </c>
      <c r="E1143">
        <v>1</v>
      </c>
      <c r="G1143">
        <v>1</v>
      </c>
    </row>
    <row r="1144" spans="1:7" x14ac:dyDescent="0.25">
      <c r="A1144" t="s">
        <v>380</v>
      </c>
      <c r="E1144">
        <v>1</v>
      </c>
      <c r="G1144">
        <v>1</v>
      </c>
    </row>
    <row r="1145" spans="1:7" x14ac:dyDescent="0.25">
      <c r="A1145" t="s">
        <v>719</v>
      </c>
      <c r="E1145">
        <v>4</v>
      </c>
      <c r="G1145">
        <v>4</v>
      </c>
    </row>
    <row r="1146" spans="1:7" x14ac:dyDescent="0.25">
      <c r="A1146" t="s">
        <v>289</v>
      </c>
      <c r="E1146">
        <v>1</v>
      </c>
      <c r="G1146">
        <v>1</v>
      </c>
    </row>
    <row r="1147" spans="1:7" x14ac:dyDescent="0.25">
      <c r="A1147" t="s">
        <v>290</v>
      </c>
      <c r="E1147">
        <v>1</v>
      </c>
      <c r="G1147">
        <v>1</v>
      </c>
    </row>
    <row r="1148" spans="1:7" x14ac:dyDescent="0.25">
      <c r="A1148" t="s">
        <v>291</v>
      </c>
      <c r="E1148">
        <v>1</v>
      </c>
      <c r="G1148">
        <v>1</v>
      </c>
    </row>
    <row r="1149" spans="1:7" x14ac:dyDescent="0.25">
      <c r="A1149" t="s">
        <v>380</v>
      </c>
      <c r="E1149">
        <v>1</v>
      </c>
      <c r="G1149">
        <v>1</v>
      </c>
    </row>
    <row r="1150" spans="1:7" x14ac:dyDescent="0.25">
      <c r="A1150" t="s">
        <v>720</v>
      </c>
      <c r="E1150">
        <v>2</v>
      </c>
      <c r="G1150">
        <v>2</v>
      </c>
    </row>
    <row r="1151" spans="1:7" x14ac:dyDescent="0.25">
      <c r="A1151" t="s">
        <v>288</v>
      </c>
      <c r="E1151">
        <v>1</v>
      </c>
      <c r="G1151">
        <v>1</v>
      </c>
    </row>
    <row r="1152" spans="1:7" x14ac:dyDescent="0.25">
      <c r="A1152" t="s">
        <v>380</v>
      </c>
      <c r="E1152">
        <v>1</v>
      </c>
      <c r="G1152">
        <v>1</v>
      </c>
    </row>
    <row r="1153" spans="1:7" x14ac:dyDescent="0.25">
      <c r="A1153" t="s">
        <v>721</v>
      </c>
      <c r="E1153">
        <v>3</v>
      </c>
      <c r="G1153">
        <v>3</v>
      </c>
    </row>
    <row r="1154" spans="1:7" x14ac:dyDescent="0.25">
      <c r="A1154" t="s">
        <v>289</v>
      </c>
      <c r="E1154">
        <v>1</v>
      </c>
      <c r="G1154">
        <v>1</v>
      </c>
    </row>
    <row r="1155" spans="1:7" x14ac:dyDescent="0.25">
      <c r="A1155" t="s">
        <v>291</v>
      </c>
      <c r="E1155">
        <v>1</v>
      </c>
      <c r="G1155">
        <v>1</v>
      </c>
    </row>
    <row r="1156" spans="1:7" x14ac:dyDescent="0.25">
      <c r="A1156" t="s">
        <v>380</v>
      </c>
      <c r="E1156">
        <v>1</v>
      </c>
      <c r="G1156">
        <v>1</v>
      </c>
    </row>
    <row r="1157" spans="1:7" x14ac:dyDescent="0.25">
      <c r="A1157" t="s">
        <v>722</v>
      </c>
      <c r="E1157">
        <v>2</v>
      </c>
      <c r="G1157">
        <v>2</v>
      </c>
    </row>
    <row r="1158" spans="1:7" x14ac:dyDescent="0.25">
      <c r="A1158" t="s">
        <v>288</v>
      </c>
      <c r="E1158">
        <v>1</v>
      </c>
      <c r="G1158">
        <v>1</v>
      </c>
    </row>
    <row r="1159" spans="1:7" x14ac:dyDescent="0.25">
      <c r="A1159" t="s">
        <v>367</v>
      </c>
      <c r="E1159">
        <v>1</v>
      </c>
      <c r="G1159">
        <v>1</v>
      </c>
    </row>
    <row r="1160" spans="1:7" x14ac:dyDescent="0.25">
      <c r="A1160" t="s">
        <v>723</v>
      </c>
      <c r="E1160">
        <v>2</v>
      </c>
      <c r="G1160">
        <v>2</v>
      </c>
    </row>
    <row r="1161" spans="1:7" x14ac:dyDescent="0.25">
      <c r="A1161" t="s">
        <v>288</v>
      </c>
      <c r="E1161">
        <v>1</v>
      </c>
      <c r="G1161">
        <v>1</v>
      </c>
    </row>
    <row r="1162" spans="1:7" x14ac:dyDescent="0.25">
      <c r="A1162" t="s">
        <v>380</v>
      </c>
      <c r="E1162">
        <v>1</v>
      </c>
      <c r="G1162">
        <v>1</v>
      </c>
    </row>
    <row r="1163" spans="1:7" x14ac:dyDescent="0.25">
      <c r="A1163" t="s">
        <v>724</v>
      </c>
      <c r="E1163">
        <v>3</v>
      </c>
      <c r="G1163">
        <v>3</v>
      </c>
    </row>
    <row r="1164" spans="1:7" x14ac:dyDescent="0.25">
      <c r="A1164" t="s">
        <v>377</v>
      </c>
      <c r="E1164">
        <v>1</v>
      </c>
      <c r="G1164">
        <v>1</v>
      </c>
    </row>
    <row r="1165" spans="1:7" x14ac:dyDescent="0.25">
      <c r="A1165" t="s">
        <v>290</v>
      </c>
      <c r="E1165">
        <v>1</v>
      </c>
      <c r="G1165">
        <v>1</v>
      </c>
    </row>
    <row r="1166" spans="1:7" x14ac:dyDescent="0.25">
      <c r="A1166" t="s">
        <v>380</v>
      </c>
      <c r="E1166">
        <v>1</v>
      </c>
      <c r="G1166">
        <v>1</v>
      </c>
    </row>
    <row r="1167" spans="1:7" x14ac:dyDescent="0.25">
      <c r="A1167" t="s">
        <v>725</v>
      </c>
      <c r="E1167">
        <v>2</v>
      </c>
      <c r="G1167">
        <v>2</v>
      </c>
    </row>
    <row r="1168" spans="1:7" x14ac:dyDescent="0.25">
      <c r="A1168" t="s">
        <v>288</v>
      </c>
      <c r="E1168">
        <v>1</v>
      </c>
      <c r="G1168">
        <v>1</v>
      </c>
    </row>
    <row r="1169" spans="1:7" x14ac:dyDescent="0.25">
      <c r="A1169" t="s">
        <v>367</v>
      </c>
      <c r="E1169">
        <v>1</v>
      </c>
      <c r="G1169">
        <v>1</v>
      </c>
    </row>
    <row r="1170" spans="1:7" x14ac:dyDescent="0.25">
      <c r="A1170" t="s">
        <v>726</v>
      </c>
      <c r="E1170">
        <v>2</v>
      </c>
      <c r="G1170">
        <v>2</v>
      </c>
    </row>
    <row r="1171" spans="1:7" x14ac:dyDescent="0.25">
      <c r="A1171" t="s">
        <v>288</v>
      </c>
      <c r="E1171">
        <v>1</v>
      </c>
      <c r="G1171">
        <v>1</v>
      </c>
    </row>
    <row r="1172" spans="1:7" x14ac:dyDescent="0.25">
      <c r="A1172" t="s">
        <v>380</v>
      </c>
      <c r="E1172">
        <v>1</v>
      </c>
      <c r="G1172">
        <v>1</v>
      </c>
    </row>
    <row r="1173" spans="1:7" x14ac:dyDescent="0.25">
      <c r="A1173" t="s">
        <v>727</v>
      </c>
      <c r="E1173">
        <v>2</v>
      </c>
      <c r="G1173">
        <v>2</v>
      </c>
    </row>
    <row r="1174" spans="1:7" x14ac:dyDescent="0.25">
      <c r="A1174" t="s">
        <v>291</v>
      </c>
      <c r="E1174">
        <v>1</v>
      </c>
      <c r="G1174">
        <v>1</v>
      </c>
    </row>
    <row r="1175" spans="1:7" x14ac:dyDescent="0.25">
      <c r="A1175" t="s">
        <v>380</v>
      </c>
      <c r="E1175">
        <v>1</v>
      </c>
      <c r="G1175">
        <v>1</v>
      </c>
    </row>
    <row r="1176" spans="1:7" x14ac:dyDescent="0.25">
      <c r="A1176" t="s">
        <v>728</v>
      </c>
      <c r="E1176">
        <v>3</v>
      </c>
      <c r="G1176">
        <v>3</v>
      </c>
    </row>
    <row r="1177" spans="1:7" x14ac:dyDescent="0.25">
      <c r="A1177" t="s">
        <v>290</v>
      </c>
      <c r="E1177">
        <v>1</v>
      </c>
      <c r="G1177">
        <v>1</v>
      </c>
    </row>
    <row r="1178" spans="1:7" x14ac:dyDescent="0.25">
      <c r="A1178" t="s">
        <v>288</v>
      </c>
      <c r="E1178">
        <v>1</v>
      </c>
      <c r="G1178">
        <v>1</v>
      </c>
    </row>
    <row r="1179" spans="1:7" x14ac:dyDescent="0.25">
      <c r="A1179" t="s">
        <v>367</v>
      </c>
      <c r="E1179">
        <v>1</v>
      </c>
      <c r="G1179">
        <v>1</v>
      </c>
    </row>
    <row r="1180" spans="1:7" x14ac:dyDescent="0.25">
      <c r="A1180" t="s">
        <v>729</v>
      </c>
      <c r="E1180">
        <v>2</v>
      </c>
      <c r="G1180">
        <v>2</v>
      </c>
    </row>
    <row r="1181" spans="1:7" x14ac:dyDescent="0.25">
      <c r="A1181" t="s">
        <v>288</v>
      </c>
      <c r="E1181">
        <v>1</v>
      </c>
      <c r="G1181">
        <v>1</v>
      </c>
    </row>
    <row r="1182" spans="1:7" x14ac:dyDescent="0.25">
      <c r="A1182" t="s">
        <v>380</v>
      </c>
      <c r="E1182">
        <v>1</v>
      </c>
      <c r="G1182">
        <v>1</v>
      </c>
    </row>
    <row r="1183" spans="1:7" x14ac:dyDescent="0.25">
      <c r="A1183" t="s">
        <v>730</v>
      </c>
      <c r="E1183">
        <v>3</v>
      </c>
      <c r="G1183">
        <v>3</v>
      </c>
    </row>
    <row r="1184" spans="1:7" x14ac:dyDescent="0.25">
      <c r="A1184" t="s">
        <v>377</v>
      </c>
      <c r="E1184">
        <v>1</v>
      </c>
      <c r="G1184">
        <v>1</v>
      </c>
    </row>
    <row r="1185" spans="1:7" x14ac:dyDescent="0.25">
      <c r="A1185" t="s">
        <v>292</v>
      </c>
      <c r="E1185">
        <v>1</v>
      </c>
      <c r="G1185">
        <v>1</v>
      </c>
    </row>
    <row r="1186" spans="1:7" x14ac:dyDescent="0.25">
      <c r="A1186" t="s">
        <v>659</v>
      </c>
      <c r="E1186">
        <v>1</v>
      </c>
      <c r="G1186">
        <v>1</v>
      </c>
    </row>
    <row r="1187" spans="1:7" x14ac:dyDescent="0.25">
      <c r="A1187" t="s">
        <v>731</v>
      </c>
      <c r="E1187">
        <v>3</v>
      </c>
      <c r="G1187">
        <v>3</v>
      </c>
    </row>
    <row r="1188" spans="1:7" x14ac:dyDescent="0.25">
      <c r="A1188" t="s">
        <v>377</v>
      </c>
      <c r="E1188">
        <v>1</v>
      </c>
      <c r="G1188">
        <v>1</v>
      </c>
    </row>
    <row r="1189" spans="1:7" x14ac:dyDescent="0.25">
      <c r="A1189" t="s">
        <v>288</v>
      </c>
      <c r="E1189">
        <v>1</v>
      </c>
      <c r="G1189">
        <v>1</v>
      </c>
    </row>
    <row r="1190" spans="1:7" x14ac:dyDescent="0.25">
      <c r="A1190" t="s">
        <v>380</v>
      </c>
      <c r="E1190">
        <v>1</v>
      </c>
      <c r="G1190">
        <v>1</v>
      </c>
    </row>
    <row r="1191" spans="1:7" x14ac:dyDescent="0.25">
      <c r="A1191" t="s">
        <v>732</v>
      </c>
      <c r="E1191">
        <v>2</v>
      </c>
      <c r="G1191">
        <v>2</v>
      </c>
    </row>
    <row r="1192" spans="1:7" x14ac:dyDescent="0.25">
      <c r="A1192" t="s">
        <v>288</v>
      </c>
      <c r="E1192">
        <v>1</v>
      </c>
      <c r="G1192">
        <v>1</v>
      </c>
    </row>
    <row r="1193" spans="1:7" x14ac:dyDescent="0.25">
      <c r="A1193" t="s">
        <v>380</v>
      </c>
      <c r="E1193">
        <v>1</v>
      </c>
      <c r="G1193">
        <v>1</v>
      </c>
    </row>
    <row r="1194" spans="1:7" x14ac:dyDescent="0.25">
      <c r="A1194" t="s">
        <v>733</v>
      </c>
      <c r="E1194">
        <v>2</v>
      </c>
      <c r="G1194">
        <v>2</v>
      </c>
    </row>
    <row r="1195" spans="1:7" x14ac:dyDescent="0.25">
      <c r="A1195" t="s">
        <v>288</v>
      </c>
      <c r="E1195">
        <v>1</v>
      </c>
      <c r="G1195">
        <v>1</v>
      </c>
    </row>
    <row r="1196" spans="1:7" x14ac:dyDescent="0.25">
      <c r="A1196" t="s">
        <v>380</v>
      </c>
      <c r="E1196">
        <v>1</v>
      </c>
      <c r="G1196">
        <v>1</v>
      </c>
    </row>
    <row r="1197" spans="1:7" x14ac:dyDescent="0.25">
      <c r="A1197" t="s">
        <v>734</v>
      </c>
      <c r="E1197">
        <v>2</v>
      </c>
      <c r="G1197">
        <v>2</v>
      </c>
    </row>
    <row r="1198" spans="1:7" x14ac:dyDescent="0.25">
      <c r="A1198" t="s">
        <v>290</v>
      </c>
      <c r="E1198">
        <v>1</v>
      </c>
      <c r="G1198">
        <v>1</v>
      </c>
    </row>
    <row r="1199" spans="1:7" x14ac:dyDescent="0.25">
      <c r="A1199" t="s">
        <v>380</v>
      </c>
      <c r="E1199">
        <v>1</v>
      </c>
      <c r="G1199">
        <v>1</v>
      </c>
    </row>
    <row r="1200" spans="1:7" x14ac:dyDescent="0.25">
      <c r="A1200" t="s">
        <v>735</v>
      </c>
      <c r="E1200">
        <v>2</v>
      </c>
      <c r="G1200">
        <v>2</v>
      </c>
    </row>
    <row r="1201" spans="1:7" x14ac:dyDescent="0.25">
      <c r="A1201" t="s">
        <v>292</v>
      </c>
      <c r="E1201">
        <v>1</v>
      </c>
      <c r="G1201">
        <v>1</v>
      </c>
    </row>
    <row r="1202" spans="1:7" x14ac:dyDescent="0.25">
      <c r="A1202" t="s">
        <v>367</v>
      </c>
      <c r="E1202">
        <v>1</v>
      </c>
      <c r="G1202">
        <v>1</v>
      </c>
    </row>
    <row r="1203" spans="1:7" x14ac:dyDescent="0.25">
      <c r="A1203" t="s">
        <v>736</v>
      </c>
      <c r="E1203">
        <v>2</v>
      </c>
      <c r="G1203">
        <v>2</v>
      </c>
    </row>
    <row r="1204" spans="1:7" x14ac:dyDescent="0.25">
      <c r="A1204" t="s">
        <v>288</v>
      </c>
      <c r="E1204">
        <v>1</v>
      </c>
      <c r="G1204">
        <v>1</v>
      </c>
    </row>
    <row r="1205" spans="1:7" x14ac:dyDescent="0.25">
      <c r="A1205" t="s">
        <v>380</v>
      </c>
      <c r="E1205">
        <v>1</v>
      </c>
      <c r="G1205">
        <v>1</v>
      </c>
    </row>
    <row r="1206" spans="1:7" x14ac:dyDescent="0.25">
      <c r="A1206" t="s">
        <v>737</v>
      </c>
      <c r="E1206">
        <v>5</v>
      </c>
      <c r="G1206">
        <v>5</v>
      </c>
    </row>
    <row r="1207" spans="1:7" x14ac:dyDescent="0.25">
      <c r="A1207" t="s">
        <v>289</v>
      </c>
      <c r="E1207">
        <v>1</v>
      </c>
      <c r="G1207">
        <v>1</v>
      </c>
    </row>
    <row r="1208" spans="1:7" x14ac:dyDescent="0.25">
      <c r="A1208" t="s">
        <v>290</v>
      </c>
      <c r="E1208">
        <v>1</v>
      </c>
      <c r="G1208">
        <v>1</v>
      </c>
    </row>
    <row r="1209" spans="1:7" x14ac:dyDescent="0.25">
      <c r="A1209" t="s">
        <v>291</v>
      </c>
      <c r="E1209">
        <v>1</v>
      </c>
      <c r="G1209">
        <v>1</v>
      </c>
    </row>
    <row r="1210" spans="1:7" x14ac:dyDescent="0.25">
      <c r="A1210" t="s">
        <v>288</v>
      </c>
      <c r="E1210">
        <v>1</v>
      </c>
      <c r="G1210">
        <v>1</v>
      </c>
    </row>
    <row r="1211" spans="1:7" x14ac:dyDescent="0.25">
      <c r="A1211" t="s">
        <v>380</v>
      </c>
      <c r="E1211">
        <v>1</v>
      </c>
      <c r="G1211">
        <v>1</v>
      </c>
    </row>
    <row r="1212" spans="1:7" x14ac:dyDescent="0.25">
      <c r="A1212" t="s">
        <v>738</v>
      </c>
      <c r="E1212">
        <v>2</v>
      </c>
      <c r="G1212">
        <v>2</v>
      </c>
    </row>
    <row r="1213" spans="1:7" x14ac:dyDescent="0.25">
      <c r="A1213" t="s">
        <v>292</v>
      </c>
      <c r="E1213">
        <v>1</v>
      </c>
      <c r="G1213">
        <v>1</v>
      </c>
    </row>
    <row r="1214" spans="1:7" x14ac:dyDescent="0.25">
      <c r="A1214" t="s">
        <v>367</v>
      </c>
      <c r="E1214">
        <v>1</v>
      </c>
      <c r="G1214">
        <v>1</v>
      </c>
    </row>
    <row r="1215" spans="1:7" x14ac:dyDescent="0.25">
      <c r="A1215" t="s">
        <v>739</v>
      </c>
      <c r="E1215">
        <v>2</v>
      </c>
      <c r="G1215">
        <v>2</v>
      </c>
    </row>
    <row r="1216" spans="1:7" x14ac:dyDescent="0.25">
      <c r="A1216" t="s">
        <v>292</v>
      </c>
      <c r="E1216">
        <v>1</v>
      </c>
      <c r="G1216">
        <v>1</v>
      </c>
    </row>
    <row r="1217" spans="1:7" x14ac:dyDescent="0.25">
      <c r="A1217" t="s">
        <v>367</v>
      </c>
      <c r="E1217">
        <v>1</v>
      </c>
      <c r="G1217">
        <v>1</v>
      </c>
    </row>
    <row r="1218" spans="1:7" x14ac:dyDescent="0.25">
      <c r="A1218" t="s">
        <v>740</v>
      </c>
      <c r="E1218">
        <v>2</v>
      </c>
      <c r="G1218">
        <v>2</v>
      </c>
    </row>
    <row r="1219" spans="1:7" x14ac:dyDescent="0.25">
      <c r="A1219" t="s">
        <v>292</v>
      </c>
      <c r="E1219">
        <v>1</v>
      </c>
      <c r="G1219">
        <v>1</v>
      </c>
    </row>
    <row r="1220" spans="1:7" x14ac:dyDescent="0.25">
      <c r="A1220" t="s">
        <v>380</v>
      </c>
      <c r="E1220">
        <v>1</v>
      </c>
      <c r="G1220">
        <v>1</v>
      </c>
    </row>
    <row r="1221" spans="1:7" x14ac:dyDescent="0.25">
      <c r="A1221" t="s">
        <v>741</v>
      </c>
      <c r="E1221">
        <v>2</v>
      </c>
      <c r="G1221">
        <v>2</v>
      </c>
    </row>
    <row r="1222" spans="1:7" x14ac:dyDescent="0.25">
      <c r="A1222" t="s">
        <v>292</v>
      </c>
      <c r="E1222">
        <v>1</v>
      </c>
      <c r="G1222">
        <v>1</v>
      </c>
    </row>
    <row r="1223" spans="1:7" x14ac:dyDescent="0.25">
      <c r="A1223" t="s">
        <v>367</v>
      </c>
      <c r="E1223">
        <v>1</v>
      </c>
      <c r="G1223">
        <v>1</v>
      </c>
    </row>
    <row r="1224" spans="1:7" x14ac:dyDescent="0.25">
      <c r="A1224" t="s">
        <v>742</v>
      </c>
      <c r="E1224">
        <v>3</v>
      </c>
      <c r="G1224">
        <v>3</v>
      </c>
    </row>
    <row r="1225" spans="1:7" x14ac:dyDescent="0.25">
      <c r="A1225" t="s">
        <v>377</v>
      </c>
      <c r="E1225">
        <v>1</v>
      </c>
      <c r="G1225">
        <v>1</v>
      </c>
    </row>
    <row r="1226" spans="1:7" x14ac:dyDescent="0.25">
      <c r="A1226" t="s">
        <v>292</v>
      </c>
      <c r="E1226">
        <v>1</v>
      </c>
      <c r="G1226">
        <v>1</v>
      </c>
    </row>
    <row r="1227" spans="1:7" x14ac:dyDescent="0.25">
      <c r="A1227" t="s">
        <v>380</v>
      </c>
      <c r="E1227">
        <v>1</v>
      </c>
      <c r="G1227">
        <v>1</v>
      </c>
    </row>
    <row r="1228" spans="1:7" x14ac:dyDescent="0.25">
      <c r="A1228" t="s">
        <v>743</v>
      </c>
      <c r="E1228">
        <v>2</v>
      </c>
      <c r="G1228">
        <v>2</v>
      </c>
    </row>
    <row r="1229" spans="1:7" x14ac:dyDescent="0.25">
      <c r="A1229" t="s">
        <v>288</v>
      </c>
      <c r="E1229">
        <v>1</v>
      </c>
      <c r="G1229">
        <v>1</v>
      </c>
    </row>
    <row r="1230" spans="1:7" x14ac:dyDescent="0.25">
      <c r="A1230" t="s">
        <v>367</v>
      </c>
      <c r="E1230">
        <v>1</v>
      </c>
      <c r="G1230">
        <v>1</v>
      </c>
    </row>
    <row r="1231" spans="1:7" x14ac:dyDescent="0.25">
      <c r="A1231" t="s">
        <v>744</v>
      </c>
      <c r="E1231">
        <v>2</v>
      </c>
      <c r="G1231">
        <v>2</v>
      </c>
    </row>
    <row r="1232" spans="1:7" x14ac:dyDescent="0.25">
      <c r="A1232" t="s">
        <v>288</v>
      </c>
      <c r="E1232">
        <v>1</v>
      </c>
      <c r="G1232">
        <v>1</v>
      </c>
    </row>
    <row r="1233" spans="1:7" x14ac:dyDescent="0.25">
      <c r="A1233" t="s">
        <v>367</v>
      </c>
      <c r="E1233">
        <v>1</v>
      </c>
      <c r="G1233">
        <v>1</v>
      </c>
    </row>
    <row r="1234" spans="1:7" x14ac:dyDescent="0.25">
      <c r="A1234" t="s">
        <v>745</v>
      </c>
      <c r="E1234">
        <v>3</v>
      </c>
      <c r="G1234">
        <v>3</v>
      </c>
    </row>
    <row r="1235" spans="1:7" x14ac:dyDescent="0.25">
      <c r="A1235" t="s">
        <v>377</v>
      </c>
      <c r="E1235">
        <v>1</v>
      </c>
      <c r="G1235">
        <v>1</v>
      </c>
    </row>
    <row r="1236" spans="1:7" x14ac:dyDescent="0.25">
      <c r="A1236" t="s">
        <v>288</v>
      </c>
      <c r="E1236">
        <v>1</v>
      </c>
      <c r="G1236">
        <v>1</v>
      </c>
    </row>
    <row r="1237" spans="1:7" x14ac:dyDescent="0.25">
      <c r="A1237" t="s">
        <v>380</v>
      </c>
      <c r="E1237">
        <v>1</v>
      </c>
      <c r="G1237">
        <v>1</v>
      </c>
    </row>
    <row r="1238" spans="1:7" x14ac:dyDescent="0.25">
      <c r="A1238" t="s">
        <v>746</v>
      </c>
      <c r="E1238">
        <v>2</v>
      </c>
      <c r="G1238">
        <v>2</v>
      </c>
    </row>
    <row r="1239" spans="1:7" x14ac:dyDescent="0.25">
      <c r="A1239" t="s">
        <v>288</v>
      </c>
      <c r="E1239">
        <v>1</v>
      </c>
      <c r="G1239">
        <v>1</v>
      </c>
    </row>
    <row r="1240" spans="1:7" x14ac:dyDescent="0.25">
      <c r="A1240" t="s">
        <v>380</v>
      </c>
      <c r="E1240">
        <v>1</v>
      </c>
      <c r="G1240">
        <v>1</v>
      </c>
    </row>
    <row r="1241" spans="1:7" x14ac:dyDescent="0.25">
      <c r="A1241" t="s">
        <v>747</v>
      </c>
      <c r="E1241">
        <v>2</v>
      </c>
      <c r="G1241">
        <v>2</v>
      </c>
    </row>
    <row r="1242" spans="1:7" x14ac:dyDescent="0.25">
      <c r="A1242" t="s">
        <v>288</v>
      </c>
      <c r="E1242">
        <v>1</v>
      </c>
      <c r="G1242">
        <v>1</v>
      </c>
    </row>
    <row r="1243" spans="1:7" x14ac:dyDescent="0.25">
      <c r="A1243" t="s">
        <v>367</v>
      </c>
      <c r="E1243">
        <v>1</v>
      </c>
      <c r="G1243">
        <v>1</v>
      </c>
    </row>
    <row r="1244" spans="1:7" x14ac:dyDescent="0.25">
      <c r="A1244" t="s">
        <v>748</v>
      </c>
      <c r="E1244">
        <v>2</v>
      </c>
      <c r="G1244">
        <v>2</v>
      </c>
    </row>
    <row r="1245" spans="1:7" x14ac:dyDescent="0.25">
      <c r="A1245" t="s">
        <v>288</v>
      </c>
      <c r="E1245">
        <v>1</v>
      </c>
      <c r="G1245">
        <v>1</v>
      </c>
    </row>
    <row r="1246" spans="1:7" x14ac:dyDescent="0.25">
      <c r="A1246" t="s">
        <v>367</v>
      </c>
      <c r="E1246">
        <v>1</v>
      </c>
      <c r="G1246">
        <v>1</v>
      </c>
    </row>
    <row r="1247" spans="1:7" x14ac:dyDescent="0.25">
      <c r="A1247" t="s">
        <v>749</v>
      </c>
      <c r="E1247">
        <v>3</v>
      </c>
      <c r="G1247">
        <v>3</v>
      </c>
    </row>
    <row r="1248" spans="1:7" x14ac:dyDescent="0.25">
      <c r="A1248" t="s">
        <v>377</v>
      </c>
      <c r="E1248">
        <v>1</v>
      </c>
      <c r="G1248">
        <v>1</v>
      </c>
    </row>
    <row r="1249" spans="1:7" x14ac:dyDescent="0.25">
      <c r="A1249" t="s">
        <v>288</v>
      </c>
      <c r="E1249">
        <v>1</v>
      </c>
      <c r="G1249">
        <v>1</v>
      </c>
    </row>
    <row r="1250" spans="1:7" x14ac:dyDescent="0.25">
      <c r="A1250" t="s">
        <v>380</v>
      </c>
      <c r="E1250">
        <v>1</v>
      </c>
      <c r="G1250">
        <v>1</v>
      </c>
    </row>
    <row r="1251" spans="1:7" x14ac:dyDescent="0.25">
      <c r="A1251" t="s">
        <v>750</v>
      </c>
      <c r="E1251">
        <v>4</v>
      </c>
      <c r="G1251">
        <v>4</v>
      </c>
    </row>
    <row r="1252" spans="1:7" x14ac:dyDescent="0.25">
      <c r="A1252" t="s">
        <v>377</v>
      </c>
      <c r="E1252">
        <v>1</v>
      </c>
      <c r="G1252">
        <v>1</v>
      </c>
    </row>
    <row r="1253" spans="1:7" x14ac:dyDescent="0.25">
      <c r="A1253" t="s">
        <v>289</v>
      </c>
      <c r="E1253">
        <v>1</v>
      </c>
      <c r="G1253">
        <v>1</v>
      </c>
    </row>
    <row r="1254" spans="1:7" x14ac:dyDescent="0.25">
      <c r="A1254" t="s">
        <v>290</v>
      </c>
      <c r="E1254">
        <v>1</v>
      </c>
      <c r="G1254">
        <v>1</v>
      </c>
    </row>
    <row r="1255" spans="1:7" x14ac:dyDescent="0.25">
      <c r="A1255" t="s">
        <v>380</v>
      </c>
      <c r="E1255">
        <v>1</v>
      </c>
      <c r="G1255">
        <v>1</v>
      </c>
    </row>
    <row r="1256" spans="1:7" x14ac:dyDescent="0.25">
      <c r="A1256" t="s">
        <v>751</v>
      </c>
      <c r="E1256">
        <v>2</v>
      </c>
      <c r="G1256">
        <v>2</v>
      </c>
    </row>
    <row r="1257" spans="1:7" x14ac:dyDescent="0.25">
      <c r="A1257" t="s">
        <v>288</v>
      </c>
      <c r="E1257">
        <v>1</v>
      </c>
      <c r="G1257">
        <v>1</v>
      </c>
    </row>
    <row r="1258" spans="1:7" x14ac:dyDescent="0.25">
      <c r="A1258" t="s">
        <v>380</v>
      </c>
      <c r="E1258">
        <v>1</v>
      </c>
      <c r="G1258">
        <v>1</v>
      </c>
    </row>
    <row r="1259" spans="1:7" x14ac:dyDescent="0.25">
      <c r="A1259" t="s">
        <v>752</v>
      </c>
      <c r="E1259">
        <v>2</v>
      </c>
      <c r="G1259">
        <v>2</v>
      </c>
    </row>
    <row r="1260" spans="1:7" x14ac:dyDescent="0.25">
      <c r="A1260" t="s">
        <v>292</v>
      </c>
      <c r="E1260">
        <v>1</v>
      </c>
      <c r="G1260">
        <v>1</v>
      </c>
    </row>
    <row r="1261" spans="1:7" x14ac:dyDescent="0.25">
      <c r="A1261" t="s">
        <v>367</v>
      </c>
      <c r="E1261">
        <v>1</v>
      </c>
      <c r="G1261">
        <v>1</v>
      </c>
    </row>
    <row r="1262" spans="1:7" x14ac:dyDescent="0.25">
      <c r="A1262" t="s">
        <v>753</v>
      </c>
      <c r="E1262">
        <v>2</v>
      </c>
      <c r="G1262">
        <v>2</v>
      </c>
    </row>
    <row r="1263" spans="1:7" x14ac:dyDescent="0.25">
      <c r="A1263" t="s">
        <v>288</v>
      </c>
      <c r="E1263">
        <v>1</v>
      </c>
      <c r="G1263">
        <v>1</v>
      </c>
    </row>
    <row r="1264" spans="1:7" x14ac:dyDescent="0.25">
      <c r="A1264" t="s">
        <v>380</v>
      </c>
      <c r="E1264">
        <v>1</v>
      </c>
      <c r="G1264">
        <v>1</v>
      </c>
    </row>
    <row r="1265" spans="1:7" x14ac:dyDescent="0.25">
      <c r="A1265" t="s">
        <v>754</v>
      </c>
      <c r="E1265">
        <v>2</v>
      </c>
      <c r="G1265">
        <v>2</v>
      </c>
    </row>
    <row r="1266" spans="1:7" x14ac:dyDescent="0.25">
      <c r="A1266" t="s">
        <v>292</v>
      </c>
      <c r="E1266">
        <v>1</v>
      </c>
      <c r="G1266">
        <v>1</v>
      </c>
    </row>
    <row r="1267" spans="1:7" x14ac:dyDescent="0.25">
      <c r="A1267" t="s">
        <v>380</v>
      </c>
      <c r="E1267">
        <v>1</v>
      </c>
      <c r="G1267">
        <v>1</v>
      </c>
    </row>
    <row r="1268" spans="1:7" x14ac:dyDescent="0.25">
      <c r="A1268" t="s">
        <v>755</v>
      </c>
      <c r="E1268">
        <v>3</v>
      </c>
      <c r="G1268">
        <v>3</v>
      </c>
    </row>
    <row r="1269" spans="1:7" x14ac:dyDescent="0.25">
      <c r="A1269" t="s">
        <v>377</v>
      </c>
      <c r="E1269">
        <v>1</v>
      </c>
      <c r="G1269">
        <v>1</v>
      </c>
    </row>
    <row r="1270" spans="1:7" x14ac:dyDescent="0.25">
      <c r="A1270" t="s">
        <v>288</v>
      </c>
      <c r="E1270">
        <v>1</v>
      </c>
      <c r="G1270">
        <v>1</v>
      </c>
    </row>
    <row r="1271" spans="1:7" x14ac:dyDescent="0.25">
      <c r="A1271" t="s">
        <v>380</v>
      </c>
      <c r="E1271">
        <v>1</v>
      </c>
      <c r="G1271">
        <v>1</v>
      </c>
    </row>
    <row r="1272" spans="1:7" x14ac:dyDescent="0.25">
      <c r="A1272" t="s">
        <v>756</v>
      </c>
      <c r="E1272">
        <v>4</v>
      </c>
      <c r="G1272">
        <v>4</v>
      </c>
    </row>
    <row r="1273" spans="1:7" x14ac:dyDescent="0.25">
      <c r="A1273" t="s">
        <v>377</v>
      </c>
      <c r="E1273">
        <v>1</v>
      </c>
      <c r="G1273">
        <v>1</v>
      </c>
    </row>
    <row r="1274" spans="1:7" x14ac:dyDescent="0.25">
      <c r="A1274" t="s">
        <v>289</v>
      </c>
      <c r="E1274">
        <v>1</v>
      </c>
      <c r="G1274">
        <v>1</v>
      </c>
    </row>
    <row r="1275" spans="1:7" x14ac:dyDescent="0.25">
      <c r="A1275" t="s">
        <v>288</v>
      </c>
      <c r="E1275">
        <v>1</v>
      </c>
      <c r="G1275">
        <v>1</v>
      </c>
    </row>
    <row r="1276" spans="1:7" x14ac:dyDescent="0.25">
      <c r="A1276" t="s">
        <v>380</v>
      </c>
      <c r="E1276">
        <v>1</v>
      </c>
      <c r="G1276">
        <v>1</v>
      </c>
    </row>
    <row r="1277" spans="1:7" x14ac:dyDescent="0.25">
      <c r="A1277" t="s">
        <v>757</v>
      </c>
      <c r="E1277">
        <v>2</v>
      </c>
      <c r="G1277">
        <v>2</v>
      </c>
    </row>
    <row r="1278" spans="1:7" x14ac:dyDescent="0.25">
      <c r="A1278" t="s">
        <v>288</v>
      </c>
      <c r="E1278">
        <v>1</v>
      </c>
      <c r="G1278">
        <v>1</v>
      </c>
    </row>
    <row r="1279" spans="1:7" x14ac:dyDescent="0.25">
      <c r="A1279" t="s">
        <v>380</v>
      </c>
      <c r="E1279">
        <v>1</v>
      </c>
      <c r="G1279">
        <v>1</v>
      </c>
    </row>
    <row r="1280" spans="1:7" x14ac:dyDescent="0.25">
      <c r="A1280" t="s">
        <v>758</v>
      </c>
      <c r="E1280">
        <v>2</v>
      </c>
      <c r="G1280">
        <v>2</v>
      </c>
    </row>
    <row r="1281" spans="1:7" x14ac:dyDescent="0.25">
      <c r="A1281" t="s">
        <v>288</v>
      </c>
      <c r="E1281">
        <v>1</v>
      </c>
      <c r="G1281">
        <v>1</v>
      </c>
    </row>
    <row r="1282" spans="1:7" x14ac:dyDescent="0.25">
      <c r="A1282" t="s">
        <v>367</v>
      </c>
      <c r="E1282">
        <v>1</v>
      </c>
      <c r="G1282">
        <v>1</v>
      </c>
    </row>
    <row r="1283" spans="1:7" x14ac:dyDescent="0.25">
      <c r="A1283" t="s">
        <v>759</v>
      </c>
      <c r="E1283">
        <v>3</v>
      </c>
      <c r="G1283">
        <v>3</v>
      </c>
    </row>
    <row r="1284" spans="1:7" x14ac:dyDescent="0.25">
      <c r="A1284" t="s">
        <v>377</v>
      </c>
      <c r="E1284">
        <v>1</v>
      </c>
      <c r="G1284">
        <v>1</v>
      </c>
    </row>
    <row r="1285" spans="1:7" x14ac:dyDescent="0.25">
      <c r="A1285" t="s">
        <v>292</v>
      </c>
      <c r="E1285">
        <v>1</v>
      </c>
      <c r="G1285">
        <v>1</v>
      </c>
    </row>
    <row r="1286" spans="1:7" x14ac:dyDescent="0.25">
      <c r="A1286" t="s">
        <v>380</v>
      </c>
      <c r="E1286">
        <v>1</v>
      </c>
      <c r="G1286">
        <v>1</v>
      </c>
    </row>
    <row r="1287" spans="1:7" x14ac:dyDescent="0.25">
      <c r="A1287" t="s">
        <v>760</v>
      </c>
      <c r="E1287">
        <v>2</v>
      </c>
      <c r="G1287">
        <v>2</v>
      </c>
    </row>
    <row r="1288" spans="1:7" x14ac:dyDescent="0.25">
      <c r="A1288" t="s">
        <v>291</v>
      </c>
      <c r="E1288">
        <v>1</v>
      </c>
      <c r="G1288">
        <v>1</v>
      </c>
    </row>
    <row r="1289" spans="1:7" x14ac:dyDescent="0.25">
      <c r="A1289" t="s">
        <v>367</v>
      </c>
      <c r="E1289">
        <v>1</v>
      </c>
      <c r="G1289">
        <v>1</v>
      </c>
    </row>
    <row r="1290" spans="1:7" x14ac:dyDescent="0.25">
      <c r="A1290" t="s">
        <v>761</v>
      </c>
      <c r="E1290">
        <v>3</v>
      </c>
      <c r="G1290">
        <v>3</v>
      </c>
    </row>
    <row r="1291" spans="1:7" x14ac:dyDescent="0.25">
      <c r="A1291" t="s">
        <v>377</v>
      </c>
      <c r="E1291">
        <v>1</v>
      </c>
      <c r="G1291">
        <v>1</v>
      </c>
    </row>
    <row r="1292" spans="1:7" x14ac:dyDescent="0.25">
      <c r="A1292" t="s">
        <v>288</v>
      </c>
      <c r="E1292">
        <v>1</v>
      </c>
      <c r="G1292">
        <v>1</v>
      </c>
    </row>
    <row r="1293" spans="1:7" x14ac:dyDescent="0.25">
      <c r="A1293" t="s">
        <v>380</v>
      </c>
      <c r="E1293">
        <v>1</v>
      </c>
      <c r="G1293">
        <v>1</v>
      </c>
    </row>
    <row r="1294" spans="1:7" x14ac:dyDescent="0.25">
      <c r="A1294" t="s">
        <v>762</v>
      </c>
      <c r="E1294">
        <v>2</v>
      </c>
      <c r="G1294">
        <v>2</v>
      </c>
    </row>
    <row r="1295" spans="1:7" x14ac:dyDescent="0.25">
      <c r="A1295" t="s">
        <v>288</v>
      </c>
      <c r="E1295">
        <v>1</v>
      </c>
      <c r="G1295">
        <v>1</v>
      </c>
    </row>
    <row r="1296" spans="1:7" x14ac:dyDescent="0.25">
      <c r="A1296" t="s">
        <v>367</v>
      </c>
      <c r="E1296">
        <v>1</v>
      </c>
      <c r="G1296">
        <v>1</v>
      </c>
    </row>
    <row r="1297" spans="1:7" x14ac:dyDescent="0.25">
      <c r="A1297" t="s">
        <v>763</v>
      </c>
      <c r="E1297">
        <v>2</v>
      </c>
      <c r="G1297">
        <v>2</v>
      </c>
    </row>
    <row r="1298" spans="1:7" x14ac:dyDescent="0.25">
      <c r="A1298" t="s">
        <v>288</v>
      </c>
      <c r="E1298">
        <v>1</v>
      </c>
      <c r="G1298">
        <v>1</v>
      </c>
    </row>
    <row r="1299" spans="1:7" x14ac:dyDescent="0.25">
      <c r="A1299" t="s">
        <v>367</v>
      </c>
      <c r="E1299">
        <v>1</v>
      </c>
      <c r="G1299">
        <v>1</v>
      </c>
    </row>
    <row r="1300" spans="1:7" x14ac:dyDescent="0.25">
      <c r="A1300" t="s">
        <v>764</v>
      </c>
      <c r="E1300">
        <v>2</v>
      </c>
      <c r="G1300">
        <v>2</v>
      </c>
    </row>
    <row r="1301" spans="1:7" x14ac:dyDescent="0.25">
      <c r="A1301" t="s">
        <v>291</v>
      </c>
      <c r="E1301">
        <v>1</v>
      </c>
      <c r="G1301">
        <v>1</v>
      </c>
    </row>
    <row r="1302" spans="1:7" x14ac:dyDescent="0.25">
      <c r="A1302" t="s">
        <v>380</v>
      </c>
      <c r="E1302">
        <v>1</v>
      </c>
      <c r="G1302">
        <v>1</v>
      </c>
    </row>
    <row r="1303" spans="1:7" x14ac:dyDescent="0.25">
      <c r="A1303" t="s">
        <v>765</v>
      </c>
      <c r="E1303">
        <v>2</v>
      </c>
      <c r="G1303">
        <v>2</v>
      </c>
    </row>
    <row r="1304" spans="1:7" x14ac:dyDescent="0.25">
      <c r="A1304" t="s">
        <v>288</v>
      </c>
      <c r="E1304">
        <v>1</v>
      </c>
      <c r="G1304">
        <v>1</v>
      </c>
    </row>
    <row r="1305" spans="1:7" x14ac:dyDescent="0.25">
      <c r="A1305" t="s">
        <v>380</v>
      </c>
      <c r="E1305">
        <v>1</v>
      </c>
      <c r="G1305">
        <v>1</v>
      </c>
    </row>
    <row r="1306" spans="1:7" x14ac:dyDescent="0.25">
      <c r="A1306" t="s">
        <v>766</v>
      </c>
      <c r="E1306">
        <v>2</v>
      </c>
      <c r="G1306">
        <v>2</v>
      </c>
    </row>
    <row r="1307" spans="1:7" x14ac:dyDescent="0.25">
      <c r="A1307" t="s">
        <v>291</v>
      </c>
      <c r="E1307">
        <v>1</v>
      </c>
      <c r="G1307">
        <v>1</v>
      </c>
    </row>
    <row r="1308" spans="1:7" x14ac:dyDescent="0.25">
      <c r="A1308" t="s">
        <v>367</v>
      </c>
      <c r="E1308">
        <v>1</v>
      </c>
      <c r="G1308">
        <v>1</v>
      </c>
    </row>
    <row r="1309" spans="1:7" x14ac:dyDescent="0.25">
      <c r="A1309" t="s">
        <v>767</v>
      </c>
      <c r="E1309">
        <v>2</v>
      </c>
      <c r="G1309">
        <v>2</v>
      </c>
    </row>
    <row r="1310" spans="1:7" x14ac:dyDescent="0.25">
      <c r="A1310" t="s">
        <v>288</v>
      </c>
      <c r="E1310">
        <v>1</v>
      </c>
      <c r="G1310">
        <v>1</v>
      </c>
    </row>
    <row r="1311" spans="1:7" x14ac:dyDescent="0.25">
      <c r="A1311" t="s">
        <v>367</v>
      </c>
      <c r="E1311">
        <v>1</v>
      </c>
      <c r="G1311">
        <v>1</v>
      </c>
    </row>
    <row r="1312" spans="1:7" x14ac:dyDescent="0.25">
      <c r="A1312" t="s">
        <v>768</v>
      </c>
      <c r="E1312">
        <v>2</v>
      </c>
      <c r="G1312">
        <v>2</v>
      </c>
    </row>
    <row r="1313" spans="1:7" x14ac:dyDescent="0.25">
      <c r="A1313" t="s">
        <v>288</v>
      </c>
      <c r="E1313">
        <v>1</v>
      </c>
      <c r="G1313">
        <v>1</v>
      </c>
    </row>
    <row r="1314" spans="1:7" x14ac:dyDescent="0.25">
      <c r="A1314" t="s">
        <v>367</v>
      </c>
      <c r="E1314">
        <v>1</v>
      </c>
      <c r="G1314">
        <v>1</v>
      </c>
    </row>
    <row r="1315" spans="1:7" x14ac:dyDescent="0.25">
      <c r="A1315" t="s">
        <v>769</v>
      </c>
      <c r="E1315">
        <v>2</v>
      </c>
      <c r="G1315">
        <v>2</v>
      </c>
    </row>
    <row r="1316" spans="1:7" x14ac:dyDescent="0.25">
      <c r="A1316" t="s">
        <v>292</v>
      </c>
      <c r="E1316">
        <v>1</v>
      </c>
      <c r="G1316">
        <v>1</v>
      </c>
    </row>
    <row r="1317" spans="1:7" x14ac:dyDescent="0.25">
      <c r="A1317" t="s">
        <v>367</v>
      </c>
      <c r="E1317">
        <v>1</v>
      </c>
      <c r="G1317">
        <v>1</v>
      </c>
    </row>
    <row r="1318" spans="1:7" x14ac:dyDescent="0.25">
      <c r="A1318" t="s">
        <v>770</v>
      </c>
      <c r="E1318">
        <v>4</v>
      </c>
      <c r="G1318">
        <v>4</v>
      </c>
    </row>
    <row r="1319" spans="1:7" x14ac:dyDescent="0.25">
      <c r="A1319" t="s">
        <v>377</v>
      </c>
      <c r="E1319">
        <v>1</v>
      </c>
      <c r="G1319">
        <v>1</v>
      </c>
    </row>
    <row r="1320" spans="1:7" x14ac:dyDescent="0.25">
      <c r="A1320" t="s">
        <v>290</v>
      </c>
      <c r="E1320">
        <v>1</v>
      </c>
      <c r="G1320">
        <v>1</v>
      </c>
    </row>
    <row r="1321" spans="1:7" x14ac:dyDescent="0.25">
      <c r="A1321" t="s">
        <v>288</v>
      </c>
      <c r="E1321">
        <v>1</v>
      </c>
      <c r="G1321">
        <v>1</v>
      </c>
    </row>
    <row r="1322" spans="1:7" x14ac:dyDescent="0.25">
      <c r="A1322" t="s">
        <v>380</v>
      </c>
      <c r="E1322">
        <v>1</v>
      </c>
      <c r="G1322">
        <v>1</v>
      </c>
    </row>
    <row r="1323" spans="1:7" x14ac:dyDescent="0.25">
      <c r="A1323" t="s">
        <v>771</v>
      </c>
      <c r="E1323">
        <v>4</v>
      </c>
      <c r="G1323">
        <v>4</v>
      </c>
    </row>
    <row r="1324" spans="1:7" x14ac:dyDescent="0.25">
      <c r="A1324" t="s">
        <v>289</v>
      </c>
      <c r="E1324">
        <v>1</v>
      </c>
      <c r="G1324">
        <v>1</v>
      </c>
    </row>
    <row r="1325" spans="1:7" x14ac:dyDescent="0.25">
      <c r="A1325" t="s">
        <v>290</v>
      </c>
      <c r="E1325">
        <v>1</v>
      </c>
      <c r="G1325">
        <v>1</v>
      </c>
    </row>
    <row r="1326" spans="1:7" x14ac:dyDescent="0.25">
      <c r="A1326" t="s">
        <v>291</v>
      </c>
      <c r="E1326">
        <v>1</v>
      </c>
      <c r="G1326">
        <v>1</v>
      </c>
    </row>
    <row r="1327" spans="1:7" x14ac:dyDescent="0.25">
      <c r="A1327" t="s">
        <v>493</v>
      </c>
      <c r="E1327">
        <v>1</v>
      </c>
      <c r="G1327">
        <v>1</v>
      </c>
    </row>
    <row r="1328" spans="1:7" x14ac:dyDescent="0.25">
      <c r="A1328" t="s">
        <v>772</v>
      </c>
      <c r="E1328">
        <v>2</v>
      </c>
      <c r="G1328">
        <v>2</v>
      </c>
    </row>
    <row r="1329" spans="1:7" x14ac:dyDescent="0.25">
      <c r="A1329" t="s">
        <v>288</v>
      </c>
      <c r="E1329">
        <v>1</v>
      </c>
      <c r="G1329">
        <v>1</v>
      </c>
    </row>
    <row r="1330" spans="1:7" x14ac:dyDescent="0.25">
      <c r="A1330" t="s">
        <v>380</v>
      </c>
      <c r="E1330">
        <v>1</v>
      </c>
      <c r="G1330">
        <v>1</v>
      </c>
    </row>
    <row r="1331" spans="1:7" x14ac:dyDescent="0.25">
      <c r="A1331" t="s">
        <v>773</v>
      </c>
      <c r="E1331">
        <v>2</v>
      </c>
      <c r="G1331">
        <v>2</v>
      </c>
    </row>
    <row r="1332" spans="1:7" x14ac:dyDescent="0.25">
      <c r="A1332" t="s">
        <v>290</v>
      </c>
      <c r="E1332">
        <v>1</v>
      </c>
      <c r="G1332">
        <v>1</v>
      </c>
    </row>
    <row r="1333" spans="1:7" x14ac:dyDescent="0.25">
      <c r="A1333" t="s">
        <v>380</v>
      </c>
      <c r="E1333">
        <v>1</v>
      </c>
      <c r="G1333">
        <v>1</v>
      </c>
    </row>
    <row r="1334" spans="1:7" x14ac:dyDescent="0.25">
      <c r="A1334" t="s">
        <v>774</v>
      </c>
      <c r="E1334">
        <v>2</v>
      </c>
      <c r="G1334">
        <v>2</v>
      </c>
    </row>
    <row r="1335" spans="1:7" x14ac:dyDescent="0.25">
      <c r="A1335" t="s">
        <v>288</v>
      </c>
      <c r="E1335">
        <v>1</v>
      </c>
      <c r="G1335">
        <v>1</v>
      </c>
    </row>
    <row r="1336" spans="1:7" x14ac:dyDescent="0.25">
      <c r="A1336" t="s">
        <v>380</v>
      </c>
      <c r="E1336">
        <v>1</v>
      </c>
      <c r="G1336">
        <v>1</v>
      </c>
    </row>
    <row r="1337" spans="1:7" x14ac:dyDescent="0.25">
      <c r="A1337" t="s">
        <v>775</v>
      </c>
      <c r="E1337">
        <v>4</v>
      </c>
      <c r="G1337">
        <v>4</v>
      </c>
    </row>
    <row r="1338" spans="1:7" x14ac:dyDescent="0.25">
      <c r="A1338" t="s">
        <v>377</v>
      </c>
      <c r="E1338">
        <v>1</v>
      </c>
      <c r="G1338">
        <v>1</v>
      </c>
    </row>
    <row r="1339" spans="1:7" x14ac:dyDescent="0.25">
      <c r="A1339" t="s">
        <v>289</v>
      </c>
      <c r="E1339">
        <v>1</v>
      </c>
      <c r="G1339">
        <v>1</v>
      </c>
    </row>
    <row r="1340" spans="1:7" x14ac:dyDescent="0.25">
      <c r="A1340" t="s">
        <v>288</v>
      </c>
      <c r="E1340">
        <v>1</v>
      </c>
      <c r="G1340">
        <v>1</v>
      </c>
    </row>
    <row r="1341" spans="1:7" x14ac:dyDescent="0.25">
      <c r="A1341" t="s">
        <v>380</v>
      </c>
      <c r="E1341">
        <v>1</v>
      </c>
      <c r="G1341">
        <v>1</v>
      </c>
    </row>
    <row r="1342" spans="1:7" x14ac:dyDescent="0.25">
      <c r="A1342" t="s">
        <v>776</v>
      </c>
      <c r="E1342">
        <v>3</v>
      </c>
      <c r="G1342">
        <v>3</v>
      </c>
    </row>
    <row r="1343" spans="1:7" x14ac:dyDescent="0.25">
      <c r="A1343" t="s">
        <v>377</v>
      </c>
      <c r="E1343">
        <v>1</v>
      </c>
      <c r="G1343">
        <v>1</v>
      </c>
    </row>
    <row r="1344" spans="1:7" x14ac:dyDescent="0.25">
      <c r="A1344" t="s">
        <v>292</v>
      </c>
      <c r="E1344">
        <v>1</v>
      </c>
      <c r="G1344">
        <v>1</v>
      </c>
    </row>
    <row r="1345" spans="1:7" x14ac:dyDescent="0.25">
      <c r="A1345" t="s">
        <v>380</v>
      </c>
      <c r="E1345">
        <v>1</v>
      </c>
      <c r="G1345">
        <v>1</v>
      </c>
    </row>
    <row r="1346" spans="1:7" x14ac:dyDescent="0.25">
      <c r="A1346" t="s">
        <v>777</v>
      </c>
      <c r="E1346">
        <v>4</v>
      </c>
      <c r="G1346">
        <v>4</v>
      </c>
    </row>
    <row r="1347" spans="1:7" x14ac:dyDescent="0.25">
      <c r="A1347" t="s">
        <v>377</v>
      </c>
      <c r="E1347">
        <v>1</v>
      </c>
      <c r="G1347">
        <v>1</v>
      </c>
    </row>
    <row r="1348" spans="1:7" x14ac:dyDescent="0.25">
      <c r="A1348" t="s">
        <v>385</v>
      </c>
      <c r="E1348">
        <v>1</v>
      </c>
      <c r="G1348">
        <v>1</v>
      </c>
    </row>
    <row r="1349" spans="1:7" x14ac:dyDescent="0.25">
      <c r="A1349" t="s">
        <v>288</v>
      </c>
      <c r="E1349">
        <v>1</v>
      </c>
      <c r="G1349">
        <v>1</v>
      </c>
    </row>
    <row r="1350" spans="1:7" x14ac:dyDescent="0.25">
      <c r="A1350" t="s">
        <v>380</v>
      </c>
      <c r="E1350">
        <v>1</v>
      </c>
      <c r="G1350">
        <v>1</v>
      </c>
    </row>
    <row r="1351" spans="1:7" x14ac:dyDescent="0.25">
      <c r="A1351" t="s">
        <v>778</v>
      </c>
      <c r="E1351">
        <v>2</v>
      </c>
      <c r="G1351">
        <v>2</v>
      </c>
    </row>
    <row r="1352" spans="1:7" x14ac:dyDescent="0.25">
      <c r="A1352" t="s">
        <v>291</v>
      </c>
      <c r="E1352">
        <v>1</v>
      </c>
      <c r="G1352">
        <v>1</v>
      </c>
    </row>
    <row r="1353" spans="1:7" x14ac:dyDescent="0.25">
      <c r="A1353" t="s">
        <v>367</v>
      </c>
      <c r="E1353">
        <v>1</v>
      </c>
      <c r="G1353">
        <v>1</v>
      </c>
    </row>
    <row r="1354" spans="1:7" x14ac:dyDescent="0.25">
      <c r="A1354" t="s">
        <v>779</v>
      </c>
      <c r="E1354">
        <v>3</v>
      </c>
      <c r="G1354">
        <v>3</v>
      </c>
    </row>
    <row r="1355" spans="1:7" x14ac:dyDescent="0.25">
      <c r="A1355" t="s">
        <v>377</v>
      </c>
      <c r="E1355">
        <v>1</v>
      </c>
      <c r="G1355">
        <v>1</v>
      </c>
    </row>
    <row r="1356" spans="1:7" x14ac:dyDescent="0.25">
      <c r="A1356" t="s">
        <v>288</v>
      </c>
      <c r="E1356">
        <v>1</v>
      </c>
      <c r="G1356">
        <v>1</v>
      </c>
    </row>
    <row r="1357" spans="1:7" x14ac:dyDescent="0.25">
      <c r="A1357" t="s">
        <v>493</v>
      </c>
      <c r="E1357">
        <v>1</v>
      </c>
      <c r="G1357">
        <v>1</v>
      </c>
    </row>
    <row r="1358" spans="1:7" x14ac:dyDescent="0.25">
      <c r="A1358" t="s">
        <v>780</v>
      </c>
      <c r="E1358">
        <v>3</v>
      </c>
      <c r="G1358">
        <v>3</v>
      </c>
    </row>
    <row r="1359" spans="1:7" x14ac:dyDescent="0.25">
      <c r="A1359" t="s">
        <v>377</v>
      </c>
      <c r="E1359">
        <v>1</v>
      </c>
      <c r="G1359">
        <v>1</v>
      </c>
    </row>
    <row r="1360" spans="1:7" x14ac:dyDescent="0.25">
      <c r="A1360" t="s">
        <v>288</v>
      </c>
      <c r="E1360">
        <v>1</v>
      </c>
      <c r="G1360">
        <v>1</v>
      </c>
    </row>
    <row r="1361" spans="1:7" x14ac:dyDescent="0.25">
      <c r="A1361" t="s">
        <v>493</v>
      </c>
      <c r="E1361">
        <v>1</v>
      </c>
      <c r="G1361">
        <v>1</v>
      </c>
    </row>
    <row r="1362" spans="1:7" x14ac:dyDescent="0.25">
      <c r="A1362" t="s">
        <v>781</v>
      </c>
      <c r="E1362">
        <v>5</v>
      </c>
      <c r="G1362">
        <v>5</v>
      </c>
    </row>
    <row r="1363" spans="1:7" x14ac:dyDescent="0.25">
      <c r="A1363" t="s">
        <v>377</v>
      </c>
      <c r="E1363">
        <v>1</v>
      </c>
      <c r="G1363">
        <v>1</v>
      </c>
    </row>
    <row r="1364" spans="1:7" x14ac:dyDescent="0.25">
      <c r="A1364" t="s">
        <v>289</v>
      </c>
      <c r="E1364">
        <v>1</v>
      </c>
      <c r="G1364">
        <v>1</v>
      </c>
    </row>
    <row r="1365" spans="1:7" x14ac:dyDescent="0.25">
      <c r="A1365" t="s">
        <v>290</v>
      </c>
      <c r="E1365">
        <v>1</v>
      </c>
      <c r="G1365">
        <v>1</v>
      </c>
    </row>
    <row r="1366" spans="1:7" x14ac:dyDescent="0.25">
      <c r="A1366" t="s">
        <v>291</v>
      </c>
      <c r="E1366">
        <v>1</v>
      </c>
      <c r="G1366">
        <v>1</v>
      </c>
    </row>
    <row r="1367" spans="1:7" x14ac:dyDescent="0.25">
      <c r="A1367" t="s">
        <v>493</v>
      </c>
      <c r="E1367">
        <v>1</v>
      </c>
      <c r="G1367">
        <v>1</v>
      </c>
    </row>
    <row r="1368" spans="1:7" x14ac:dyDescent="0.25">
      <c r="A1368" t="s">
        <v>782</v>
      </c>
      <c r="E1368">
        <v>3</v>
      </c>
      <c r="G1368">
        <v>3</v>
      </c>
    </row>
    <row r="1369" spans="1:7" x14ac:dyDescent="0.25">
      <c r="A1369" t="s">
        <v>377</v>
      </c>
      <c r="E1369">
        <v>1</v>
      </c>
      <c r="G1369">
        <v>1</v>
      </c>
    </row>
    <row r="1370" spans="1:7" x14ac:dyDescent="0.25">
      <c r="A1370" t="s">
        <v>288</v>
      </c>
      <c r="E1370">
        <v>1</v>
      </c>
      <c r="G1370">
        <v>1</v>
      </c>
    </row>
    <row r="1371" spans="1:7" x14ac:dyDescent="0.25">
      <c r="A1371" t="s">
        <v>493</v>
      </c>
      <c r="E1371">
        <v>1</v>
      </c>
      <c r="G1371">
        <v>1</v>
      </c>
    </row>
    <row r="1372" spans="1:7" x14ac:dyDescent="0.25">
      <c r="A1372" t="s">
        <v>783</v>
      </c>
      <c r="E1372">
        <v>5</v>
      </c>
      <c r="G1372">
        <v>5</v>
      </c>
    </row>
    <row r="1373" spans="1:7" x14ac:dyDescent="0.25">
      <c r="A1373" t="s">
        <v>377</v>
      </c>
      <c r="E1373">
        <v>1</v>
      </c>
      <c r="G1373">
        <v>1</v>
      </c>
    </row>
    <row r="1374" spans="1:7" x14ac:dyDescent="0.25">
      <c r="A1374" t="s">
        <v>289</v>
      </c>
      <c r="E1374">
        <v>1</v>
      </c>
      <c r="G1374">
        <v>1</v>
      </c>
    </row>
    <row r="1375" spans="1:7" x14ac:dyDescent="0.25">
      <c r="A1375" t="s">
        <v>290</v>
      </c>
      <c r="E1375">
        <v>1</v>
      </c>
      <c r="G1375">
        <v>1</v>
      </c>
    </row>
    <row r="1376" spans="1:7" x14ac:dyDescent="0.25">
      <c r="A1376" t="s">
        <v>291</v>
      </c>
      <c r="E1376">
        <v>1</v>
      </c>
      <c r="G1376">
        <v>1</v>
      </c>
    </row>
    <row r="1377" spans="1:7" x14ac:dyDescent="0.25">
      <c r="A1377" t="s">
        <v>493</v>
      </c>
      <c r="E1377">
        <v>1</v>
      </c>
      <c r="G1377">
        <v>1</v>
      </c>
    </row>
    <row r="1378" spans="1:7" x14ac:dyDescent="0.25">
      <c r="A1378" t="s">
        <v>784</v>
      </c>
      <c r="E1378">
        <v>5</v>
      </c>
      <c r="G1378">
        <v>5</v>
      </c>
    </row>
    <row r="1379" spans="1:7" x14ac:dyDescent="0.25">
      <c r="A1379" t="s">
        <v>377</v>
      </c>
      <c r="E1379">
        <v>1</v>
      </c>
      <c r="G1379">
        <v>1</v>
      </c>
    </row>
    <row r="1380" spans="1:7" x14ac:dyDescent="0.25">
      <c r="A1380" t="s">
        <v>289</v>
      </c>
      <c r="E1380">
        <v>1</v>
      </c>
      <c r="G1380">
        <v>1</v>
      </c>
    </row>
    <row r="1381" spans="1:7" x14ac:dyDescent="0.25">
      <c r="A1381" t="s">
        <v>290</v>
      </c>
      <c r="E1381">
        <v>1</v>
      </c>
      <c r="G1381">
        <v>1</v>
      </c>
    </row>
    <row r="1382" spans="1:7" x14ac:dyDescent="0.25">
      <c r="A1382" t="s">
        <v>291</v>
      </c>
      <c r="E1382">
        <v>1</v>
      </c>
      <c r="G1382">
        <v>1</v>
      </c>
    </row>
    <row r="1383" spans="1:7" x14ac:dyDescent="0.25">
      <c r="A1383" t="s">
        <v>493</v>
      </c>
      <c r="E1383">
        <v>1</v>
      </c>
      <c r="G1383">
        <v>1</v>
      </c>
    </row>
    <row r="1384" spans="1:7" x14ac:dyDescent="0.25">
      <c r="A1384" t="s">
        <v>785</v>
      </c>
      <c r="E1384">
        <v>4</v>
      </c>
      <c r="G1384">
        <v>4</v>
      </c>
    </row>
    <row r="1385" spans="1:7" x14ac:dyDescent="0.25">
      <c r="A1385" t="s">
        <v>289</v>
      </c>
      <c r="E1385">
        <v>1</v>
      </c>
      <c r="G1385">
        <v>1</v>
      </c>
    </row>
    <row r="1386" spans="1:7" x14ac:dyDescent="0.25">
      <c r="A1386" t="s">
        <v>290</v>
      </c>
      <c r="E1386">
        <v>1</v>
      </c>
      <c r="G1386">
        <v>1</v>
      </c>
    </row>
    <row r="1387" spans="1:7" x14ac:dyDescent="0.25">
      <c r="A1387" t="s">
        <v>291</v>
      </c>
      <c r="E1387">
        <v>1</v>
      </c>
      <c r="G1387">
        <v>1</v>
      </c>
    </row>
    <row r="1388" spans="1:7" x14ac:dyDescent="0.25">
      <c r="A1388" t="s">
        <v>493</v>
      </c>
      <c r="E1388">
        <v>1</v>
      </c>
      <c r="G1388">
        <v>1</v>
      </c>
    </row>
    <row r="1389" spans="1:7" x14ac:dyDescent="0.25">
      <c r="A1389" t="s">
        <v>786</v>
      </c>
      <c r="E1389">
        <v>2</v>
      </c>
      <c r="G1389">
        <v>2</v>
      </c>
    </row>
    <row r="1390" spans="1:7" x14ac:dyDescent="0.25">
      <c r="A1390" t="s">
        <v>288</v>
      </c>
      <c r="E1390">
        <v>1</v>
      </c>
      <c r="G1390">
        <v>1</v>
      </c>
    </row>
    <row r="1391" spans="1:7" x14ac:dyDescent="0.25">
      <c r="A1391" t="s">
        <v>380</v>
      </c>
      <c r="E1391">
        <v>1</v>
      </c>
      <c r="G1391">
        <v>1</v>
      </c>
    </row>
    <row r="1392" spans="1:7" x14ac:dyDescent="0.25">
      <c r="A1392" t="s">
        <v>787</v>
      </c>
      <c r="E1392">
        <v>5</v>
      </c>
      <c r="G1392">
        <v>5</v>
      </c>
    </row>
    <row r="1393" spans="1:7" x14ac:dyDescent="0.25">
      <c r="A1393" t="s">
        <v>377</v>
      </c>
      <c r="E1393">
        <v>1</v>
      </c>
      <c r="G1393">
        <v>1</v>
      </c>
    </row>
    <row r="1394" spans="1:7" x14ac:dyDescent="0.25">
      <c r="A1394" t="s">
        <v>289</v>
      </c>
      <c r="E1394">
        <v>1</v>
      </c>
      <c r="G1394">
        <v>1</v>
      </c>
    </row>
    <row r="1395" spans="1:7" x14ac:dyDescent="0.25">
      <c r="A1395" t="s">
        <v>290</v>
      </c>
      <c r="E1395">
        <v>1</v>
      </c>
      <c r="G1395">
        <v>1</v>
      </c>
    </row>
    <row r="1396" spans="1:7" x14ac:dyDescent="0.25">
      <c r="A1396" t="s">
        <v>291</v>
      </c>
      <c r="E1396">
        <v>1</v>
      </c>
      <c r="G1396">
        <v>1</v>
      </c>
    </row>
    <row r="1397" spans="1:7" x14ac:dyDescent="0.25">
      <c r="A1397" t="s">
        <v>493</v>
      </c>
      <c r="E1397">
        <v>1</v>
      </c>
      <c r="G1397">
        <v>1</v>
      </c>
    </row>
    <row r="1398" spans="1:7" x14ac:dyDescent="0.25">
      <c r="A1398" t="s">
        <v>788</v>
      </c>
      <c r="E1398">
        <v>5</v>
      </c>
      <c r="G1398">
        <v>5</v>
      </c>
    </row>
    <row r="1399" spans="1:7" x14ac:dyDescent="0.25">
      <c r="A1399" t="s">
        <v>377</v>
      </c>
      <c r="E1399">
        <v>1</v>
      </c>
      <c r="G1399">
        <v>1</v>
      </c>
    </row>
    <row r="1400" spans="1:7" x14ac:dyDescent="0.25">
      <c r="A1400" t="s">
        <v>289</v>
      </c>
      <c r="E1400">
        <v>1</v>
      </c>
      <c r="G1400">
        <v>1</v>
      </c>
    </row>
    <row r="1401" spans="1:7" x14ac:dyDescent="0.25">
      <c r="A1401" t="s">
        <v>290</v>
      </c>
      <c r="E1401">
        <v>1</v>
      </c>
      <c r="G1401">
        <v>1</v>
      </c>
    </row>
    <row r="1402" spans="1:7" x14ac:dyDescent="0.25">
      <c r="A1402" t="s">
        <v>291</v>
      </c>
      <c r="E1402">
        <v>1</v>
      </c>
      <c r="G1402">
        <v>1</v>
      </c>
    </row>
    <row r="1403" spans="1:7" x14ac:dyDescent="0.25">
      <c r="A1403" t="s">
        <v>493</v>
      </c>
      <c r="E1403">
        <v>1</v>
      </c>
      <c r="G1403">
        <v>1</v>
      </c>
    </row>
    <row r="1404" spans="1:7" x14ac:dyDescent="0.25">
      <c r="A1404" t="s">
        <v>789</v>
      </c>
      <c r="E1404">
        <v>3</v>
      </c>
      <c r="G1404">
        <v>3</v>
      </c>
    </row>
    <row r="1405" spans="1:7" x14ac:dyDescent="0.25">
      <c r="A1405" t="s">
        <v>377</v>
      </c>
      <c r="E1405">
        <v>1</v>
      </c>
      <c r="G1405">
        <v>1</v>
      </c>
    </row>
    <row r="1406" spans="1:7" x14ac:dyDescent="0.25">
      <c r="A1406" t="s">
        <v>291</v>
      </c>
      <c r="E1406">
        <v>1</v>
      </c>
      <c r="G1406">
        <v>1</v>
      </c>
    </row>
    <row r="1407" spans="1:7" x14ac:dyDescent="0.25">
      <c r="A1407" t="s">
        <v>380</v>
      </c>
      <c r="E1407">
        <v>1</v>
      </c>
      <c r="G1407">
        <v>1</v>
      </c>
    </row>
    <row r="1408" spans="1:7" x14ac:dyDescent="0.25">
      <c r="A1408" t="s">
        <v>790</v>
      </c>
      <c r="E1408">
        <v>3</v>
      </c>
      <c r="G1408">
        <v>3</v>
      </c>
    </row>
    <row r="1409" spans="1:7" x14ac:dyDescent="0.25">
      <c r="A1409" t="s">
        <v>377</v>
      </c>
      <c r="E1409">
        <v>1</v>
      </c>
      <c r="G1409">
        <v>1</v>
      </c>
    </row>
    <row r="1410" spans="1:7" x14ac:dyDescent="0.25">
      <c r="A1410" t="s">
        <v>292</v>
      </c>
      <c r="E1410">
        <v>1</v>
      </c>
      <c r="G1410">
        <v>1</v>
      </c>
    </row>
    <row r="1411" spans="1:7" x14ac:dyDescent="0.25">
      <c r="A1411" t="s">
        <v>659</v>
      </c>
      <c r="E1411">
        <v>1</v>
      </c>
      <c r="G1411">
        <v>1</v>
      </c>
    </row>
    <row r="1412" spans="1:7" x14ac:dyDescent="0.25">
      <c r="A1412" t="s">
        <v>791</v>
      </c>
      <c r="E1412">
        <v>4</v>
      </c>
      <c r="G1412">
        <v>4</v>
      </c>
    </row>
    <row r="1413" spans="1:7" x14ac:dyDescent="0.25">
      <c r="A1413" t="s">
        <v>377</v>
      </c>
      <c r="E1413">
        <v>1</v>
      </c>
      <c r="G1413">
        <v>1</v>
      </c>
    </row>
    <row r="1414" spans="1:7" x14ac:dyDescent="0.25">
      <c r="A1414" t="s">
        <v>289</v>
      </c>
      <c r="E1414">
        <v>1</v>
      </c>
      <c r="G1414">
        <v>1</v>
      </c>
    </row>
    <row r="1415" spans="1:7" x14ac:dyDescent="0.25">
      <c r="A1415" t="s">
        <v>291</v>
      </c>
      <c r="E1415">
        <v>1</v>
      </c>
      <c r="G1415">
        <v>1</v>
      </c>
    </row>
    <row r="1416" spans="1:7" x14ac:dyDescent="0.25">
      <c r="A1416" t="s">
        <v>380</v>
      </c>
      <c r="E1416">
        <v>1</v>
      </c>
      <c r="G1416">
        <v>1</v>
      </c>
    </row>
    <row r="1417" spans="1:7" x14ac:dyDescent="0.25">
      <c r="A1417" t="s">
        <v>792</v>
      </c>
      <c r="E1417">
        <v>3</v>
      </c>
      <c r="G1417">
        <v>3</v>
      </c>
    </row>
    <row r="1418" spans="1:7" x14ac:dyDescent="0.25">
      <c r="A1418" t="s">
        <v>377</v>
      </c>
      <c r="E1418">
        <v>1</v>
      </c>
      <c r="G1418">
        <v>1</v>
      </c>
    </row>
    <row r="1419" spans="1:7" x14ac:dyDescent="0.25">
      <c r="A1419" t="s">
        <v>288</v>
      </c>
      <c r="E1419">
        <v>1</v>
      </c>
      <c r="G1419">
        <v>1</v>
      </c>
    </row>
    <row r="1420" spans="1:7" x14ac:dyDescent="0.25">
      <c r="A1420" t="s">
        <v>380</v>
      </c>
      <c r="E1420">
        <v>1</v>
      </c>
      <c r="G1420">
        <v>1</v>
      </c>
    </row>
    <row r="1421" spans="1:7" x14ac:dyDescent="0.25">
      <c r="A1421" t="s">
        <v>793</v>
      </c>
      <c r="E1421">
        <v>2</v>
      </c>
      <c r="G1421">
        <v>2</v>
      </c>
    </row>
    <row r="1422" spans="1:7" x14ac:dyDescent="0.25">
      <c r="A1422" t="s">
        <v>288</v>
      </c>
      <c r="E1422">
        <v>1</v>
      </c>
      <c r="G1422">
        <v>1</v>
      </c>
    </row>
    <row r="1423" spans="1:7" x14ac:dyDescent="0.25">
      <c r="A1423" t="s">
        <v>380</v>
      </c>
      <c r="E1423">
        <v>1</v>
      </c>
      <c r="G1423">
        <v>1</v>
      </c>
    </row>
    <row r="1424" spans="1:7" x14ac:dyDescent="0.25">
      <c r="A1424" t="s">
        <v>794</v>
      </c>
      <c r="E1424">
        <v>2</v>
      </c>
      <c r="G1424">
        <v>2</v>
      </c>
    </row>
    <row r="1425" spans="1:7" x14ac:dyDescent="0.25">
      <c r="A1425" t="s">
        <v>292</v>
      </c>
      <c r="E1425">
        <v>1</v>
      </c>
      <c r="G1425">
        <v>1</v>
      </c>
    </row>
    <row r="1426" spans="1:7" x14ac:dyDescent="0.25">
      <c r="A1426" t="s">
        <v>367</v>
      </c>
      <c r="E1426">
        <v>1</v>
      </c>
      <c r="G1426">
        <v>1</v>
      </c>
    </row>
    <row r="1427" spans="1:7" x14ac:dyDescent="0.25">
      <c r="A1427" t="s">
        <v>795</v>
      </c>
      <c r="E1427">
        <v>2</v>
      </c>
      <c r="G1427">
        <v>2</v>
      </c>
    </row>
    <row r="1428" spans="1:7" x14ac:dyDescent="0.25">
      <c r="A1428" t="s">
        <v>288</v>
      </c>
      <c r="E1428">
        <v>1</v>
      </c>
      <c r="G1428">
        <v>1</v>
      </c>
    </row>
    <row r="1429" spans="1:7" x14ac:dyDescent="0.25">
      <c r="A1429" t="s">
        <v>367</v>
      </c>
      <c r="E1429">
        <v>1</v>
      </c>
      <c r="G1429">
        <v>1</v>
      </c>
    </row>
    <row r="1430" spans="1:7" x14ac:dyDescent="0.25">
      <c r="A1430" t="s">
        <v>796</v>
      </c>
      <c r="E1430">
        <v>5</v>
      </c>
      <c r="G1430">
        <v>5</v>
      </c>
    </row>
    <row r="1431" spans="1:7" x14ac:dyDescent="0.25">
      <c r="A1431" t="s">
        <v>377</v>
      </c>
      <c r="E1431">
        <v>1</v>
      </c>
      <c r="G1431">
        <v>1</v>
      </c>
    </row>
    <row r="1432" spans="1:7" x14ac:dyDescent="0.25">
      <c r="A1432" t="s">
        <v>289</v>
      </c>
      <c r="E1432">
        <v>1</v>
      </c>
      <c r="G1432">
        <v>1</v>
      </c>
    </row>
    <row r="1433" spans="1:7" x14ac:dyDescent="0.25">
      <c r="A1433" t="s">
        <v>290</v>
      </c>
      <c r="E1433">
        <v>1</v>
      </c>
      <c r="G1433">
        <v>1</v>
      </c>
    </row>
    <row r="1434" spans="1:7" x14ac:dyDescent="0.25">
      <c r="A1434" t="s">
        <v>291</v>
      </c>
      <c r="E1434">
        <v>1</v>
      </c>
      <c r="G1434">
        <v>1</v>
      </c>
    </row>
    <row r="1435" spans="1:7" x14ac:dyDescent="0.25">
      <c r="A1435" t="s">
        <v>493</v>
      </c>
      <c r="E1435">
        <v>1</v>
      </c>
      <c r="G1435">
        <v>1</v>
      </c>
    </row>
    <row r="1436" spans="1:7" x14ac:dyDescent="0.25">
      <c r="A1436" t="s">
        <v>797</v>
      </c>
      <c r="E1436">
        <v>5</v>
      </c>
      <c r="G1436">
        <v>5</v>
      </c>
    </row>
    <row r="1437" spans="1:7" x14ac:dyDescent="0.25">
      <c r="A1437" t="s">
        <v>377</v>
      </c>
      <c r="E1437">
        <v>1</v>
      </c>
      <c r="G1437">
        <v>1</v>
      </c>
    </row>
    <row r="1438" spans="1:7" x14ac:dyDescent="0.25">
      <c r="A1438" t="s">
        <v>289</v>
      </c>
      <c r="E1438">
        <v>1</v>
      </c>
      <c r="G1438">
        <v>1</v>
      </c>
    </row>
    <row r="1439" spans="1:7" x14ac:dyDescent="0.25">
      <c r="A1439" t="s">
        <v>290</v>
      </c>
      <c r="E1439">
        <v>1</v>
      </c>
      <c r="G1439">
        <v>1</v>
      </c>
    </row>
    <row r="1440" spans="1:7" x14ac:dyDescent="0.25">
      <c r="A1440" t="s">
        <v>291</v>
      </c>
      <c r="E1440">
        <v>1</v>
      </c>
      <c r="G1440">
        <v>1</v>
      </c>
    </row>
    <row r="1441" spans="1:7" x14ac:dyDescent="0.25">
      <c r="A1441" t="s">
        <v>493</v>
      </c>
      <c r="E1441">
        <v>1</v>
      </c>
      <c r="G1441">
        <v>1</v>
      </c>
    </row>
    <row r="1442" spans="1:7" x14ac:dyDescent="0.25">
      <c r="A1442" t="s">
        <v>798</v>
      </c>
      <c r="E1442">
        <v>5</v>
      </c>
      <c r="G1442">
        <v>5</v>
      </c>
    </row>
    <row r="1443" spans="1:7" x14ac:dyDescent="0.25">
      <c r="A1443" t="s">
        <v>377</v>
      </c>
      <c r="E1443">
        <v>1</v>
      </c>
      <c r="G1443">
        <v>1</v>
      </c>
    </row>
    <row r="1444" spans="1:7" x14ac:dyDescent="0.25">
      <c r="A1444" t="s">
        <v>289</v>
      </c>
      <c r="E1444">
        <v>1</v>
      </c>
      <c r="G1444">
        <v>1</v>
      </c>
    </row>
    <row r="1445" spans="1:7" x14ac:dyDescent="0.25">
      <c r="A1445" t="s">
        <v>290</v>
      </c>
      <c r="E1445">
        <v>1</v>
      </c>
      <c r="G1445">
        <v>1</v>
      </c>
    </row>
    <row r="1446" spans="1:7" x14ac:dyDescent="0.25">
      <c r="A1446" t="s">
        <v>291</v>
      </c>
      <c r="E1446">
        <v>1</v>
      </c>
      <c r="G1446">
        <v>1</v>
      </c>
    </row>
    <row r="1447" spans="1:7" x14ac:dyDescent="0.25">
      <c r="A1447" t="s">
        <v>493</v>
      </c>
      <c r="E1447">
        <v>1</v>
      </c>
      <c r="G1447">
        <v>1</v>
      </c>
    </row>
    <row r="1448" spans="1:7" x14ac:dyDescent="0.25">
      <c r="A1448" t="s">
        <v>799</v>
      </c>
      <c r="E1448">
        <v>3</v>
      </c>
      <c r="G1448">
        <v>3</v>
      </c>
    </row>
    <row r="1449" spans="1:7" x14ac:dyDescent="0.25">
      <c r="A1449" t="s">
        <v>377</v>
      </c>
      <c r="E1449">
        <v>1</v>
      </c>
      <c r="G1449">
        <v>1</v>
      </c>
    </row>
    <row r="1450" spans="1:7" x14ac:dyDescent="0.25">
      <c r="A1450" t="s">
        <v>292</v>
      </c>
      <c r="E1450">
        <v>1</v>
      </c>
      <c r="G1450">
        <v>1</v>
      </c>
    </row>
    <row r="1451" spans="1:7" x14ac:dyDescent="0.25">
      <c r="A1451" t="s">
        <v>493</v>
      </c>
      <c r="E1451">
        <v>1</v>
      </c>
      <c r="G1451">
        <v>1</v>
      </c>
    </row>
    <row r="1452" spans="1:7" x14ac:dyDescent="0.25">
      <c r="A1452" t="s">
        <v>800</v>
      </c>
      <c r="E1452">
        <v>2</v>
      </c>
      <c r="G1452">
        <v>2</v>
      </c>
    </row>
    <row r="1453" spans="1:7" x14ac:dyDescent="0.25">
      <c r="A1453" t="s">
        <v>289</v>
      </c>
      <c r="E1453">
        <v>1</v>
      </c>
      <c r="G1453">
        <v>1</v>
      </c>
    </row>
    <row r="1454" spans="1:7" x14ac:dyDescent="0.25">
      <c r="A1454" t="s">
        <v>380</v>
      </c>
      <c r="E1454">
        <v>1</v>
      </c>
      <c r="G1454">
        <v>1</v>
      </c>
    </row>
    <row r="1455" spans="1:7" x14ac:dyDescent="0.25">
      <c r="A1455" t="s">
        <v>801</v>
      </c>
      <c r="E1455">
        <v>3</v>
      </c>
      <c r="G1455">
        <v>3</v>
      </c>
    </row>
    <row r="1456" spans="1:7" x14ac:dyDescent="0.25">
      <c r="A1456" t="s">
        <v>289</v>
      </c>
      <c r="E1456">
        <v>1</v>
      </c>
      <c r="G1456">
        <v>1</v>
      </c>
    </row>
    <row r="1457" spans="1:7" x14ac:dyDescent="0.25">
      <c r="A1457" t="s">
        <v>290</v>
      </c>
      <c r="E1457">
        <v>1</v>
      </c>
      <c r="G1457">
        <v>1</v>
      </c>
    </row>
    <row r="1458" spans="1:7" x14ac:dyDescent="0.25">
      <c r="A1458" t="s">
        <v>493</v>
      </c>
      <c r="E1458">
        <v>1</v>
      </c>
      <c r="G1458">
        <v>1</v>
      </c>
    </row>
    <row r="1459" spans="1:7" x14ac:dyDescent="0.25">
      <c r="A1459" t="s">
        <v>802</v>
      </c>
      <c r="E1459">
        <v>2</v>
      </c>
      <c r="G1459">
        <v>2</v>
      </c>
    </row>
    <row r="1460" spans="1:7" x14ac:dyDescent="0.25">
      <c r="A1460" t="s">
        <v>288</v>
      </c>
      <c r="E1460">
        <v>1</v>
      </c>
      <c r="G1460">
        <v>1</v>
      </c>
    </row>
    <row r="1461" spans="1:7" x14ac:dyDescent="0.25">
      <c r="A1461" t="s">
        <v>380</v>
      </c>
      <c r="E1461">
        <v>1</v>
      </c>
      <c r="G1461">
        <v>1</v>
      </c>
    </row>
    <row r="1462" spans="1:7" x14ac:dyDescent="0.25">
      <c r="A1462" t="s">
        <v>803</v>
      </c>
      <c r="E1462">
        <v>5</v>
      </c>
      <c r="G1462">
        <v>5</v>
      </c>
    </row>
    <row r="1463" spans="1:7" x14ac:dyDescent="0.25">
      <c r="A1463" t="s">
        <v>377</v>
      </c>
      <c r="E1463">
        <v>1</v>
      </c>
      <c r="G1463">
        <v>1</v>
      </c>
    </row>
    <row r="1464" spans="1:7" x14ac:dyDescent="0.25">
      <c r="A1464" t="s">
        <v>289</v>
      </c>
      <c r="E1464">
        <v>1</v>
      </c>
      <c r="G1464">
        <v>1</v>
      </c>
    </row>
    <row r="1465" spans="1:7" x14ac:dyDescent="0.25">
      <c r="A1465" t="s">
        <v>290</v>
      </c>
      <c r="E1465">
        <v>1</v>
      </c>
      <c r="G1465">
        <v>1</v>
      </c>
    </row>
    <row r="1466" spans="1:7" x14ac:dyDescent="0.25">
      <c r="A1466" t="s">
        <v>291</v>
      </c>
      <c r="E1466">
        <v>1</v>
      </c>
      <c r="G1466">
        <v>1</v>
      </c>
    </row>
    <row r="1467" spans="1:7" x14ac:dyDescent="0.25">
      <c r="A1467" t="s">
        <v>493</v>
      </c>
      <c r="E1467">
        <v>1</v>
      </c>
      <c r="G1467">
        <v>1</v>
      </c>
    </row>
    <row r="1468" spans="1:7" x14ac:dyDescent="0.25">
      <c r="A1468" t="s">
        <v>804</v>
      </c>
      <c r="E1468">
        <v>2</v>
      </c>
      <c r="G1468">
        <v>2</v>
      </c>
    </row>
    <row r="1469" spans="1:7" x14ac:dyDescent="0.25">
      <c r="A1469" t="s">
        <v>292</v>
      </c>
      <c r="E1469">
        <v>1</v>
      </c>
      <c r="G1469">
        <v>1</v>
      </c>
    </row>
    <row r="1470" spans="1:7" x14ac:dyDescent="0.25">
      <c r="A1470" t="s">
        <v>367</v>
      </c>
      <c r="E1470">
        <v>1</v>
      </c>
      <c r="G1470">
        <v>1</v>
      </c>
    </row>
    <row r="1471" spans="1:7" x14ac:dyDescent="0.25">
      <c r="A1471" t="s">
        <v>805</v>
      </c>
      <c r="E1471">
        <v>2</v>
      </c>
      <c r="G1471">
        <v>2</v>
      </c>
    </row>
    <row r="1472" spans="1:7" x14ac:dyDescent="0.25">
      <c r="A1472" t="s">
        <v>289</v>
      </c>
      <c r="E1472">
        <v>1</v>
      </c>
      <c r="G1472">
        <v>1</v>
      </c>
    </row>
    <row r="1473" spans="1:7" x14ac:dyDescent="0.25">
      <c r="A1473" t="s">
        <v>380</v>
      </c>
      <c r="E1473">
        <v>1</v>
      </c>
      <c r="G1473">
        <v>1</v>
      </c>
    </row>
    <row r="1474" spans="1:7" x14ac:dyDescent="0.25">
      <c r="A1474" t="s">
        <v>806</v>
      </c>
      <c r="E1474">
        <v>4</v>
      </c>
      <c r="G1474">
        <v>4</v>
      </c>
    </row>
    <row r="1475" spans="1:7" x14ac:dyDescent="0.25">
      <c r="A1475" t="s">
        <v>377</v>
      </c>
      <c r="E1475">
        <v>1</v>
      </c>
      <c r="G1475">
        <v>1</v>
      </c>
    </row>
    <row r="1476" spans="1:7" x14ac:dyDescent="0.25">
      <c r="A1476" t="s">
        <v>292</v>
      </c>
      <c r="E1476">
        <v>1</v>
      </c>
      <c r="G1476">
        <v>1</v>
      </c>
    </row>
    <row r="1477" spans="1:7" x14ac:dyDescent="0.25">
      <c r="A1477" t="s">
        <v>288</v>
      </c>
      <c r="E1477">
        <v>1</v>
      </c>
      <c r="G1477">
        <v>1</v>
      </c>
    </row>
    <row r="1478" spans="1:7" x14ac:dyDescent="0.25">
      <c r="A1478" t="s">
        <v>380</v>
      </c>
      <c r="E1478">
        <v>1</v>
      </c>
      <c r="G1478">
        <v>1</v>
      </c>
    </row>
    <row r="1479" spans="1:7" x14ac:dyDescent="0.25">
      <c r="A1479" t="s">
        <v>807</v>
      </c>
      <c r="E1479">
        <v>5</v>
      </c>
      <c r="G1479">
        <v>5</v>
      </c>
    </row>
    <row r="1480" spans="1:7" x14ac:dyDescent="0.25">
      <c r="A1480" t="s">
        <v>377</v>
      </c>
      <c r="E1480">
        <v>1</v>
      </c>
      <c r="G1480">
        <v>1</v>
      </c>
    </row>
    <row r="1481" spans="1:7" x14ac:dyDescent="0.25">
      <c r="A1481" t="s">
        <v>289</v>
      </c>
      <c r="E1481">
        <v>1</v>
      </c>
      <c r="G1481">
        <v>1</v>
      </c>
    </row>
    <row r="1482" spans="1:7" x14ac:dyDescent="0.25">
      <c r="A1482" t="s">
        <v>290</v>
      </c>
      <c r="E1482">
        <v>1</v>
      </c>
      <c r="G1482">
        <v>1</v>
      </c>
    </row>
    <row r="1483" spans="1:7" x14ac:dyDescent="0.25">
      <c r="A1483" t="s">
        <v>291</v>
      </c>
      <c r="E1483">
        <v>1</v>
      </c>
      <c r="G1483">
        <v>1</v>
      </c>
    </row>
    <row r="1484" spans="1:7" x14ac:dyDescent="0.25">
      <c r="A1484" t="s">
        <v>493</v>
      </c>
      <c r="E1484">
        <v>1</v>
      </c>
      <c r="G1484">
        <v>1</v>
      </c>
    </row>
    <row r="1485" spans="1:7" x14ac:dyDescent="0.25">
      <c r="A1485" t="s">
        <v>808</v>
      </c>
      <c r="E1485">
        <v>3</v>
      </c>
      <c r="G1485">
        <v>3</v>
      </c>
    </row>
    <row r="1486" spans="1:7" x14ac:dyDescent="0.25">
      <c r="A1486" t="s">
        <v>290</v>
      </c>
      <c r="E1486">
        <v>1</v>
      </c>
      <c r="G1486">
        <v>1</v>
      </c>
    </row>
    <row r="1487" spans="1:7" x14ac:dyDescent="0.25">
      <c r="A1487" t="s">
        <v>291</v>
      </c>
      <c r="E1487">
        <v>1</v>
      </c>
      <c r="G1487">
        <v>1</v>
      </c>
    </row>
    <row r="1488" spans="1:7" x14ac:dyDescent="0.25">
      <c r="A1488" t="s">
        <v>380</v>
      </c>
      <c r="E1488">
        <v>1</v>
      </c>
      <c r="G1488">
        <v>1</v>
      </c>
    </row>
    <row r="1489" spans="1:7" x14ac:dyDescent="0.25">
      <c r="A1489" t="s">
        <v>809</v>
      </c>
      <c r="E1489">
        <v>2</v>
      </c>
      <c r="G1489">
        <v>2</v>
      </c>
    </row>
    <row r="1490" spans="1:7" x14ac:dyDescent="0.25">
      <c r="A1490" t="s">
        <v>288</v>
      </c>
      <c r="E1490">
        <v>1</v>
      </c>
      <c r="G1490">
        <v>1</v>
      </c>
    </row>
    <row r="1491" spans="1:7" x14ac:dyDescent="0.25">
      <c r="A1491" t="s">
        <v>380</v>
      </c>
      <c r="E1491">
        <v>1</v>
      </c>
      <c r="G1491">
        <v>1</v>
      </c>
    </row>
    <row r="1492" spans="1:7" x14ac:dyDescent="0.25">
      <c r="A1492" t="s">
        <v>810</v>
      </c>
      <c r="E1492">
        <v>4</v>
      </c>
      <c r="G1492">
        <v>4</v>
      </c>
    </row>
    <row r="1493" spans="1:7" x14ac:dyDescent="0.25">
      <c r="A1493" t="s">
        <v>289</v>
      </c>
      <c r="E1493">
        <v>1</v>
      </c>
      <c r="G1493">
        <v>1</v>
      </c>
    </row>
    <row r="1494" spans="1:7" x14ac:dyDescent="0.25">
      <c r="A1494" t="s">
        <v>290</v>
      </c>
      <c r="E1494">
        <v>1</v>
      </c>
      <c r="G1494">
        <v>1</v>
      </c>
    </row>
    <row r="1495" spans="1:7" x14ac:dyDescent="0.25">
      <c r="A1495" t="s">
        <v>291</v>
      </c>
      <c r="E1495">
        <v>1</v>
      </c>
      <c r="G1495">
        <v>1</v>
      </c>
    </row>
    <row r="1496" spans="1:7" x14ac:dyDescent="0.25">
      <c r="A1496" t="s">
        <v>493</v>
      </c>
      <c r="E1496">
        <v>1</v>
      </c>
      <c r="G1496">
        <v>1</v>
      </c>
    </row>
    <row r="1497" spans="1:7" x14ac:dyDescent="0.25">
      <c r="A1497" t="s">
        <v>811</v>
      </c>
      <c r="E1497">
        <v>5</v>
      </c>
      <c r="G1497">
        <v>5</v>
      </c>
    </row>
    <row r="1498" spans="1:7" x14ac:dyDescent="0.25">
      <c r="A1498" t="s">
        <v>377</v>
      </c>
      <c r="E1498">
        <v>1</v>
      </c>
      <c r="G1498">
        <v>1</v>
      </c>
    </row>
    <row r="1499" spans="1:7" x14ac:dyDescent="0.25">
      <c r="A1499" t="s">
        <v>289</v>
      </c>
      <c r="E1499">
        <v>1</v>
      </c>
      <c r="G1499">
        <v>1</v>
      </c>
    </row>
    <row r="1500" spans="1:7" x14ac:dyDescent="0.25">
      <c r="A1500" t="s">
        <v>290</v>
      </c>
      <c r="E1500">
        <v>1</v>
      </c>
      <c r="G1500">
        <v>1</v>
      </c>
    </row>
    <row r="1501" spans="1:7" x14ac:dyDescent="0.25">
      <c r="A1501" t="s">
        <v>291</v>
      </c>
      <c r="E1501">
        <v>1</v>
      </c>
      <c r="G1501">
        <v>1</v>
      </c>
    </row>
    <row r="1502" spans="1:7" x14ac:dyDescent="0.25">
      <c r="A1502" t="s">
        <v>493</v>
      </c>
      <c r="E1502">
        <v>1</v>
      </c>
      <c r="G1502">
        <v>1</v>
      </c>
    </row>
    <row r="1503" spans="1:7" x14ac:dyDescent="0.25">
      <c r="A1503" t="s">
        <v>812</v>
      </c>
      <c r="E1503">
        <v>4</v>
      </c>
      <c r="G1503">
        <v>4</v>
      </c>
    </row>
    <row r="1504" spans="1:7" x14ac:dyDescent="0.25">
      <c r="A1504" t="s">
        <v>377</v>
      </c>
      <c r="E1504">
        <v>1</v>
      </c>
      <c r="G1504">
        <v>1</v>
      </c>
    </row>
    <row r="1505" spans="1:7" x14ac:dyDescent="0.25">
      <c r="A1505" t="s">
        <v>289</v>
      </c>
      <c r="E1505">
        <v>1</v>
      </c>
      <c r="G1505">
        <v>1</v>
      </c>
    </row>
    <row r="1506" spans="1:7" x14ac:dyDescent="0.25">
      <c r="A1506" t="s">
        <v>290</v>
      </c>
      <c r="E1506">
        <v>1</v>
      </c>
      <c r="G1506">
        <v>1</v>
      </c>
    </row>
    <row r="1507" spans="1:7" x14ac:dyDescent="0.25">
      <c r="A1507" t="s">
        <v>493</v>
      </c>
      <c r="E1507">
        <v>1</v>
      </c>
      <c r="G1507">
        <v>1</v>
      </c>
    </row>
    <row r="1508" spans="1:7" x14ac:dyDescent="0.25">
      <c r="A1508" t="s">
        <v>813</v>
      </c>
      <c r="E1508">
        <v>5</v>
      </c>
      <c r="G1508">
        <v>5</v>
      </c>
    </row>
    <row r="1509" spans="1:7" x14ac:dyDescent="0.25">
      <c r="A1509" t="s">
        <v>377</v>
      </c>
      <c r="E1509">
        <v>1</v>
      </c>
      <c r="G1509">
        <v>1</v>
      </c>
    </row>
    <row r="1510" spans="1:7" x14ac:dyDescent="0.25">
      <c r="A1510" t="s">
        <v>289</v>
      </c>
      <c r="E1510">
        <v>1</v>
      </c>
      <c r="G1510">
        <v>1</v>
      </c>
    </row>
    <row r="1511" spans="1:7" x14ac:dyDescent="0.25">
      <c r="A1511" t="s">
        <v>290</v>
      </c>
      <c r="E1511">
        <v>1</v>
      </c>
      <c r="G1511">
        <v>1</v>
      </c>
    </row>
    <row r="1512" spans="1:7" x14ac:dyDescent="0.25">
      <c r="A1512" t="s">
        <v>291</v>
      </c>
      <c r="E1512">
        <v>1</v>
      </c>
      <c r="G1512">
        <v>1</v>
      </c>
    </row>
    <row r="1513" spans="1:7" x14ac:dyDescent="0.25">
      <c r="A1513" t="s">
        <v>493</v>
      </c>
      <c r="E1513">
        <v>1</v>
      </c>
      <c r="G1513">
        <v>1</v>
      </c>
    </row>
    <row r="1514" spans="1:7" x14ac:dyDescent="0.25">
      <c r="A1514" t="s">
        <v>814</v>
      </c>
      <c r="E1514">
        <v>2</v>
      </c>
      <c r="G1514">
        <v>2</v>
      </c>
    </row>
    <row r="1515" spans="1:7" x14ac:dyDescent="0.25">
      <c r="A1515" t="s">
        <v>288</v>
      </c>
      <c r="E1515">
        <v>1</v>
      </c>
      <c r="G1515">
        <v>1</v>
      </c>
    </row>
    <row r="1516" spans="1:7" x14ac:dyDescent="0.25">
      <c r="A1516" t="s">
        <v>380</v>
      </c>
      <c r="E1516">
        <v>1</v>
      </c>
      <c r="G1516">
        <v>1</v>
      </c>
    </row>
    <row r="1517" spans="1:7" x14ac:dyDescent="0.25">
      <c r="A1517" t="s">
        <v>815</v>
      </c>
      <c r="E1517">
        <v>5</v>
      </c>
      <c r="G1517">
        <v>5</v>
      </c>
    </row>
    <row r="1518" spans="1:7" x14ac:dyDescent="0.25">
      <c r="A1518" t="s">
        <v>377</v>
      </c>
      <c r="E1518">
        <v>1</v>
      </c>
      <c r="G1518">
        <v>1</v>
      </c>
    </row>
    <row r="1519" spans="1:7" x14ac:dyDescent="0.25">
      <c r="A1519" t="s">
        <v>289</v>
      </c>
      <c r="E1519">
        <v>1</v>
      </c>
      <c r="G1519">
        <v>1</v>
      </c>
    </row>
    <row r="1520" spans="1:7" x14ac:dyDescent="0.25">
      <c r="A1520" t="s">
        <v>290</v>
      </c>
      <c r="E1520">
        <v>1</v>
      </c>
      <c r="G1520">
        <v>1</v>
      </c>
    </row>
    <row r="1521" spans="1:7" x14ac:dyDescent="0.25">
      <c r="A1521" t="s">
        <v>291</v>
      </c>
      <c r="E1521">
        <v>1</v>
      </c>
      <c r="G1521">
        <v>1</v>
      </c>
    </row>
    <row r="1522" spans="1:7" x14ac:dyDescent="0.25">
      <c r="A1522" t="s">
        <v>493</v>
      </c>
      <c r="E1522">
        <v>1</v>
      </c>
      <c r="G1522">
        <v>1</v>
      </c>
    </row>
    <row r="1523" spans="1:7" x14ac:dyDescent="0.25">
      <c r="A1523" t="s">
        <v>816</v>
      </c>
      <c r="E1523">
        <v>3</v>
      </c>
      <c r="G1523">
        <v>3</v>
      </c>
    </row>
    <row r="1524" spans="1:7" x14ac:dyDescent="0.25">
      <c r="A1524" t="s">
        <v>377</v>
      </c>
      <c r="E1524">
        <v>1</v>
      </c>
      <c r="G1524">
        <v>1</v>
      </c>
    </row>
    <row r="1525" spans="1:7" x14ac:dyDescent="0.25">
      <c r="A1525" t="s">
        <v>288</v>
      </c>
      <c r="E1525">
        <v>1</v>
      </c>
      <c r="G1525">
        <v>1</v>
      </c>
    </row>
    <row r="1526" spans="1:7" x14ac:dyDescent="0.25">
      <c r="A1526" t="s">
        <v>493</v>
      </c>
      <c r="E1526">
        <v>1</v>
      </c>
      <c r="G1526">
        <v>1</v>
      </c>
    </row>
    <row r="1527" spans="1:7" x14ac:dyDescent="0.25">
      <c r="A1527" t="s">
        <v>817</v>
      </c>
      <c r="E1527">
        <v>3</v>
      </c>
      <c r="G1527">
        <v>3</v>
      </c>
    </row>
    <row r="1528" spans="1:7" x14ac:dyDescent="0.25">
      <c r="A1528" t="s">
        <v>377</v>
      </c>
      <c r="E1528">
        <v>1</v>
      </c>
      <c r="G1528">
        <v>1</v>
      </c>
    </row>
    <row r="1529" spans="1:7" x14ac:dyDescent="0.25">
      <c r="A1529" t="s">
        <v>288</v>
      </c>
      <c r="E1529">
        <v>1</v>
      </c>
      <c r="G1529">
        <v>1</v>
      </c>
    </row>
    <row r="1530" spans="1:7" x14ac:dyDescent="0.25">
      <c r="A1530" t="s">
        <v>493</v>
      </c>
      <c r="E1530">
        <v>1</v>
      </c>
      <c r="G1530">
        <v>1</v>
      </c>
    </row>
    <row r="1531" spans="1:7" x14ac:dyDescent="0.25">
      <c r="A1531" t="s">
        <v>818</v>
      </c>
      <c r="E1531">
        <v>2</v>
      </c>
      <c r="G1531">
        <v>2</v>
      </c>
    </row>
    <row r="1532" spans="1:7" x14ac:dyDescent="0.25">
      <c r="A1532" t="s">
        <v>288</v>
      </c>
      <c r="E1532">
        <v>1</v>
      </c>
      <c r="G1532">
        <v>1</v>
      </c>
    </row>
    <row r="1533" spans="1:7" x14ac:dyDescent="0.25">
      <c r="A1533" t="s">
        <v>380</v>
      </c>
      <c r="E1533">
        <v>1</v>
      </c>
      <c r="G1533">
        <v>1</v>
      </c>
    </row>
    <row r="1534" spans="1:7" x14ac:dyDescent="0.25">
      <c r="A1534" t="s">
        <v>819</v>
      </c>
      <c r="E1534">
        <v>2</v>
      </c>
      <c r="G1534">
        <v>2</v>
      </c>
    </row>
    <row r="1535" spans="1:7" x14ac:dyDescent="0.25">
      <c r="A1535" t="s">
        <v>288</v>
      </c>
      <c r="E1535">
        <v>1</v>
      </c>
      <c r="G1535">
        <v>1</v>
      </c>
    </row>
    <row r="1536" spans="1:7" x14ac:dyDescent="0.25">
      <c r="A1536" t="s">
        <v>493</v>
      </c>
      <c r="E1536">
        <v>1</v>
      </c>
      <c r="G1536">
        <v>1</v>
      </c>
    </row>
    <row r="1537" spans="1:7" x14ac:dyDescent="0.25">
      <c r="A1537" t="s">
        <v>820</v>
      </c>
      <c r="E1537">
        <v>2</v>
      </c>
      <c r="G1537">
        <v>2</v>
      </c>
    </row>
    <row r="1538" spans="1:7" x14ac:dyDescent="0.25">
      <c r="A1538" t="s">
        <v>288</v>
      </c>
      <c r="E1538">
        <v>1</v>
      </c>
      <c r="G1538">
        <v>1</v>
      </c>
    </row>
    <row r="1539" spans="1:7" x14ac:dyDescent="0.25">
      <c r="A1539" t="s">
        <v>380</v>
      </c>
      <c r="E1539">
        <v>1</v>
      </c>
      <c r="G1539">
        <v>1</v>
      </c>
    </row>
    <row r="1540" spans="1:7" x14ac:dyDescent="0.25">
      <c r="A1540" t="s">
        <v>821</v>
      </c>
      <c r="E1540">
        <v>2</v>
      </c>
      <c r="G1540">
        <v>2</v>
      </c>
    </row>
    <row r="1541" spans="1:7" x14ac:dyDescent="0.25">
      <c r="A1541" t="s">
        <v>291</v>
      </c>
      <c r="E1541">
        <v>1</v>
      </c>
      <c r="G1541">
        <v>1</v>
      </c>
    </row>
    <row r="1542" spans="1:7" x14ac:dyDescent="0.25">
      <c r="A1542" t="s">
        <v>380</v>
      </c>
      <c r="E1542">
        <v>1</v>
      </c>
      <c r="G1542">
        <v>1</v>
      </c>
    </row>
    <row r="1543" spans="1:7" x14ac:dyDescent="0.25">
      <c r="A1543" t="s">
        <v>822</v>
      </c>
      <c r="E1543">
        <v>3</v>
      </c>
      <c r="G1543">
        <v>3</v>
      </c>
    </row>
    <row r="1544" spans="1:7" x14ac:dyDescent="0.25">
      <c r="A1544" t="s">
        <v>377</v>
      </c>
      <c r="E1544">
        <v>1</v>
      </c>
      <c r="G1544">
        <v>1</v>
      </c>
    </row>
    <row r="1545" spans="1:7" x14ac:dyDescent="0.25">
      <c r="A1545" t="s">
        <v>288</v>
      </c>
      <c r="E1545">
        <v>1</v>
      </c>
      <c r="G1545">
        <v>1</v>
      </c>
    </row>
    <row r="1546" spans="1:7" x14ac:dyDescent="0.25">
      <c r="A1546" t="s">
        <v>380</v>
      </c>
      <c r="E1546">
        <v>1</v>
      </c>
      <c r="G1546">
        <v>1</v>
      </c>
    </row>
    <row r="1547" spans="1:7" x14ac:dyDescent="0.25">
      <c r="A1547" t="s">
        <v>823</v>
      </c>
      <c r="E1547">
        <v>2</v>
      </c>
      <c r="G1547">
        <v>2</v>
      </c>
    </row>
    <row r="1548" spans="1:7" x14ac:dyDescent="0.25">
      <c r="A1548" t="s">
        <v>291</v>
      </c>
      <c r="E1548">
        <v>1</v>
      </c>
      <c r="G1548">
        <v>1</v>
      </c>
    </row>
    <row r="1549" spans="1:7" x14ac:dyDescent="0.25">
      <c r="A1549" t="s">
        <v>380</v>
      </c>
      <c r="E1549">
        <v>1</v>
      </c>
      <c r="G1549">
        <v>1</v>
      </c>
    </row>
    <row r="1550" spans="1:7" x14ac:dyDescent="0.25">
      <c r="A1550" t="s">
        <v>824</v>
      </c>
      <c r="E1550">
        <v>2</v>
      </c>
      <c r="G1550">
        <v>2</v>
      </c>
    </row>
    <row r="1551" spans="1:7" x14ac:dyDescent="0.25">
      <c r="A1551" t="s">
        <v>288</v>
      </c>
      <c r="E1551">
        <v>1</v>
      </c>
      <c r="G1551">
        <v>1</v>
      </c>
    </row>
    <row r="1552" spans="1:7" x14ac:dyDescent="0.25">
      <c r="A1552" t="s">
        <v>367</v>
      </c>
      <c r="E1552">
        <v>1</v>
      </c>
      <c r="G1552">
        <v>1</v>
      </c>
    </row>
    <row r="1553" spans="1:7" x14ac:dyDescent="0.25">
      <c r="A1553" t="s">
        <v>825</v>
      </c>
      <c r="E1553">
        <v>2</v>
      </c>
      <c r="G1553">
        <v>2</v>
      </c>
    </row>
    <row r="1554" spans="1:7" x14ac:dyDescent="0.25">
      <c r="A1554" t="s">
        <v>292</v>
      </c>
      <c r="E1554">
        <v>1</v>
      </c>
      <c r="G1554">
        <v>1</v>
      </c>
    </row>
    <row r="1555" spans="1:7" x14ac:dyDescent="0.25">
      <c r="A1555" t="s">
        <v>380</v>
      </c>
      <c r="E1555">
        <v>1</v>
      </c>
      <c r="G1555">
        <v>1</v>
      </c>
    </row>
    <row r="1556" spans="1:7" x14ac:dyDescent="0.25">
      <c r="A1556" t="s">
        <v>826</v>
      </c>
      <c r="E1556">
        <v>2</v>
      </c>
      <c r="G1556">
        <v>2</v>
      </c>
    </row>
    <row r="1557" spans="1:7" x14ac:dyDescent="0.25">
      <c r="A1557" t="s">
        <v>288</v>
      </c>
      <c r="E1557">
        <v>1</v>
      </c>
      <c r="G1557">
        <v>1</v>
      </c>
    </row>
    <row r="1558" spans="1:7" x14ac:dyDescent="0.25">
      <c r="A1558" t="s">
        <v>367</v>
      </c>
      <c r="E1558">
        <v>1</v>
      </c>
      <c r="G1558">
        <v>1</v>
      </c>
    </row>
    <row r="1559" spans="1:7" x14ac:dyDescent="0.25">
      <c r="A1559" t="s">
        <v>827</v>
      </c>
      <c r="E1559">
        <v>2</v>
      </c>
      <c r="G1559">
        <v>2</v>
      </c>
    </row>
    <row r="1560" spans="1:7" x14ac:dyDescent="0.25">
      <c r="A1560" t="s">
        <v>288</v>
      </c>
      <c r="E1560">
        <v>1</v>
      </c>
      <c r="G1560">
        <v>1</v>
      </c>
    </row>
    <row r="1561" spans="1:7" x14ac:dyDescent="0.25">
      <c r="A1561" t="s">
        <v>367</v>
      </c>
      <c r="E1561">
        <v>1</v>
      </c>
      <c r="G1561">
        <v>1</v>
      </c>
    </row>
    <row r="1562" spans="1:7" x14ac:dyDescent="0.25">
      <c r="A1562" t="s">
        <v>828</v>
      </c>
      <c r="E1562">
        <v>4</v>
      </c>
      <c r="G1562">
        <v>4</v>
      </c>
    </row>
    <row r="1563" spans="1:7" x14ac:dyDescent="0.25">
      <c r="A1563" t="s">
        <v>377</v>
      </c>
      <c r="E1563">
        <v>1</v>
      </c>
      <c r="G1563">
        <v>1</v>
      </c>
    </row>
    <row r="1564" spans="1:7" x14ac:dyDescent="0.25">
      <c r="A1564" t="s">
        <v>289</v>
      </c>
      <c r="E1564">
        <v>1</v>
      </c>
      <c r="G1564">
        <v>1</v>
      </c>
    </row>
    <row r="1565" spans="1:7" x14ac:dyDescent="0.25">
      <c r="A1565" t="s">
        <v>288</v>
      </c>
      <c r="E1565">
        <v>1</v>
      </c>
      <c r="G1565">
        <v>1</v>
      </c>
    </row>
    <row r="1566" spans="1:7" x14ac:dyDescent="0.25">
      <c r="A1566" t="s">
        <v>380</v>
      </c>
      <c r="E1566">
        <v>1</v>
      </c>
      <c r="G1566">
        <v>1</v>
      </c>
    </row>
    <row r="1567" spans="1:7" x14ac:dyDescent="0.25">
      <c r="A1567" t="s">
        <v>829</v>
      </c>
      <c r="E1567">
        <v>2</v>
      </c>
      <c r="G1567">
        <v>2</v>
      </c>
    </row>
    <row r="1568" spans="1:7" x14ac:dyDescent="0.25">
      <c r="A1568" t="s">
        <v>292</v>
      </c>
      <c r="E1568">
        <v>1</v>
      </c>
      <c r="G1568">
        <v>1</v>
      </c>
    </row>
    <row r="1569" spans="1:7" x14ac:dyDescent="0.25">
      <c r="A1569" t="s">
        <v>380</v>
      </c>
      <c r="E1569">
        <v>1</v>
      </c>
      <c r="G1569">
        <v>1</v>
      </c>
    </row>
    <row r="1570" spans="1:7" x14ac:dyDescent="0.25">
      <c r="A1570" t="s">
        <v>830</v>
      </c>
      <c r="E1570">
        <v>3</v>
      </c>
      <c r="G1570">
        <v>3</v>
      </c>
    </row>
    <row r="1571" spans="1:7" x14ac:dyDescent="0.25">
      <c r="A1571" t="s">
        <v>289</v>
      </c>
      <c r="E1571">
        <v>1</v>
      </c>
      <c r="G1571">
        <v>1</v>
      </c>
    </row>
    <row r="1572" spans="1:7" x14ac:dyDescent="0.25">
      <c r="A1572" t="s">
        <v>291</v>
      </c>
      <c r="E1572">
        <v>1</v>
      </c>
      <c r="G1572">
        <v>1</v>
      </c>
    </row>
    <row r="1573" spans="1:7" x14ac:dyDescent="0.25">
      <c r="A1573" t="s">
        <v>493</v>
      </c>
      <c r="E1573">
        <v>1</v>
      </c>
      <c r="G1573">
        <v>1</v>
      </c>
    </row>
    <row r="1574" spans="1:7" x14ac:dyDescent="0.25">
      <c r="A1574" t="s">
        <v>831</v>
      </c>
      <c r="E1574">
        <v>5</v>
      </c>
      <c r="G1574">
        <v>5</v>
      </c>
    </row>
    <row r="1575" spans="1:7" x14ac:dyDescent="0.25">
      <c r="A1575" t="s">
        <v>377</v>
      </c>
      <c r="E1575">
        <v>1</v>
      </c>
      <c r="G1575">
        <v>1</v>
      </c>
    </row>
    <row r="1576" spans="1:7" x14ac:dyDescent="0.25">
      <c r="A1576" t="s">
        <v>289</v>
      </c>
      <c r="E1576">
        <v>1</v>
      </c>
      <c r="G1576">
        <v>1</v>
      </c>
    </row>
    <row r="1577" spans="1:7" x14ac:dyDescent="0.25">
      <c r="A1577" t="s">
        <v>290</v>
      </c>
      <c r="E1577">
        <v>1</v>
      </c>
      <c r="G1577">
        <v>1</v>
      </c>
    </row>
    <row r="1578" spans="1:7" x14ac:dyDescent="0.25">
      <c r="A1578" t="s">
        <v>291</v>
      </c>
      <c r="E1578">
        <v>1</v>
      </c>
      <c r="G1578">
        <v>1</v>
      </c>
    </row>
    <row r="1579" spans="1:7" x14ac:dyDescent="0.25">
      <c r="A1579" t="s">
        <v>493</v>
      </c>
      <c r="E1579">
        <v>1</v>
      </c>
      <c r="G1579">
        <v>1</v>
      </c>
    </row>
    <row r="1580" spans="1:7" x14ac:dyDescent="0.25">
      <c r="A1580" t="s">
        <v>832</v>
      </c>
      <c r="E1580">
        <v>3</v>
      </c>
      <c r="G1580">
        <v>3</v>
      </c>
    </row>
    <row r="1581" spans="1:7" x14ac:dyDescent="0.25">
      <c r="A1581" t="s">
        <v>295</v>
      </c>
      <c r="E1581">
        <v>1</v>
      </c>
      <c r="G1581">
        <v>1</v>
      </c>
    </row>
    <row r="1582" spans="1:7" x14ac:dyDescent="0.25">
      <c r="A1582" t="s">
        <v>297</v>
      </c>
      <c r="E1582">
        <v>1</v>
      </c>
      <c r="G1582">
        <v>1</v>
      </c>
    </row>
    <row r="1583" spans="1:7" x14ac:dyDescent="0.25">
      <c r="A1583" t="s">
        <v>493</v>
      </c>
      <c r="E1583">
        <v>1</v>
      </c>
      <c r="G1583">
        <v>1</v>
      </c>
    </row>
    <row r="1584" spans="1:7" x14ac:dyDescent="0.25">
      <c r="A1584" t="s">
        <v>833</v>
      </c>
      <c r="E1584">
        <v>3</v>
      </c>
      <c r="G1584">
        <v>3</v>
      </c>
    </row>
    <row r="1585" spans="1:7" x14ac:dyDescent="0.25">
      <c r="A1585" t="s">
        <v>377</v>
      </c>
      <c r="E1585">
        <v>1</v>
      </c>
      <c r="G1585">
        <v>1</v>
      </c>
    </row>
    <row r="1586" spans="1:7" x14ac:dyDescent="0.25">
      <c r="A1586" t="s">
        <v>288</v>
      </c>
      <c r="E1586">
        <v>1</v>
      </c>
      <c r="G1586">
        <v>1</v>
      </c>
    </row>
    <row r="1587" spans="1:7" x14ac:dyDescent="0.25">
      <c r="A1587" t="s">
        <v>493</v>
      </c>
      <c r="E1587">
        <v>1</v>
      </c>
      <c r="G1587">
        <v>1</v>
      </c>
    </row>
    <row r="1588" spans="1:7" x14ac:dyDescent="0.25">
      <c r="A1588" t="s">
        <v>834</v>
      </c>
      <c r="E1588">
        <v>3</v>
      </c>
      <c r="G1588">
        <v>3</v>
      </c>
    </row>
    <row r="1589" spans="1:7" x14ac:dyDescent="0.25">
      <c r="A1589" t="s">
        <v>377</v>
      </c>
      <c r="E1589">
        <v>1</v>
      </c>
      <c r="G1589">
        <v>1</v>
      </c>
    </row>
    <row r="1590" spans="1:7" x14ac:dyDescent="0.25">
      <c r="A1590" t="s">
        <v>288</v>
      </c>
      <c r="E1590">
        <v>1</v>
      </c>
      <c r="G1590">
        <v>1</v>
      </c>
    </row>
    <row r="1591" spans="1:7" x14ac:dyDescent="0.25">
      <c r="A1591" t="s">
        <v>493</v>
      </c>
      <c r="E1591">
        <v>1</v>
      </c>
      <c r="G1591">
        <v>1</v>
      </c>
    </row>
    <row r="1592" spans="1:7" x14ac:dyDescent="0.25">
      <c r="A1592" t="s">
        <v>835</v>
      </c>
      <c r="E1592">
        <v>5</v>
      </c>
      <c r="G1592">
        <v>5</v>
      </c>
    </row>
    <row r="1593" spans="1:7" x14ac:dyDescent="0.25">
      <c r="A1593" t="s">
        <v>377</v>
      </c>
      <c r="E1593">
        <v>1</v>
      </c>
      <c r="G1593">
        <v>1</v>
      </c>
    </row>
    <row r="1594" spans="1:7" x14ac:dyDescent="0.25">
      <c r="A1594" t="s">
        <v>293</v>
      </c>
      <c r="E1594">
        <v>1</v>
      </c>
      <c r="G1594">
        <v>1</v>
      </c>
    </row>
    <row r="1595" spans="1:7" x14ac:dyDescent="0.25">
      <c r="A1595" t="s">
        <v>295</v>
      </c>
      <c r="E1595">
        <v>1</v>
      </c>
      <c r="G1595">
        <v>1</v>
      </c>
    </row>
    <row r="1596" spans="1:7" x14ac:dyDescent="0.25">
      <c r="A1596" t="s">
        <v>297</v>
      </c>
      <c r="E1596">
        <v>1</v>
      </c>
      <c r="G1596">
        <v>1</v>
      </c>
    </row>
    <row r="1597" spans="1:7" x14ac:dyDescent="0.25">
      <c r="A1597" t="s">
        <v>493</v>
      </c>
      <c r="E1597">
        <v>1</v>
      </c>
      <c r="G1597">
        <v>1</v>
      </c>
    </row>
    <row r="1598" spans="1:7" x14ac:dyDescent="0.25">
      <c r="A1598" t="s">
        <v>836</v>
      </c>
      <c r="E1598">
        <v>3</v>
      </c>
      <c r="G1598">
        <v>3</v>
      </c>
    </row>
    <row r="1599" spans="1:7" x14ac:dyDescent="0.25">
      <c r="A1599" t="s">
        <v>377</v>
      </c>
      <c r="E1599">
        <v>1</v>
      </c>
      <c r="G1599">
        <v>1</v>
      </c>
    </row>
    <row r="1600" spans="1:7" x14ac:dyDescent="0.25">
      <c r="A1600" t="s">
        <v>288</v>
      </c>
      <c r="E1600">
        <v>1</v>
      </c>
      <c r="G1600">
        <v>1</v>
      </c>
    </row>
    <row r="1601" spans="1:7" x14ac:dyDescent="0.25">
      <c r="A1601" t="s">
        <v>493</v>
      </c>
      <c r="E1601">
        <v>1</v>
      </c>
      <c r="G1601">
        <v>1</v>
      </c>
    </row>
    <row r="1602" spans="1:7" x14ac:dyDescent="0.25">
      <c r="A1602" t="s">
        <v>837</v>
      </c>
      <c r="E1602">
        <v>2</v>
      </c>
      <c r="G1602">
        <v>2</v>
      </c>
    </row>
    <row r="1603" spans="1:7" x14ac:dyDescent="0.25">
      <c r="A1603" t="s">
        <v>288</v>
      </c>
      <c r="E1603">
        <v>1</v>
      </c>
      <c r="G1603">
        <v>1</v>
      </c>
    </row>
    <row r="1604" spans="1:7" x14ac:dyDescent="0.25">
      <c r="A1604" t="s">
        <v>380</v>
      </c>
      <c r="E1604">
        <v>1</v>
      </c>
      <c r="G1604">
        <v>1</v>
      </c>
    </row>
    <row r="1605" spans="1:7" x14ac:dyDescent="0.25">
      <c r="A1605" t="s">
        <v>838</v>
      </c>
      <c r="E1605">
        <v>5</v>
      </c>
      <c r="G1605">
        <v>5</v>
      </c>
    </row>
    <row r="1606" spans="1:7" x14ac:dyDescent="0.25">
      <c r="A1606" t="s">
        <v>377</v>
      </c>
      <c r="E1606">
        <v>1</v>
      </c>
      <c r="G1606">
        <v>1</v>
      </c>
    </row>
    <row r="1607" spans="1:7" x14ac:dyDescent="0.25">
      <c r="A1607" t="s">
        <v>289</v>
      </c>
      <c r="E1607">
        <v>1</v>
      </c>
      <c r="G1607">
        <v>1</v>
      </c>
    </row>
    <row r="1608" spans="1:7" x14ac:dyDescent="0.25">
      <c r="A1608" t="s">
        <v>290</v>
      </c>
      <c r="E1608">
        <v>1</v>
      </c>
      <c r="G1608">
        <v>1</v>
      </c>
    </row>
    <row r="1609" spans="1:7" x14ac:dyDescent="0.25">
      <c r="A1609" t="s">
        <v>291</v>
      </c>
      <c r="E1609">
        <v>1</v>
      </c>
      <c r="G1609">
        <v>1</v>
      </c>
    </row>
    <row r="1610" spans="1:7" x14ac:dyDescent="0.25">
      <c r="A1610" t="s">
        <v>493</v>
      </c>
      <c r="E1610">
        <v>1</v>
      </c>
      <c r="G1610">
        <v>1</v>
      </c>
    </row>
    <row r="1611" spans="1:7" x14ac:dyDescent="0.25">
      <c r="A1611" t="s">
        <v>839</v>
      </c>
      <c r="E1611">
        <v>2</v>
      </c>
      <c r="G1611">
        <v>2</v>
      </c>
    </row>
    <row r="1612" spans="1:7" x14ac:dyDescent="0.25">
      <c r="A1612" t="s">
        <v>288</v>
      </c>
      <c r="E1612">
        <v>1</v>
      </c>
      <c r="G1612">
        <v>1</v>
      </c>
    </row>
    <row r="1613" spans="1:7" x14ac:dyDescent="0.25">
      <c r="A1613" t="s">
        <v>380</v>
      </c>
      <c r="E1613">
        <v>1</v>
      </c>
      <c r="G1613">
        <v>1</v>
      </c>
    </row>
    <row r="1614" spans="1:7" x14ac:dyDescent="0.25">
      <c r="A1614" t="s">
        <v>840</v>
      </c>
      <c r="E1614">
        <v>2</v>
      </c>
      <c r="G1614">
        <v>2</v>
      </c>
    </row>
    <row r="1615" spans="1:7" x14ac:dyDescent="0.25">
      <c r="A1615" t="s">
        <v>288</v>
      </c>
      <c r="E1615">
        <v>1</v>
      </c>
      <c r="G1615">
        <v>1</v>
      </c>
    </row>
    <row r="1616" spans="1:7" x14ac:dyDescent="0.25">
      <c r="A1616" t="s">
        <v>380</v>
      </c>
      <c r="E1616">
        <v>1</v>
      </c>
      <c r="G1616">
        <v>1</v>
      </c>
    </row>
    <row r="1617" spans="1:7" x14ac:dyDescent="0.25">
      <c r="A1617" t="s">
        <v>841</v>
      </c>
      <c r="E1617">
        <v>2</v>
      </c>
      <c r="G1617">
        <v>2</v>
      </c>
    </row>
    <row r="1618" spans="1:7" x14ac:dyDescent="0.25">
      <c r="A1618" t="s">
        <v>288</v>
      </c>
      <c r="E1618">
        <v>1</v>
      </c>
      <c r="G1618">
        <v>1</v>
      </c>
    </row>
    <row r="1619" spans="1:7" x14ac:dyDescent="0.25">
      <c r="A1619" t="s">
        <v>367</v>
      </c>
      <c r="E1619">
        <v>1</v>
      </c>
      <c r="G1619">
        <v>1</v>
      </c>
    </row>
    <row r="1620" spans="1:7" x14ac:dyDescent="0.25">
      <c r="A1620" t="s">
        <v>842</v>
      </c>
      <c r="E1620">
        <v>3</v>
      </c>
      <c r="G1620">
        <v>3</v>
      </c>
    </row>
    <row r="1621" spans="1:7" x14ac:dyDescent="0.25">
      <c r="A1621" t="s">
        <v>377</v>
      </c>
      <c r="E1621">
        <v>1</v>
      </c>
      <c r="G1621">
        <v>1</v>
      </c>
    </row>
    <row r="1622" spans="1:7" x14ac:dyDescent="0.25">
      <c r="A1622" t="s">
        <v>288</v>
      </c>
      <c r="E1622">
        <v>1</v>
      </c>
      <c r="G1622">
        <v>1</v>
      </c>
    </row>
    <row r="1623" spans="1:7" x14ac:dyDescent="0.25">
      <c r="A1623" t="s">
        <v>380</v>
      </c>
      <c r="E1623">
        <v>1</v>
      </c>
      <c r="G1623">
        <v>1</v>
      </c>
    </row>
    <row r="1624" spans="1:7" x14ac:dyDescent="0.25">
      <c r="A1624" t="s">
        <v>843</v>
      </c>
      <c r="E1624">
        <v>2</v>
      </c>
      <c r="G1624">
        <v>2</v>
      </c>
    </row>
    <row r="1625" spans="1:7" x14ac:dyDescent="0.25">
      <c r="A1625" t="s">
        <v>292</v>
      </c>
      <c r="E1625">
        <v>1</v>
      </c>
      <c r="G1625">
        <v>1</v>
      </c>
    </row>
    <row r="1626" spans="1:7" x14ac:dyDescent="0.25">
      <c r="A1626" t="s">
        <v>380</v>
      </c>
      <c r="E1626">
        <v>1</v>
      </c>
      <c r="G1626">
        <v>1</v>
      </c>
    </row>
    <row r="1627" spans="1:7" x14ac:dyDescent="0.25">
      <c r="A1627" t="s">
        <v>844</v>
      </c>
      <c r="E1627">
        <v>2</v>
      </c>
      <c r="G1627">
        <v>2</v>
      </c>
    </row>
    <row r="1628" spans="1:7" x14ac:dyDescent="0.25">
      <c r="A1628" t="s">
        <v>291</v>
      </c>
      <c r="E1628">
        <v>1</v>
      </c>
      <c r="G1628">
        <v>1</v>
      </c>
    </row>
    <row r="1629" spans="1:7" x14ac:dyDescent="0.25">
      <c r="A1629" t="s">
        <v>367</v>
      </c>
      <c r="E1629">
        <v>1</v>
      </c>
      <c r="G1629">
        <v>1</v>
      </c>
    </row>
    <row r="1630" spans="1:7" x14ac:dyDescent="0.25">
      <c r="A1630" t="s">
        <v>845</v>
      </c>
      <c r="E1630">
        <v>5</v>
      </c>
      <c r="G1630">
        <v>5</v>
      </c>
    </row>
    <row r="1631" spans="1:7" x14ac:dyDescent="0.25">
      <c r="A1631" t="s">
        <v>377</v>
      </c>
      <c r="E1631">
        <v>1</v>
      </c>
      <c r="G1631">
        <v>1</v>
      </c>
    </row>
    <row r="1632" spans="1:7" x14ac:dyDescent="0.25">
      <c r="A1632" t="s">
        <v>293</v>
      </c>
      <c r="E1632">
        <v>1</v>
      </c>
      <c r="G1632">
        <v>1</v>
      </c>
    </row>
    <row r="1633" spans="1:7" x14ac:dyDescent="0.25">
      <c r="A1633" t="s">
        <v>295</v>
      </c>
      <c r="E1633">
        <v>1</v>
      </c>
      <c r="G1633">
        <v>1</v>
      </c>
    </row>
    <row r="1634" spans="1:7" x14ac:dyDescent="0.25">
      <c r="A1634" t="s">
        <v>297</v>
      </c>
      <c r="E1634">
        <v>1</v>
      </c>
      <c r="G1634">
        <v>1</v>
      </c>
    </row>
    <row r="1635" spans="1:7" x14ac:dyDescent="0.25">
      <c r="A1635" t="s">
        <v>493</v>
      </c>
      <c r="E1635">
        <v>1</v>
      </c>
      <c r="G1635">
        <v>1</v>
      </c>
    </row>
    <row r="1636" spans="1:7" x14ac:dyDescent="0.25">
      <c r="A1636" t="s">
        <v>846</v>
      </c>
      <c r="E1636">
        <v>5</v>
      </c>
      <c r="G1636">
        <v>5</v>
      </c>
    </row>
    <row r="1637" spans="1:7" x14ac:dyDescent="0.25">
      <c r="A1637" t="s">
        <v>377</v>
      </c>
      <c r="E1637">
        <v>1</v>
      </c>
      <c r="G1637">
        <v>1</v>
      </c>
    </row>
    <row r="1638" spans="1:7" x14ac:dyDescent="0.25">
      <c r="A1638" t="s">
        <v>293</v>
      </c>
      <c r="E1638">
        <v>1</v>
      </c>
      <c r="G1638">
        <v>1</v>
      </c>
    </row>
    <row r="1639" spans="1:7" x14ac:dyDescent="0.25">
      <c r="A1639" t="s">
        <v>295</v>
      </c>
      <c r="E1639">
        <v>1</v>
      </c>
      <c r="G1639">
        <v>1</v>
      </c>
    </row>
    <row r="1640" spans="1:7" x14ac:dyDescent="0.25">
      <c r="A1640" t="s">
        <v>297</v>
      </c>
      <c r="E1640">
        <v>1</v>
      </c>
      <c r="G1640">
        <v>1</v>
      </c>
    </row>
    <row r="1641" spans="1:7" x14ac:dyDescent="0.25">
      <c r="A1641" t="s">
        <v>493</v>
      </c>
      <c r="E1641">
        <v>1</v>
      </c>
      <c r="G1641">
        <v>1</v>
      </c>
    </row>
    <row r="1642" spans="1:7" x14ac:dyDescent="0.25">
      <c r="A1642" t="s">
        <v>847</v>
      </c>
      <c r="E1642">
        <v>3</v>
      </c>
      <c r="G1642">
        <v>3</v>
      </c>
    </row>
    <row r="1643" spans="1:7" x14ac:dyDescent="0.25">
      <c r="A1643" t="s">
        <v>290</v>
      </c>
      <c r="E1643">
        <v>1</v>
      </c>
      <c r="G1643">
        <v>1</v>
      </c>
    </row>
    <row r="1644" spans="1:7" x14ac:dyDescent="0.25">
      <c r="A1644" t="s">
        <v>288</v>
      </c>
      <c r="E1644">
        <v>1</v>
      </c>
      <c r="G1644">
        <v>1</v>
      </c>
    </row>
    <row r="1645" spans="1:7" x14ac:dyDescent="0.25">
      <c r="A1645" t="s">
        <v>380</v>
      </c>
      <c r="E1645">
        <v>1</v>
      </c>
      <c r="G1645">
        <v>1</v>
      </c>
    </row>
    <row r="1646" spans="1:7" x14ac:dyDescent="0.25">
      <c r="A1646" t="s">
        <v>848</v>
      </c>
      <c r="E1646">
        <v>2</v>
      </c>
      <c r="G1646">
        <v>2</v>
      </c>
    </row>
    <row r="1647" spans="1:7" x14ac:dyDescent="0.25">
      <c r="A1647" t="s">
        <v>289</v>
      </c>
      <c r="E1647">
        <v>1</v>
      </c>
      <c r="G1647">
        <v>1</v>
      </c>
    </row>
    <row r="1648" spans="1:7" x14ac:dyDescent="0.25">
      <c r="A1648" t="s">
        <v>380</v>
      </c>
      <c r="E1648">
        <v>1</v>
      </c>
      <c r="G1648">
        <v>1</v>
      </c>
    </row>
    <row r="1649" spans="1:7" x14ac:dyDescent="0.25">
      <c r="A1649" t="s">
        <v>849</v>
      </c>
      <c r="E1649">
        <v>4</v>
      </c>
      <c r="G1649">
        <v>4</v>
      </c>
    </row>
    <row r="1650" spans="1:7" x14ac:dyDescent="0.25">
      <c r="A1650" t="s">
        <v>377</v>
      </c>
      <c r="E1650">
        <v>1</v>
      </c>
      <c r="G1650">
        <v>1</v>
      </c>
    </row>
    <row r="1651" spans="1:7" x14ac:dyDescent="0.25">
      <c r="A1651" t="s">
        <v>385</v>
      </c>
      <c r="E1651">
        <v>1</v>
      </c>
      <c r="G1651">
        <v>1</v>
      </c>
    </row>
    <row r="1652" spans="1:7" x14ac:dyDescent="0.25">
      <c r="A1652" t="s">
        <v>288</v>
      </c>
      <c r="E1652">
        <v>1</v>
      </c>
      <c r="G1652">
        <v>1</v>
      </c>
    </row>
    <row r="1653" spans="1:7" x14ac:dyDescent="0.25">
      <c r="A1653" t="s">
        <v>380</v>
      </c>
      <c r="E1653">
        <v>1</v>
      </c>
      <c r="G1653">
        <v>1</v>
      </c>
    </row>
    <row r="1654" spans="1:7" x14ac:dyDescent="0.25">
      <c r="A1654" t="s">
        <v>850</v>
      </c>
      <c r="E1654">
        <v>2</v>
      </c>
      <c r="G1654">
        <v>2</v>
      </c>
    </row>
    <row r="1655" spans="1:7" x14ac:dyDescent="0.25">
      <c r="A1655" t="s">
        <v>288</v>
      </c>
      <c r="E1655">
        <v>1</v>
      </c>
      <c r="G1655">
        <v>1</v>
      </c>
    </row>
    <row r="1656" spans="1:7" x14ac:dyDescent="0.25">
      <c r="A1656" t="s">
        <v>367</v>
      </c>
      <c r="E1656">
        <v>1</v>
      </c>
      <c r="G1656">
        <v>1</v>
      </c>
    </row>
    <row r="1657" spans="1:7" x14ac:dyDescent="0.25">
      <c r="A1657" t="s">
        <v>851</v>
      </c>
      <c r="E1657">
        <v>2</v>
      </c>
      <c r="G1657">
        <v>2</v>
      </c>
    </row>
    <row r="1658" spans="1:7" x14ac:dyDescent="0.25">
      <c r="A1658" t="s">
        <v>288</v>
      </c>
      <c r="E1658">
        <v>1</v>
      </c>
      <c r="G1658">
        <v>1</v>
      </c>
    </row>
    <row r="1659" spans="1:7" x14ac:dyDescent="0.25">
      <c r="A1659" t="s">
        <v>380</v>
      </c>
      <c r="E1659">
        <v>1</v>
      </c>
      <c r="G1659">
        <v>1</v>
      </c>
    </row>
    <row r="1660" spans="1:7" x14ac:dyDescent="0.25">
      <c r="A1660" t="s">
        <v>852</v>
      </c>
      <c r="E1660">
        <v>2</v>
      </c>
      <c r="G1660">
        <v>2</v>
      </c>
    </row>
    <row r="1661" spans="1:7" x14ac:dyDescent="0.25">
      <c r="A1661" t="s">
        <v>288</v>
      </c>
      <c r="E1661">
        <v>1</v>
      </c>
      <c r="G1661">
        <v>1</v>
      </c>
    </row>
    <row r="1662" spans="1:7" x14ac:dyDescent="0.25">
      <c r="A1662" t="s">
        <v>367</v>
      </c>
      <c r="E1662">
        <v>1</v>
      </c>
      <c r="G1662">
        <v>1</v>
      </c>
    </row>
    <row r="1663" spans="1:7" x14ac:dyDescent="0.25">
      <c r="A1663" t="s">
        <v>853</v>
      </c>
      <c r="E1663">
        <v>2</v>
      </c>
      <c r="G1663">
        <v>2</v>
      </c>
    </row>
    <row r="1664" spans="1:7" x14ac:dyDescent="0.25">
      <c r="A1664" t="s">
        <v>291</v>
      </c>
      <c r="E1664">
        <v>1</v>
      </c>
      <c r="G1664">
        <v>1</v>
      </c>
    </row>
    <row r="1665" spans="1:7" x14ac:dyDescent="0.25">
      <c r="A1665" t="s">
        <v>380</v>
      </c>
      <c r="E1665">
        <v>1</v>
      </c>
      <c r="G1665">
        <v>1</v>
      </c>
    </row>
    <row r="1666" spans="1:7" x14ac:dyDescent="0.25">
      <c r="A1666" t="s">
        <v>854</v>
      </c>
      <c r="E1666">
        <v>5</v>
      </c>
      <c r="G1666">
        <v>5</v>
      </c>
    </row>
    <row r="1667" spans="1:7" x14ac:dyDescent="0.25">
      <c r="A1667" t="s">
        <v>377</v>
      </c>
      <c r="E1667">
        <v>1</v>
      </c>
      <c r="G1667">
        <v>1</v>
      </c>
    </row>
    <row r="1668" spans="1:7" x14ac:dyDescent="0.25">
      <c r="A1668" t="s">
        <v>293</v>
      </c>
      <c r="E1668">
        <v>1</v>
      </c>
      <c r="G1668">
        <v>1</v>
      </c>
    </row>
    <row r="1669" spans="1:7" x14ac:dyDescent="0.25">
      <c r="A1669" t="s">
        <v>295</v>
      </c>
      <c r="E1669">
        <v>1</v>
      </c>
      <c r="G1669">
        <v>1</v>
      </c>
    </row>
    <row r="1670" spans="1:7" x14ac:dyDescent="0.25">
      <c r="A1670" t="s">
        <v>297</v>
      </c>
      <c r="E1670">
        <v>1</v>
      </c>
      <c r="G1670">
        <v>1</v>
      </c>
    </row>
    <row r="1671" spans="1:7" x14ac:dyDescent="0.25">
      <c r="A1671" t="s">
        <v>493</v>
      </c>
      <c r="E1671">
        <v>1</v>
      </c>
      <c r="G1671">
        <v>1</v>
      </c>
    </row>
    <row r="1672" spans="1:7" x14ac:dyDescent="0.25">
      <c r="A1672" t="s">
        <v>855</v>
      </c>
      <c r="E1672">
        <v>3</v>
      </c>
      <c r="G1672">
        <v>3</v>
      </c>
    </row>
    <row r="1673" spans="1:7" x14ac:dyDescent="0.25">
      <c r="A1673" t="s">
        <v>377</v>
      </c>
      <c r="E1673">
        <v>1</v>
      </c>
      <c r="G1673">
        <v>1</v>
      </c>
    </row>
    <row r="1674" spans="1:7" x14ac:dyDescent="0.25">
      <c r="A1674" t="s">
        <v>288</v>
      </c>
      <c r="E1674">
        <v>1</v>
      </c>
      <c r="G1674">
        <v>1</v>
      </c>
    </row>
    <row r="1675" spans="1:7" x14ac:dyDescent="0.25">
      <c r="A1675" t="s">
        <v>493</v>
      </c>
      <c r="E1675">
        <v>1</v>
      </c>
      <c r="G1675">
        <v>1</v>
      </c>
    </row>
    <row r="1676" spans="1:7" x14ac:dyDescent="0.25">
      <c r="A1676" t="s">
        <v>856</v>
      </c>
      <c r="E1676">
        <v>3</v>
      </c>
      <c r="G1676">
        <v>3</v>
      </c>
    </row>
    <row r="1677" spans="1:7" x14ac:dyDescent="0.25">
      <c r="A1677" t="s">
        <v>377</v>
      </c>
      <c r="E1677">
        <v>1</v>
      </c>
      <c r="G1677">
        <v>1</v>
      </c>
    </row>
    <row r="1678" spans="1:7" x14ac:dyDescent="0.25">
      <c r="A1678" t="s">
        <v>297</v>
      </c>
      <c r="E1678">
        <v>1</v>
      </c>
      <c r="G1678">
        <v>1</v>
      </c>
    </row>
    <row r="1679" spans="1:7" x14ac:dyDescent="0.25">
      <c r="A1679" t="s">
        <v>493</v>
      </c>
      <c r="E1679">
        <v>1</v>
      </c>
      <c r="G1679">
        <v>1</v>
      </c>
    </row>
    <row r="1680" spans="1:7" x14ac:dyDescent="0.25">
      <c r="A1680" t="s">
        <v>857</v>
      </c>
      <c r="E1680">
        <v>2</v>
      </c>
      <c r="G1680">
        <v>2</v>
      </c>
    </row>
    <row r="1681" spans="1:7" x14ac:dyDescent="0.25">
      <c r="A1681" t="s">
        <v>288</v>
      </c>
      <c r="E1681">
        <v>1</v>
      </c>
      <c r="G1681">
        <v>1</v>
      </c>
    </row>
    <row r="1682" spans="1:7" x14ac:dyDescent="0.25">
      <c r="A1682" t="s">
        <v>380</v>
      </c>
      <c r="E1682">
        <v>1</v>
      </c>
      <c r="G1682">
        <v>1</v>
      </c>
    </row>
    <row r="1683" spans="1:7" x14ac:dyDescent="0.25">
      <c r="A1683" t="s">
        <v>858</v>
      </c>
      <c r="E1683">
        <v>5</v>
      </c>
      <c r="G1683">
        <v>5</v>
      </c>
    </row>
    <row r="1684" spans="1:7" x14ac:dyDescent="0.25">
      <c r="A1684" t="s">
        <v>377</v>
      </c>
      <c r="E1684">
        <v>1</v>
      </c>
      <c r="G1684">
        <v>1</v>
      </c>
    </row>
    <row r="1685" spans="1:7" x14ac:dyDescent="0.25">
      <c r="A1685" t="s">
        <v>289</v>
      </c>
      <c r="E1685">
        <v>1</v>
      </c>
      <c r="G1685">
        <v>1</v>
      </c>
    </row>
    <row r="1686" spans="1:7" x14ac:dyDescent="0.25">
      <c r="A1686" t="s">
        <v>290</v>
      </c>
      <c r="E1686">
        <v>1</v>
      </c>
      <c r="G1686">
        <v>1</v>
      </c>
    </row>
    <row r="1687" spans="1:7" x14ac:dyDescent="0.25">
      <c r="A1687" t="s">
        <v>291</v>
      </c>
      <c r="E1687">
        <v>1</v>
      </c>
      <c r="G1687">
        <v>1</v>
      </c>
    </row>
    <row r="1688" spans="1:7" x14ac:dyDescent="0.25">
      <c r="A1688" t="s">
        <v>493</v>
      </c>
      <c r="E1688">
        <v>1</v>
      </c>
      <c r="G1688">
        <v>1</v>
      </c>
    </row>
    <row r="1689" spans="1:7" x14ac:dyDescent="0.25">
      <c r="A1689" t="s">
        <v>859</v>
      </c>
      <c r="E1689">
        <v>4</v>
      </c>
      <c r="G1689">
        <v>4</v>
      </c>
    </row>
    <row r="1690" spans="1:7" x14ac:dyDescent="0.25">
      <c r="A1690" t="s">
        <v>289</v>
      </c>
      <c r="E1690">
        <v>1</v>
      </c>
      <c r="G1690">
        <v>1</v>
      </c>
    </row>
    <row r="1691" spans="1:7" x14ac:dyDescent="0.25">
      <c r="A1691" t="s">
        <v>290</v>
      </c>
      <c r="E1691">
        <v>1</v>
      </c>
      <c r="G1691">
        <v>1</v>
      </c>
    </row>
    <row r="1692" spans="1:7" x14ac:dyDescent="0.25">
      <c r="A1692" t="s">
        <v>291</v>
      </c>
      <c r="E1692">
        <v>1</v>
      </c>
      <c r="G1692">
        <v>1</v>
      </c>
    </row>
    <row r="1693" spans="1:7" x14ac:dyDescent="0.25">
      <c r="A1693" t="s">
        <v>493</v>
      </c>
      <c r="E1693">
        <v>1</v>
      </c>
      <c r="G1693">
        <v>1</v>
      </c>
    </row>
    <row r="1694" spans="1:7" x14ac:dyDescent="0.25">
      <c r="A1694" t="s">
        <v>860</v>
      </c>
      <c r="E1694">
        <v>5</v>
      </c>
      <c r="G1694">
        <v>5</v>
      </c>
    </row>
    <row r="1695" spans="1:7" x14ac:dyDescent="0.25">
      <c r="A1695" t="s">
        <v>377</v>
      </c>
      <c r="E1695">
        <v>1</v>
      </c>
      <c r="G1695">
        <v>1</v>
      </c>
    </row>
    <row r="1696" spans="1:7" x14ac:dyDescent="0.25">
      <c r="A1696" t="s">
        <v>289</v>
      </c>
      <c r="E1696">
        <v>1</v>
      </c>
      <c r="G1696">
        <v>1</v>
      </c>
    </row>
    <row r="1697" spans="1:7" x14ac:dyDescent="0.25">
      <c r="A1697" t="s">
        <v>290</v>
      </c>
      <c r="E1697">
        <v>1</v>
      </c>
      <c r="G1697">
        <v>1</v>
      </c>
    </row>
    <row r="1698" spans="1:7" x14ac:dyDescent="0.25">
      <c r="A1698" t="s">
        <v>291</v>
      </c>
      <c r="E1698">
        <v>1</v>
      </c>
      <c r="G1698">
        <v>1</v>
      </c>
    </row>
    <row r="1699" spans="1:7" x14ac:dyDescent="0.25">
      <c r="A1699" t="s">
        <v>493</v>
      </c>
      <c r="E1699">
        <v>1</v>
      </c>
      <c r="G1699">
        <v>1</v>
      </c>
    </row>
    <row r="1700" spans="1:7" x14ac:dyDescent="0.25">
      <c r="A1700" t="s">
        <v>861</v>
      </c>
      <c r="E1700">
        <v>5</v>
      </c>
      <c r="G1700">
        <v>5</v>
      </c>
    </row>
    <row r="1701" spans="1:7" x14ac:dyDescent="0.25">
      <c r="A1701" t="s">
        <v>377</v>
      </c>
      <c r="E1701">
        <v>1</v>
      </c>
      <c r="G1701">
        <v>1</v>
      </c>
    </row>
    <row r="1702" spans="1:7" x14ac:dyDescent="0.25">
      <c r="A1702" t="s">
        <v>289</v>
      </c>
      <c r="E1702">
        <v>1</v>
      </c>
      <c r="G1702">
        <v>1</v>
      </c>
    </row>
    <row r="1703" spans="1:7" x14ac:dyDescent="0.25">
      <c r="A1703" t="s">
        <v>290</v>
      </c>
      <c r="E1703">
        <v>1</v>
      </c>
      <c r="G1703">
        <v>1</v>
      </c>
    </row>
    <row r="1704" spans="1:7" x14ac:dyDescent="0.25">
      <c r="A1704" t="s">
        <v>291</v>
      </c>
      <c r="E1704">
        <v>1</v>
      </c>
      <c r="G1704">
        <v>1</v>
      </c>
    </row>
    <row r="1705" spans="1:7" x14ac:dyDescent="0.25">
      <c r="A1705" t="s">
        <v>493</v>
      </c>
      <c r="E1705">
        <v>1</v>
      </c>
      <c r="G1705">
        <v>1</v>
      </c>
    </row>
    <row r="1706" spans="1:7" x14ac:dyDescent="0.25">
      <c r="A1706" t="s">
        <v>862</v>
      </c>
      <c r="E1706">
        <v>5</v>
      </c>
      <c r="G1706">
        <v>5</v>
      </c>
    </row>
    <row r="1707" spans="1:7" x14ac:dyDescent="0.25">
      <c r="A1707" t="s">
        <v>377</v>
      </c>
      <c r="E1707">
        <v>1</v>
      </c>
      <c r="G1707">
        <v>1</v>
      </c>
    </row>
    <row r="1708" spans="1:7" x14ac:dyDescent="0.25">
      <c r="A1708" t="s">
        <v>289</v>
      </c>
      <c r="E1708">
        <v>1</v>
      </c>
      <c r="G1708">
        <v>1</v>
      </c>
    </row>
    <row r="1709" spans="1:7" x14ac:dyDescent="0.25">
      <c r="A1709" t="s">
        <v>290</v>
      </c>
      <c r="E1709">
        <v>1</v>
      </c>
      <c r="G1709">
        <v>1</v>
      </c>
    </row>
    <row r="1710" spans="1:7" x14ac:dyDescent="0.25">
      <c r="A1710" t="s">
        <v>291</v>
      </c>
      <c r="E1710">
        <v>1</v>
      </c>
      <c r="G1710">
        <v>1</v>
      </c>
    </row>
    <row r="1711" spans="1:7" x14ac:dyDescent="0.25">
      <c r="A1711" t="s">
        <v>493</v>
      </c>
      <c r="E1711">
        <v>1</v>
      </c>
      <c r="G1711">
        <v>1</v>
      </c>
    </row>
    <row r="1712" spans="1:7" x14ac:dyDescent="0.25">
      <c r="A1712" t="s">
        <v>863</v>
      </c>
      <c r="E1712">
        <v>2</v>
      </c>
      <c r="G1712">
        <v>2</v>
      </c>
    </row>
    <row r="1713" spans="1:7" x14ac:dyDescent="0.25">
      <c r="A1713" t="s">
        <v>288</v>
      </c>
      <c r="E1713">
        <v>1</v>
      </c>
      <c r="G1713">
        <v>1</v>
      </c>
    </row>
    <row r="1714" spans="1:7" x14ac:dyDescent="0.25">
      <c r="A1714" t="s">
        <v>367</v>
      </c>
      <c r="E1714">
        <v>1</v>
      </c>
      <c r="G1714">
        <v>1</v>
      </c>
    </row>
    <row r="1715" spans="1:7" x14ac:dyDescent="0.25">
      <c r="A1715" t="s">
        <v>864</v>
      </c>
      <c r="E1715">
        <v>2</v>
      </c>
      <c r="G1715">
        <v>2</v>
      </c>
    </row>
    <row r="1716" spans="1:7" x14ac:dyDescent="0.25">
      <c r="A1716" t="s">
        <v>288</v>
      </c>
      <c r="E1716">
        <v>1</v>
      </c>
      <c r="G1716">
        <v>1</v>
      </c>
    </row>
    <row r="1717" spans="1:7" x14ac:dyDescent="0.25">
      <c r="A1717" t="s">
        <v>367</v>
      </c>
      <c r="E1717">
        <v>1</v>
      </c>
      <c r="G1717">
        <v>1</v>
      </c>
    </row>
    <row r="1718" spans="1:7" x14ac:dyDescent="0.25">
      <c r="A1718" t="s">
        <v>865</v>
      </c>
      <c r="E1718">
        <v>2</v>
      </c>
      <c r="G1718">
        <v>2</v>
      </c>
    </row>
    <row r="1719" spans="1:7" x14ac:dyDescent="0.25">
      <c r="A1719" t="s">
        <v>288</v>
      </c>
      <c r="E1719">
        <v>1</v>
      </c>
      <c r="G1719">
        <v>1</v>
      </c>
    </row>
    <row r="1720" spans="1:7" x14ac:dyDescent="0.25">
      <c r="A1720" t="s">
        <v>380</v>
      </c>
      <c r="E1720">
        <v>1</v>
      </c>
      <c r="G1720">
        <v>1</v>
      </c>
    </row>
    <row r="1721" spans="1:7" x14ac:dyDescent="0.25">
      <c r="A1721" t="s">
        <v>866</v>
      </c>
      <c r="E1721">
        <v>5</v>
      </c>
      <c r="G1721">
        <v>5</v>
      </c>
    </row>
    <row r="1722" spans="1:7" x14ac:dyDescent="0.25">
      <c r="A1722" t="s">
        <v>377</v>
      </c>
      <c r="E1722">
        <v>1</v>
      </c>
      <c r="G1722">
        <v>1</v>
      </c>
    </row>
    <row r="1723" spans="1:7" x14ac:dyDescent="0.25">
      <c r="A1723" t="s">
        <v>289</v>
      </c>
      <c r="E1723">
        <v>1</v>
      </c>
      <c r="G1723">
        <v>1</v>
      </c>
    </row>
    <row r="1724" spans="1:7" x14ac:dyDescent="0.25">
      <c r="A1724" t="s">
        <v>290</v>
      </c>
      <c r="E1724">
        <v>1</v>
      </c>
      <c r="G1724">
        <v>1</v>
      </c>
    </row>
    <row r="1725" spans="1:7" x14ac:dyDescent="0.25">
      <c r="A1725" t="s">
        <v>291</v>
      </c>
      <c r="E1725">
        <v>1</v>
      </c>
      <c r="G1725">
        <v>1</v>
      </c>
    </row>
    <row r="1726" spans="1:7" x14ac:dyDescent="0.25">
      <c r="A1726" t="s">
        <v>493</v>
      </c>
      <c r="E1726">
        <v>1</v>
      </c>
      <c r="G1726">
        <v>1</v>
      </c>
    </row>
    <row r="1727" spans="1:7" x14ac:dyDescent="0.25">
      <c r="A1727" t="s">
        <v>867</v>
      </c>
      <c r="E1727">
        <v>2</v>
      </c>
      <c r="G1727">
        <v>2</v>
      </c>
    </row>
    <row r="1728" spans="1:7" x14ac:dyDescent="0.25">
      <c r="A1728" t="s">
        <v>288</v>
      </c>
      <c r="E1728">
        <v>1</v>
      </c>
      <c r="G1728">
        <v>1</v>
      </c>
    </row>
    <row r="1729" spans="1:7" x14ac:dyDescent="0.25">
      <c r="A1729" t="s">
        <v>367</v>
      </c>
      <c r="E1729">
        <v>1</v>
      </c>
      <c r="G1729">
        <v>1</v>
      </c>
    </row>
    <row r="1730" spans="1:7" x14ac:dyDescent="0.25">
      <c r="A1730" t="s">
        <v>868</v>
      </c>
      <c r="E1730">
        <v>2</v>
      </c>
      <c r="G1730">
        <v>2</v>
      </c>
    </row>
    <row r="1731" spans="1:7" x14ac:dyDescent="0.25">
      <c r="A1731" t="s">
        <v>290</v>
      </c>
      <c r="E1731">
        <v>1</v>
      </c>
      <c r="G1731">
        <v>1</v>
      </c>
    </row>
    <row r="1732" spans="1:7" x14ac:dyDescent="0.25">
      <c r="A1732" t="s">
        <v>380</v>
      </c>
      <c r="E1732">
        <v>1</v>
      </c>
      <c r="G1732">
        <v>1</v>
      </c>
    </row>
    <row r="1733" spans="1:7" x14ac:dyDescent="0.25">
      <c r="A1733" t="s">
        <v>869</v>
      </c>
      <c r="E1733">
        <v>2</v>
      </c>
      <c r="G1733">
        <v>2</v>
      </c>
    </row>
    <row r="1734" spans="1:7" x14ac:dyDescent="0.25">
      <c r="A1734" t="s">
        <v>288</v>
      </c>
      <c r="E1734">
        <v>1</v>
      </c>
      <c r="G1734">
        <v>1</v>
      </c>
    </row>
    <row r="1735" spans="1:7" x14ac:dyDescent="0.25">
      <c r="A1735" t="s">
        <v>367</v>
      </c>
      <c r="E1735">
        <v>1</v>
      </c>
      <c r="G1735">
        <v>1</v>
      </c>
    </row>
    <row r="1736" spans="1:7" x14ac:dyDescent="0.25">
      <c r="A1736" t="s">
        <v>870</v>
      </c>
      <c r="E1736">
        <v>2</v>
      </c>
      <c r="G1736">
        <v>2</v>
      </c>
    </row>
    <row r="1737" spans="1:7" x14ac:dyDescent="0.25">
      <c r="A1737" t="s">
        <v>288</v>
      </c>
      <c r="E1737">
        <v>1</v>
      </c>
      <c r="G1737">
        <v>1</v>
      </c>
    </row>
    <row r="1738" spans="1:7" x14ac:dyDescent="0.25">
      <c r="A1738" t="s">
        <v>380</v>
      </c>
      <c r="E1738">
        <v>1</v>
      </c>
      <c r="G1738">
        <v>1</v>
      </c>
    </row>
    <row r="1739" spans="1:7" x14ac:dyDescent="0.25">
      <c r="A1739" t="s">
        <v>871</v>
      </c>
      <c r="E1739">
        <v>2</v>
      </c>
      <c r="G1739">
        <v>2</v>
      </c>
    </row>
    <row r="1740" spans="1:7" x14ac:dyDescent="0.25">
      <c r="A1740" t="s">
        <v>292</v>
      </c>
      <c r="E1740">
        <v>1</v>
      </c>
      <c r="G1740">
        <v>1</v>
      </c>
    </row>
    <row r="1741" spans="1:7" x14ac:dyDescent="0.25">
      <c r="A1741" t="s">
        <v>380</v>
      </c>
      <c r="E1741">
        <v>1</v>
      </c>
      <c r="G1741">
        <v>1</v>
      </c>
    </row>
    <row r="1742" spans="1:7" x14ac:dyDescent="0.25">
      <c r="A1742" t="s">
        <v>872</v>
      </c>
      <c r="E1742">
        <v>3</v>
      </c>
      <c r="G1742">
        <v>3</v>
      </c>
    </row>
    <row r="1743" spans="1:7" x14ac:dyDescent="0.25">
      <c r="A1743" t="s">
        <v>377</v>
      </c>
      <c r="E1743">
        <v>1</v>
      </c>
      <c r="G1743">
        <v>1</v>
      </c>
    </row>
    <row r="1744" spans="1:7" x14ac:dyDescent="0.25">
      <c r="A1744" t="s">
        <v>292</v>
      </c>
      <c r="E1744">
        <v>1</v>
      </c>
      <c r="G1744">
        <v>1</v>
      </c>
    </row>
    <row r="1745" spans="1:7" x14ac:dyDescent="0.25">
      <c r="A1745" t="s">
        <v>659</v>
      </c>
      <c r="E1745">
        <v>1</v>
      </c>
      <c r="G1745">
        <v>1</v>
      </c>
    </row>
    <row r="1746" spans="1:7" x14ac:dyDescent="0.25">
      <c r="A1746" t="s">
        <v>873</v>
      </c>
      <c r="E1746">
        <v>3</v>
      </c>
      <c r="G1746">
        <v>3</v>
      </c>
    </row>
    <row r="1747" spans="1:7" x14ac:dyDescent="0.25">
      <c r="A1747" t="s">
        <v>377</v>
      </c>
      <c r="E1747">
        <v>1</v>
      </c>
      <c r="G1747">
        <v>1</v>
      </c>
    </row>
    <row r="1748" spans="1:7" x14ac:dyDescent="0.25">
      <c r="A1748" t="s">
        <v>288</v>
      </c>
      <c r="E1748">
        <v>1</v>
      </c>
      <c r="G1748">
        <v>1</v>
      </c>
    </row>
    <row r="1749" spans="1:7" x14ac:dyDescent="0.25">
      <c r="A1749" t="s">
        <v>380</v>
      </c>
      <c r="E1749">
        <v>1</v>
      </c>
      <c r="G1749">
        <v>1</v>
      </c>
    </row>
    <row r="1750" spans="1:7" x14ac:dyDescent="0.25">
      <c r="A1750" t="s">
        <v>874</v>
      </c>
      <c r="E1750">
        <v>3</v>
      </c>
      <c r="G1750">
        <v>3</v>
      </c>
    </row>
    <row r="1751" spans="1:7" x14ac:dyDescent="0.25">
      <c r="A1751" t="s">
        <v>377</v>
      </c>
      <c r="E1751">
        <v>1</v>
      </c>
      <c r="G1751">
        <v>1</v>
      </c>
    </row>
    <row r="1752" spans="1:7" x14ac:dyDescent="0.25">
      <c r="A1752" t="s">
        <v>292</v>
      </c>
      <c r="E1752">
        <v>1</v>
      </c>
      <c r="G1752">
        <v>1</v>
      </c>
    </row>
    <row r="1753" spans="1:7" x14ac:dyDescent="0.25">
      <c r="A1753" t="s">
        <v>659</v>
      </c>
      <c r="E1753">
        <v>1</v>
      </c>
      <c r="G1753">
        <v>1</v>
      </c>
    </row>
    <row r="1754" spans="1:7" x14ac:dyDescent="0.25">
      <c r="A1754" t="s">
        <v>875</v>
      </c>
      <c r="E1754">
        <v>2</v>
      </c>
      <c r="G1754">
        <v>2</v>
      </c>
    </row>
    <row r="1755" spans="1:7" x14ac:dyDescent="0.25">
      <c r="A1755" t="s">
        <v>292</v>
      </c>
      <c r="E1755">
        <v>1</v>
      </c>
      <c r="G1755">
        <v>1</v>
      </c>
    </row>
    <row r="1756" spans="1:7" x14ac:dyDescent="0.25">
      <c r="A1756" t="s">
        <v>367</v>
      </c>
      <c r="E1756">
        <v>1</v>
      </c>
      <c r="G1756">
        <v>1</v>
      </c>
    </row>
    <row r="1757" spans="1:7" x14ac:dyDescent="0.25">
      <c r="A1757" t="s">
        <v>876</v>
      </c>
      <c r="E1757">
        <v>2</v>
      </c>
      <c r="G1757">
        <v>2</v>
      </c>
    </row>
    <row r="1758" spans="1:7" x14ac:dyDescent="0.25">
      <c r="A1758" t="s">
        <v>288</v>
      </c>
      <c r="E1758">
        <v>1</v>
      </c>
      <c r="G1758">
        <v>1</v>
      </c>
    </row>
    <row r="1759" spans="1:7" x14ac:dyDescent="0.25">
      <c r="A1759" t="s">
        <v>367</v>
      </c>
      <c r="E1759">
        <v>1</v>
      </c>
      <c r="G1759">
        <v>1</v>
      </c>
    </row>
    <row r="1760" spans="1:7" x14ac:dyDescent="0.25">
      <c r="A1760" t="s">
        <v>877</v>
      </c>
      <c r="E1760">
        <v>2</v>
      </c>
      <c r="G1760">
        <v>2</v>
      </c>
    </row>
    <row r="1761" spans="1:7" x14ac:dyDescent="0.25">
      <c r="A1761" t="s">
        <v>288</v>
      </c>
      <c r="E1761">
        <v>1</v>
      </c>
      <c r="G1761">
        <v>1</v>
      </c>
    </row>
    <row r="1762" spans="1:7" x14ac:dyDescent="0.25">
      <c r="A1762" t="s">
        <v>367</v>
      </c>
      <c r="E1762">
        <v>1</v>
      </c>
      <c r="G1762">
        <v>1</v>
      </c>
    </row>
    <row r="1763" spans="1:7" x14ac:dyDescent="0.25">
      <c r="A1763" t="s">
        <v>878</v>
      </c>
      <c r="E1763">
        <v>2</v>
      </c>
      <c r="G1763">
        <v>2</v>
      </c>
    </row>
    <row r="1764" spans="1:7" x14ac:dyDescent="0.25">
      <c r="A1764" t="s">
        <v>288</v>
      </c>
      <c r="E1764">
        <v>1</v>
      </c>
      <c r="G1764">
        <v>1</v>
      </c>
    </row>
    <row r="1765" spans="1:7" x14ac:dyDescent="0.25">
      <c r="A1765" t="s">
        <v>367</v>
      </c>
      <c r="E1765">
        <v>1</v>
      </c>
      <c r="G1765">
        <v>1</v>
      </c>
    </row>
    <row r="1766" spans="1:7" x14ac:dyDescent="0.25">
      <c r="A1766" t="s">
        <v>879</v>
      </c>
      <c r="E1766">
        <v>3</v>
      </c>
      <c r="G1766">
        <v>3</v>
      </c>
    </row>
    <row r="1767" spans="1:7" x14ac:dyDescent="0.25">
      <c r="A1767" t="s">
        <v>377</v>
      </c>
      <c r="E1767">
        <v>1</v>
      </c>
      <c r="G1767">
        <v>1</v>
      </c>
    </row>
    <row r="1768" spans="1:7" x14ac:dyDescent="0.25">
      <c r="A1768" t="s">
        <v>292</v>
      </c>
      <c r="E1768">
        <v>1</v>
      </c>
      <c r="G1768">
        <v>1</v>
      </c>
    </row>
    <row r="1769" spans="1:7" x14ac:dyDescent="0.25">
      <c r="A1769" t="s">
        <v>659</v>
      </c>
      <c r="E1769">
        <v>1</v>
      </c>
      <c r="G1769">
        <v>1</v>
      </c>
    </row>
    <row r="1770" spans="1:7" x14ac:dyDescent="0.25">
      <c r="A1770" t="s">
        <v>880</v>
      </c>
      <c r="E1770">
        <v>2</v>
      </c>
      <c r="G1770">
        <v>2</v>
      </c>
    </row>
    <row r="1771" spans="1:7" x14ac:dyDescent="0.25">
      <c r="A1771" t="s">
        <v>288</v>
      </c>
      <c r="E1771">
        <v>1</v>
      </c>
      <c r="G1771">
        <v>1</v>
      </c>
    </row>
    <row r="1772" spans="1:7" x14ac:dyDescent="0.25">
      <c r="A1772" t="s">
        <v>380</v>
      </c>
      <c r="E1772">
        <v>1</v>
      </c>
      <c r="G1772">
        <v>1</v>
      </c>
    </row>
    <row r="1773" spans="1:7" x14ac:dyDescent="0.25">
      <c r="A1773" t="s">
        <v>881</v>
      </c>
      <c r="E1773">
        <v>2</v>
      </c>
      <c r="G1773">
        <v>2</v>
      </c>
    </row>
    <row r="1774" spans="1:7" x14ac:dyDescent="0.25">
      <c r="A1774" t="s">
        <v>288</v>
      </c>
      <c r="E1774">
        <v>1</v>
      </c>
      <c r="G1774">
        <v>1</v>
      </c>
    </row>
    <row r="1775" spans="1:7" x14ac:dyDescent="0.25">
      <c r="A1775" t="s">
        <v>380</v>
      </c>
      <c r="E1775">
        <v>1</v>
      </c>
      <c r="G1775">
        <v>1</v>
      </c>
    </row>
    <row r="1776" spans="1:7" x14ac:dyDescent="0.25">
      <c r="A1776" t="s">
        <v>882</v>
      </c>
      <c r="E1776">
        <v>3</v>
      </c>
      <c r="G1776">
        <v>3</v>
      </c>
    </row>
    <row r="1777" spans="1:7" x14ac:dyDescent="0.25">
      <c r="A1777" t="s">
        <v>291</v>
      </c>
      <c r="E1777">
        <v>1</v>
      </c>
      <c r="G1777">
        <v>1</v>
      </c>
    </row>
    <row r="1778" spans="1:7" x14ac:dyDescent="0.25">
      <c r="A1778" t="s">
        <v>288</v>
      </c>
      <c r="E1778">
        <v>1</v>
      </c>
      <c r="G1778">
        <v>1</v>
      </c>
    </row>
    <row r="1779" spans="1:7" x14ac:dyDescent="0.25">
      <c r="A1779" t="s">
        <v>380</v>
      </c>
      <c r="E1779">
        <v>1</v>
      </c>
      <c r="G1779">
        <v>1</v>
      </c>
    </row>
    <row r="1780" spans="1:7" x14ac:dyDescent="0.25">
      <c r="A1780" t="s">
        <v>883</v>
      </c>
      <c r="E1780">
        <v>5</v>
      </c>
      <c r="G1780">
        <v>5</v>
      </c>
    </row>
    <row r="1781" spans="1:7" x14ac:dyDescent="0.25">
      <c r="A1781" t="s">
        <v>377</v>
      </c>
      <c r="E1781">
        <v>1</v>
      </c>
      <c r="G1781">
        <v>1</v>
      </c>
    </row>
    <row r="1782" spans="1:7" x14ac:dyDescent="0.25">
      <c r="A1782" t="s">
        <v>289</v>
      </c>
      <c r="E1782">
        <v>1</v>
      </c>
      <c r="G1782">
        <v>1</v>
      </c>
    </row>
    <row r="1783" spans="1:7" x14ac:dyDescent="0.25">
      <c r="A1783" t="s">
        <v>290</v>
      </c>
      <c r="E1783">
        <v>1</v>
      </c>
      <c r="G1783">
        <v>1</v>
      </c>
    </row>
    <row r="1784" spans="1:7" x14ac:dyDescent="0.25">
      <c r="A1784" t="s">
        <v>291</v>
      </c>
      <c r="E1784">
        <v>1</v>
      </c>
      <c r="G1784">
        <v>1</v>
      </c>
    </row>
    <row r="1785" spans="1:7" x14ac:dyDescent="0.25">
      <c r="A1785" t="s">
        <v>493</v>
      </c>
      <c r="E1785">
        <v>1</v>
      </c>
      <c r="G1785">
        <v>1</v>
      </c>
    </row>
    <row r="1786" spans="1:7" x14ac:dyDescent="0.25">
      <c r="A1786" t="s">
        <v>884</v>
      </c>
      <c r="E1786">
        <v>4</v>
      </c>
      <c r="G1786">
        <v>4</v>
      </c>
    </row>
    <row r="1787" spans="1:7" x14ac:dyDescent="0.25">
      <c r="A1787" t="s">
        <v>377</v>
      </c>
      <c r="E1787">
        <v>1</v>
      </c>
      <c r="G1787">
        <v>1</v>
      </c>
    </row>
    <row r="1788" spans="1:7" x14ac:dyDescent="0.25">
      <c r="A1788" t="s">
        <v>289</v>
      </c>
      <c r="E1788">
        <v>1</v>
      </c>
      <c r="G1788">
        <v>1</v>
      </c>
    </row>
    <row r="1789" spans="1:7" x14ac:dyDescent="0.25">
      <c r="A1789" t="s">
        <v>288</v>
      </c>
      <c r="E1789">
        <v>1</v>
      </c>
      <c r="G1789">
        <v>1</v>
      </c>
    </row>
    <row r="1790" spans="1:7" x14ac:dyDescent="0.25">
      <c r="A1790" t="s">
        <v>380</v>
      </c>
      <c r="E1790">
        <v>1</v>
      </c>
      <c r="G1790">
        <v>1</v>
      </c>
    </row>
    <row r="1791" spans="1:7" x14ac:dyDescent="0.25">
      <c r="A1791" t="s">
        <v>885</v>
      </c>
      <c r="E1791">
        <v>3</v>
      </c>
      <c r="G1791">
        <v>3</v>
      </c>
    </row>
    <row r="1792" spans="1:7" x14ac:dyDescent="0.25">
      <c r="A1792" t="s">
        <v>377</v>
      </c>
      <c r="E1792">
        <v>1</v>
      </c>
      <c r="G1792">
        <v>1</v>
      </c>
    </row>
    <row r="1793" spans="1:7" x14ac:dyDescent="0.25">
      <c r="A1793" t="s">
        <v>288</v>
      </c>
      <c r="E1793">
        <v>1</v>
      </c>
      <c r="G1793">
        <v>1</v>
      </c>
    </row>
    <row r="1794" spans="1:7" x14ac:dyDescent="0.25">
      <c r="A1794" t="s">
        <v>380</v>
      </c>
      <c r="E1794">
        <v>1</v>
      </c>
      <c r="G1794">
        <v>1</v>
      </c>
    </row>
    <row r="1795" spans="1:7" x14ac:dyDescent="0.25">
      <c r="A1795" t="s">
        <v>886</v>
      </c>
      <c r="E1795">
        <v>2</v>
      </c>
      <c r="G1795">
        <v>2</v>
      </c>
    </row>
    <row r="1796" spans="1:7" x14ac:dyDescent="0.25">
      <c r="A1796" t="s">
        <v>288</v>
      </c>
      <c r="E1796">
        <v>1</v>
      </c>
      <c r="G1796">
        <v>1</v>
      </c>
    </row>
    <row r="1797" spans="1:7" x14ac:dyDescent="0.25">
      <c r="A1797" t="s">
        <v>380</v>
      </c>
      <c r="E1797">
        <v>1</v>
      </c>
      <c r="G1797">
        <v>1</v>
      </c>
    </row>
    <row r="1798" spans="1:7" x14ac:dyDescent="0.25">
      <c r="A1798" t="s">
        <v>887</v>
      </c>
      <c r="E1798">
        <v>3</v>
      </c>
      <c r="G1798">
        <v>3</v>
      </c>
    </row>
    <row r="1799" spans="1:7" x14ac:dyDescent="0.25">
      <c r="A1799" t="s">
        <v>293</v>
      </c>
      <c r="E1799">
        <v>1</v>
      </c>
      <c r="G1799">
        <v>1</v>
      </c>
    </row>
    <row r="1800" spans="1:7" x14ac:dyDescent="0.25">
      <c r="A1800" t="s">
        <v>297</v>
      </c>
      <c r="E1800">
        <v>1</v>
      </c>
      <c r="G1800">
        <v>1</v>
      </c>
    </row>
    <row r="1801" spans="1:7" x14ac:dyDescent="0.25">
      <c r="A1801" t="s">
        <v>493</v>
      </c>
      <c r="E1801">
        <v>1</v>
      </c>
      <c r="G1801">
        <v>1</v>
      </c>
    </row>
    <row r="1802" spans="1:7" x14ac:dyDescent="0.25">
      <c r="A1802" t="s">
        <v>888</v>
      </c>
      <c r="E1802">
        <v>5</v>
      </c>
      <c r="G1802">
        <v>5</v>
      </c>
    </row>
    <row r="1803" spans="1:7" x14ac:dyDescent="0.25">
      <c r="A1803" t="s">
        <v>377</v>
      </c>
      <c r="E1803">
        <v>1</v>
      </c>
      <c r="G1803">
        <v>1</v>
      </c>
    </row>
    <row r="1804" spans="1:7" x14ac:dyDescent="0.25">
      <c r="A1804" t="s">
        <v>289</v>
      </c>
      <c r="E1804">
        <v>1</v>
      </c>
      <c r="G1804">
        <v>1</v>
      </c>
    </row>
    <row r="1805" spans="1:7" x14ac:dyDescent="0.25">
      <c r="A1805" t="s">
        <v>290</v>
      </c>
      <c r="E1805">
        <v>1</v>
      </c>
      <c r="G1805">
        <v>1</v>
      </c>
    </row>
    <row r="1806" spans="1:7" x14ac:dyDescent="0.25">
      <c r="A1806" t="s">
        <v>291</v>
      </c>
      <c r="E1806">
        <v>1</v>
      </c>
      <c r="G1806">
        <v>1</v>
      </c>
    </row>
    <row r="1807" spans="1:7" x14ac:dyDescent="0.25">
      <c r="A1807" t="s">
        <v>493</v>
      </c>
      <c r="E1807">
        <v>1</v>
      </c>
      <c r="G1807">
        <v>1</v>
      </c>
    </row>
    <row r="1808" spans="1:7" x14ac:dyDescent="0.25">
      <c r="A1808" t="s">
        <v>889</v>
      </c>
      <c r="E1808">
        <v>4</v>
      </c>
      <c r="G1808">
        <v>4</v>
      </c>
    </row>
    <row r="1809" spans="1:7" x14ac:dyDescent="0.25">
      <c r="A1809" t="s">
        <v>293</v>
      </c>
      <c r="E1809">
        <v>1</v>
      </c>
      <c r="G1809">
        <v>1</v>
      </c>
    </row>
    <row r="1810" spans="1:7" x14ac:dyDescent="0.25">
      <c r="A1810" t="s">
        <v>295</v>
      </c>
      <c r="E1810">
        <v>1</v>
      </c>
      <c r="G1810">
        <v>1</v>
      </c>
    </row>
    <row r="1811" spans="1:7" x14ac:dyDescent="0.25">
      <c r="A1811" t="s">
        <v>297</v>
      </c>
      <c r="E1811">
        <v>1</v>
      </c>
      <c r="G1811">
        <v>1</v>
      </c>
    </row>
    <row r="1812" spans="1:7" x14ac:dyDescent="0.25">
      <c r="A1812" t="s">
        <v>493</v>
      </c>
      <c r="E1812">
        <v>1</v>
      </c>
      <c r="G1812">
        <v>1</v>
      </c>
    </row>
    <row r="1813" spans="1:7" x14ac:dyDescent="0.25">
      <c r="A1813" t="s">
        <v>890</v>
      </c>
      <c r="E1813">
        <v>2</v>
      </c>
      <c r="G1813">
        <v>2</v>
      </c>
    </row>
    <row r="1814" spans="1:7" x14ac:dyDescent="0.25">
      <c r="A1814" t="s">
        <v>288</v>
      </c>
      <c r="E1814">
        <v>1</v>
      </c>
      <c r="G1814">
        <v>1</v>
      </c>
    </row>
    <row r="1815" spans="1:7" x14ac:dyDescent="0.25">
      <c r="A1815" t="s">
        <v>380</v>
      </c>
      <c r="E1815">
        <v>1</v>
      </c>
      <c r="G1815">
        <v>1</v>
      </c>
    </row>
    <row r="1816" spans="1:7" x14ac:dyDescent="0.25">
      <c r="A1816" t="s">
        <v>891</v>
      </c>
      <c r="E1816">
        <v>4</v>
      </c>
      <c r="G1816">
        <v>4</v>
      </c>
    </row>
    <row r="1817" spans="1:7" x14ac:dyDescent="0.25">
      <c r="A1817" t="s">
        <v>293</v>
      </c>
      <c r="E1817">
        <v>1</v>
      </c>
      <c r="G1817">
        <v>1</v>
      </c>
    </row>
    <row r="1818" spans="1:7" x14ac:dyDescent="0.25">
      <c r="A1818" t="s">
        <v>295</v>
      </c>
      <c r="E1818">
        <v>1</v>
      </c>
      <c r="G1818">
        <v>1</v>
      </c>
    </row>
    <row r="1819" spans="1:7" x14ac:dyDescent="0.25">
      <c r="A1819" t="s">
        <v>297</v>
      </c>
      <c r="E1819">
        <v>1</v>
      </c>
      <c r="G1819">
        <v>1</v>
      </c>
    </row>
    <row r="1820" spans="1:7" x14ac:dyDescent="0.25">
      <c r="A1820" t="s">
        <v>493</v>
      </c>
      <c r="E1820">
        <v>1</v>
      </c>
      <c r="G1820">
        <v>1</v>
      </c>
    </row>
    <row r="1821" spans="1:7" x14ac:dyDescent="0.25">
      <c r="A1821" t="s">
        <v>892</v>
      </c>
      <c r="E1821">
        <v>3</v>
      </c>
      <c r="G1821">
        <v>3</v>
      </c>
    </row>
    <row r="1822" spans="1:7" x14ac:dyDescent="0.25">
      <c r="A1822" t="s">
        <v>377</v>
      </c>
      <c r="E1822">
        <v>1</v>
      </c>
      <c r="G1822">
        <v>1</v>
      </c>
    </row>
    <row r="1823" spans="1:7" x14ac:dyDescent="0.25">
      <c r="A1823" t="s">
        <v>288</v>
      </c>
      <c r="E1823">
        <v>1</v>
      </c>
      <c r="G1823">
        <v>1</v>
      </c>
    </row>
    <row r="1824" spans="1:7" x14ac:dyDescent="0.25">
      <c r="A1824" t="s">
        <v>493</v>
      </c>
      <c r="E1824">
        <v>1</v>
      </c>
      <c r="G1824">
        <v>1</v>
      </c>
    </row>
    <row r="1825" spans="1:7" x14ac:dyDescent="0.25">
      <c r="A1825" t="s">
        <v>893</v>
      </c>
      <c r="E1825">
        <v>3</v>
      </c>
      <c r="G1825">
        <v>3</v>
      </c>
    </row>
    <row r="1826" spans="1:7" x14ac:dyDescent="0.25">
      <c r="A1826" t="s">
        <v>377</v>
      </c>
      <c r="E1826">
        <v>1</v>
      </c>
      <c r="G1826">
        <v>1</v>
      </c>
    </row>
    <row r="1827" spans="1:7" x14ac:dyDescent="0.25">
      <c r="A1827" t="s">
        <v>288</v>
      </c>
      <c r="E1827">
        <v>1</v>
      </c>
      <c r="G1827">
        <v>1</v>
      </c>
    </row>
    <row r="1828" spans="1:7" x14ac:dyDescent="0.25">
      <c r="A1828" t="s">
        <v>493</v>
      </c>
      <c r="E1828">
        <v>1</v>
      </c>
      <c r="G1828">
        <v>1</v>
      </c>
    </row>
    <row r="1829" spans="1:7" x14ac:dyDescent="0.25">
      <c r="A1829" t="s">
        <v>894</v>
      </c>
      <c r="E1829">
        <v>2</v>
      </c>
      <c r="G1829">
        <v>2</v>
      </c>
    </row>
    <row r="1830" spans="1:7" x14ac:dyDescent="0.25">
      <c r="A1830" t="s">
        <v>289</v>
      </c>
      <c r="E1830">
        <v>1</v>
      </c>
      <c r="G1830">
        <v>1</v>
      </c>
    </row>
    <row r="1831" spans="1:7" x14ac:dyDescent="0.25">
      <c r="A1831" t="s">
        <v>493</v>
      </c>
      <c r="E1831">
        <v>1</v>
      </c>
      <c r="G1831">
        <v>1</v>
      </c>
    </row>
    <row r="1832" spans="1:7" x14ac:dyDescent="0.25">
      <c r="A1832" t="s">
        <v>895</v>
      </c>
      <c r="E1832">
        <v>5</v>
      </c>
      <c r="G1832">
        <v>5</v>
      </c>
    </row>
    <row r="1833" spans="1:7" x14ac:dyDescent="0.25">
      <c r="A1833" t="s">
        <v>377</v>
      </c>
      <c r="E1833">
        <v>1</v>
      </c>
      <c r="G1833">
        <v>1</v>
      </c>
    </row>
    <row r="1834" spans="1:7" x14ac:dyDescent="0.25">
      <c r="A1834" t="s">
        <v>289</v>
      </c>
      <c r="E1834">
        <v>1</v>
      </c>
      <c r="G1834">
        <v>1</v>
      </c>
    </row>
    <row r="1835" spans="1:7" x14ac:dyDescent="0.25">
      <c r="A1835" t="s">
        <v>290</v>
      </c>
      <c r="E1835">
        <v>1</v>
      </c>
      <c r="G1835">
        <v>1</v>
      </c>
    </row>
    <row r="1836" spans="1:7" x14ac:dyDescent="0.25">
      <c r="A1836" t="s">
        <v>291</v>
      </c>
      <c r="E1836">
        <v>1</v>
      </c>
      <c r="G1836">
        <v>1</v>
      </c>
    </row>
    <row r="1837" spans="1:7" x14ac:dyDescent="0.25">
      <c r="A1837" t="s">
        <v>493</v>
      </c>
      <c r="E1837">
        <v>1</v>
      </c>
      <c r="G1837">
        <v>1</v>
      </c>
    </row>
    <row r="1838" spans="1:7" x14ac:dyDescent="0.25">
      <c r="A1838" t="s">
        <v>896</v>
      </c>
      <c r="E1838">
        <v>2</v>
      </c>
      <c r="G1838">
        <v>2</v>
      </c>
    </row>
    <row r="1839" spans="1:7" x14ac:dyDescent="0.25">
      <c r="A1839" t="s">
        <v>295</v>
      </c>
      <c r="E1839">
        <v>1</v>
      </c>
      <c r="G1839">
        <v>1</v>
      </c>
    </row>
    <row r="1840" spans="1:7" x14ac:dyDescent="0.25">
      <c r="A1840" t="s">
        <v>380</v>
      </c>
      <c r="E1840">
        <v>1</v>
      </c>
      <c r="G1840">
        <v>1</v>
      </c>
    </row>
    <row r="1841" spans="1:7" x14ac:dyDescent="0.25">
      <c r="A1841" t="s">
        <v>897</v>
      </c>
      <c r="E1841">
        <v>6</v>
      </c>
      <c r="G1841">
        <v>6</v>
      </c>
    </row>
    <row r="1842" spans="1:7" x14ac:dyDescent="0.25">
      <c r="A1842" t="s">
        <v>377</v>
      </c>
      <c r="E1842">
        <v>1</v>
      </c>
      <c r="G1842">
        <v>1</v>
      </c>
    </row>
    <row r="1843" spans="1:7" x14ac:dyDescent="0.25">
      <c r="A1843" t="s">
        <v>385</v>
      </c>
      <c r="E1843">
        <v>1</v>
      </c>
      <c r="G1843">
        <v>1</v>
      </c>
    </row>
    <row r="1844" spans="1:7" x14ac:dyDescent="0.25">
      <c r="A1844" t="s">
        <v>293</v>
      </c>
      <c r="E1844">
        <v>1</v>
      </c>
      <c r="G1844">
        <v>1</v>
      </c>
    </row>
    <row r="1845" spans="1:7" x14ac:dyDescent="0.25">
      <c r="A1845" t="s">
        <v>295</v>
      </c>
      <c r="E1845">
        <v>1</v>
      </c>
      <c r="G1845">
        <v>1</v>
      </c>
    </row>
    <row r="1846" spans="1:7" x14ac:dyDescent="0.25">
      <c r="A1846" t="s">
        <v>297</v>
      </c>
      <c r="E1846">
        <v>1</v>
      </c>
      <c r="G1846">
        <v>1</v>
      </c>
    </row>
    <row r="1847" spans="1:7" x14ac:dyDescent="0.25">
      <c r="A1847" t="s">
        <v>380</v>
      </c>
      <c r="E1847">
        <v>1</v>
      </c>
      <c r="G1847">
        <v>1</v>
      </c>
    </row>
    <row r="1848" spans="1:7" x14ac:dyDescent="0.25">
      <c r="A1848" t="s">
        <v>898</v>
      </c>
      <c r="E1848">
        <v>4</v>
      </c>
      <c r="G1848">
        <v>4</v>
      </c>
    </row>
    <row r="1849" spans="1:7" x14ac:dyDescent="0.25">
      <c r="A1849" t="s">
        <v>377</v>
      </c>
      <c r="E1849">
        <v>1</v>
      </c>
      <c r="G1849">
        <v>1</v>
      </c>
    </row>
    <row r="1850" spans="1:7" x14ac:dyDescent="0.25">
      <c r="A1850" t="s">
        <v>385</v>
      </c>
      <c r="E1850">
        <v>1</v>
      </c>
      <c r="G1850">
        <v>1</v>
      </c>
    </row>
    <row r="1851" spans="1:7" x14ac:dyDescent="0.25">
      <c r="A1851" t="s">
        <v>292</v>
      </c>
      <c r="E1851">
        <v>1</v>
      </c>
      <c r="G1851">
        <v>1</v>
      </c>
    </row>
    <row r="1852" spans="1:7" x14ac:dyDescent="0.25">
      <c r="A1852" t="s">
        <v>380</v>
      </c>
      <c r="E1852">
        <v>1</v>
      </c>
      <c r="G1852">
        <v>1</v>
      </c>
    </row>
    <row r="1853" spans="1:7" x14ac:dyDescent="0.25">
      <c r="A1853" t="s">
        <v>899</v>
      </c>
      <c r="E1853">
        <v>4</v>
      </c>
      <c r="G1853">
        <v>4</v>
      </c>
    </row>
    <row r="1854" spans="1:7" x14ac:dyDescent="0.25">
      <c r="A1854" t="s">
        <v>293</v>
      </c>
      <c r="E1854">
        <v>1</v>
      </c>
      <c r="G1854">
        <v>1</v>
      </c>
    </row>
    <row r="1855" spans="1:7" x14ac:dyDescent="0.25">
      <c r="A1855" t="s">
        <v>295</v>
      </c>
      <c r="E1855">
        <v>1</v>
      </c>
      <c r="G1855">
        <v>1</v>
      </c>
    </row>
    <row r="1856" spans="1:7" x14ac:dyDescent="0.25">
      <c r="A1856" t="s">
        <v>297</v>
      </c>
      <c r="E1856">
        <v>1</v>
      </c>
      <c r="G1856">
        <v>1</v>
      </c>
    </row>
    <row r="1857" spans="1:7" x14ac:dyDescent="0.25">
      <c r="A1857" t="s">
        <v>380</v>
      </c>
      <c r="E1857">
        <v>1</v>
      </c>
      <c r="G1857">
        <v>1</v>
      </c>
    </row>
    <row r="1858" spans="1:7" x14ac:dyDescent="0.25">
      <c r="A1858" t="s">
        <v>900</v>
      </c>
      <c r="E1858">
        <v>4</v>
      </c>
      <c r="G1858">
        <v>4</v>
      </c>
    </row>
    <row r="1859" spans="1:7" x14ac:dyDescent="0.25">
      <c r="A1859" t="s">
        <v>293</v>
      </c>
      <c r="E1859">
        <v>1</v>
      </c>
      <c r="G1859">
        <v>1</v>
      </c>
    </row>
    <row r="1860" spans="1:7" x14ac:dyDescent="0.25">
      <c r="A1860" t="s">
        <v>295</v>
      </c>
      <c r="E1860">
        <v>1</v>
      </c>
      <c r="G1860">
        <v>1</v>
      </c>
    </row>
    <row r="1861" spans="1:7" x14ac:dyDescent="0.25">
      <c r="A1861" t="s">
        <v>297</v>
      </c>
      <c r="E1861">
        <v>1</v>
      </c>
      <c r="G1861">
        <v>1</v>
      </c>
    </row>
    <row r="1862" spans="1:7" x14ac:dyDescent="0.25">
      <c r="A1862" t="s">
        <v>380</v>
      </c>
      <c r="E1862">
        <v>1</v>
      </c>
      <c r="G1862">
        <v>1</v>
      </c>
    </row>
    <row r="1863" spans="1:7" x14ac:dyDescent="0.25">
      <c r="A1863" t="s">
        <v>901</v>
      </c>
      <c r="E1863">
        <v>3</v>
      </c>
      <c r="G1863">
        <v>3</v>
      </c>
    </row>
    <row r="1864" spans="1:7" x14ac:dyDescent="0.25">
      <c r="A1864" t="s">
        <v>377</v>
      </c>
      <c r="E1864">
        <v>1</v>
      </c>
      <c r="G1864">
        <v>1</v>
      </c>
    </row>
    <row r="1865" spans="1:7" x14ac:dyDescent="0.25">
      <c r="A1865" t="s">
        <v>288</v>
      </c>
      <c r="E1865">
        <v>1</v>
      </c>
      <c r="G1865">
        <v>1</v>
      </c>
    </row>
    <row r="1866" spans="1:7" x14ac:dyDescent="0.25">
      <c r="A1866" t="s">
        <v>659</v>
      </c>
      <c r="E1866">
        <v>1</v>
      </c>
      <c r="G1866">
        <v>1</v>
      </c>
    </row>
    <row r="1867" spans="1:7" x14ac:dyDescent="0.25">
      <c r="A1867" t="s">
        <v>902</v>
      </c>
      <c r="E1867">
        <v>5</v>
      </c>
      <c r="G1867">
        <v>5</v>
      </c>
    </row>
    <row r="1868" spans="1:7" x14ac:dyDescent="0.25">
      <c r="A1868" t="s">
        <v>377</v>
      </c>
      <c r="E1868">
        <v>1</v>
      </c>
      <c r="G1868">
        <v>1</v>
      </c>
    </row>
    <row r="1869" spans="1:7" x14ac:dyDescent="0.25">
      <c r="A1869" t="s">
        <v>293</v>
      </c>
      <c r="E1869">
        <v>1</v>
      </c>
      <c r="G1869">
        <v>1</v>
      </c>
    </row>
    <row r="1870" spans="1:7" x14ac:dyDescent="0.25">
      <c r="A1870" t="s">
        <v>295</v>
      </c>
      <c r="E1870">
        <v>1</v>
      </c>
      <c r="G1870">
        <v>1</v>
      </c>
    </row>
    <row r="1871" spans="1:7" x14ac:dyDescent="0.25">
      <c r="A1871" t="s">
        <v>297</v>
      </c>
      <c r="E1871">
        <v>1</v>
      </c>
      <c r="G1871">
        <v>1</v>
      </c>
    </row>
    <row r="1872" spans="1:7" x14ac:dyDescent="0.25">
      <c r="A1872" t="s">
        <v>659</v>
      </c>
      <c r="E1872">
        <v>1</v>
      </c>
      <c r="G1872">
        <v>1</v>
      </c>
    </row>
    <row r="1873" spans="1:7" x14ac:dyDescent="0.25">
      <c r="A1873" t="s">
        <v>903</v>
      </c>
      <c r="E1873">
        <v>5</v>
      </c>
      <c r="G1873">
        <v>5</v>
      </c>
    </row>
    <row r="1874" spans="1:7" x14ac:dyDescent="0.25">
      <c r="A1874" t="s">
        <v>377</v>
      </c>
      <c r="E1874">
        <v>1</v>
      </c>
      <c r="G1874">
        <v>1</v>
      </c>
    </row>
    <row r="1875" spans="1:7" x14ac:dyDescent="0.25">
      <c r="A1875" t="s">
        <v>289</v>
      </c>
      <c r="E1875">
        <v>1</v>
      </c>
      <c r="G1875">
        <v>1</v>
      </c>
    </row>
    <row r="1876" spans="1:7" x14ac:dyDescent="0.25">
      <c r="A1876" t="s">
        <v>290</v>
      </c>
      <c r="E1876">
        <v>1</v>
      </c>
      <c r="G1876">
        <v>1</v>
      </c>
    </row>
    <row r="1877" spans="1:7" x14ac:dyDescent="0.25">
      <c r="A1877" t="s">
        <v>291</v>
      </c>
      <c r="E1877">
        <v>1</v>
      </c>
      <c r="G1877">
        <v>1</v>
      </c>
    </row>
    <row r="1878" spans="1:7" x14ac:dyDescent="0.25">
      <c r="A1878" t="s">
        <v>493</v>
      </c>
      <c r="E1878">
        <v>1</v>
      </c>
      <c r="G1878">
        <v>1</v>
      </c>
    </row>
    <row r="1879" spans="1:7" x14ac:dyDescent="0.25">
      <c r="A1879" t="s">
        <v>904</v>
      </c>
      <c r="E1879">
        <v>5</v>
      </c>
      <c r="G1879">
        <v>5</v>
      </c>
    </row>
    <row r="1880" spans="1:7" x14ac:dyDescent="0.25">
      <c r="A1880" t="s">
        <v>377</v>
      </c>
      <c r="E1880">
        <v>1</v>
      </c>
      <c r="G1880">
        <v>1</v>
      </c>
    </row>
    <row r="1881" spans="1:7" x14ac:dyDescent="0.25">
      <c r="A1881" t="s">
        <v>293</v>
      </c>
      <c r="E1881">
        <v>1</v>
      </c>
      <c r="G1881">
        <v>1</v>
      </c>
    </row>
    <row r="1882" spans="1:7" x14ac:dyDescent="0.25">
      <c r="A1882" t="s">
        <v>295</v>
      </c>
      <c r="E1882">
        <v>1</v>
      </c>
      <c r="G1882">
        <v>1</v>
      </c>
    </row>
    <row r="1883" spans="1:7" x14ac:dyDescent="0.25">
      <c r="A1883" t="s">
        <v>297</v>
      </c>
      <c r="E1883">
        <v>1</v>
      </c>
      <c r="G1883">
        <v>1</v>
      </c>
    </row>
    <row r="1884" spans="1:7" x14ac:dyDescent="0.25">
      <c r="A1884" t="s">
        <v>493</v>
      </c>
      <c r="E1884">
        <v>1</v>
      </c>
      <c r="G1884">
        <v>1</v>
      </c>
    </row>
    <row r="1885" spans="1:7" x14ac:dyDescent="0.25">
      <c r="A1885" t="s">
        <v>905</v>
      </c>
      <c r="E1885">
        <v>5</v>
      </c>
      <c r="G1885">
        <v>5</v>
      </c>
    </row>
    <row r="1886" spans="1:7" x14ac:dyDescent="0.25">
      <c r="A1886" t="s">
        <v>377</v>
      </c>
      <c r="E1886">
        <v>1</v>
      </c>
      <c r="G1886">
        <v>1</v>
      </c>
    </row>
    <row r="1887" spans="1:7" x14ac:dyDescent="0.25">
      <c r="A1887" t="s">
        <v>289</v>
      </c>
      <c r="E1887">
        <v>1</v>
      </c>
      <c r="G1887">
        <v>1</v>
      </c>
    </row>
    <row r="1888" spans="1:7" x14ac:dyDescent="0.25">
      <c r="A1888" t="s">
        <v>290</v>
      </c>
      <c r="E1888">
        <v>1</v>
      </c>
      <c r="G1888">
        <v>1</v>
      </c>
    </row>
    <row r="1889" spans="1:7" x14ac:dyDescent="0.25">
      <c r="A1889" t="s">
        <v>291</v>
      </c>
      <c r="E1889">
        <v>1</v>
      </c>
      <c r="G1889">
        <v>1</v>
      </c>
    </row>
    <row r="1890" spans="1:7" x14ac:dyDescent="0.25">
      <c r="A1890" t="s">
        <v>493</v>
      </c>
      <c r="E1890">
        <v>1</v>
      </c>
      <c r="G1890">
        <v>1</v>
      </c>
    </row>
    <row r="1891" spans="1:7" x14ac:dyDescent="0.25">
      <c r="A1891" t="s">
        <v>906</v>
      </c>
      <c r="E1891">
        <v>5</v>
      </c>
      <c r="G1891">
        <v>5</v>
      </c>
    </row>
    <row r="1892" spans="1:7" x14ac:dyDescent="0.25">
      <c r="A1892" t="s">
        <v>377</v>
      </c>
      <c r="E1892">
        <v>1</v>
      </c>
      <c r="G1892">
        <v>1</v>
      </c>
    </row>
    <row r="1893" spans="1:7" x14ac:dyDescent="0.25">
      <c r="A1893" t="s">
        <v>293</v>
      </c>
      <c r="E1893">
        <v>1</v>
      </c>
      <c r="G1893">
        <v>1</v>
      </c>
    </row>
    <row r="1894" spans="1:7" x14ac:dyDescent="0.25">
      <c r="A1894" t="s">
        <v>295</v>
      </c>
      <c r="E1894">
        <v>1</v>
      </c>
      <c r="G1894">
        <v>1</v>
      </c>
    </row>
    <row r="1895" spans="1:7" x14ac:dyDescent="0.25">
      <c r="A1895" t="s">
        <v>297</v>
      </c>
      <c r="E1895">
        <v>1</v>
      </c>
      <c r="G1895">
        <v>1</v>
      </c>
    </row>
    <row r="1896" spans="1:7" x14ac:dyDescent="0.25">
      <c r="A1896" t="s">
        <v>493</v>
      </c>
      <c r="E1896">
        <v>1</v>
      </c>
      <c r="G1896">
        <v>1</v>
      </c>
    </row>
    <row r="1897" spans="1:7" x14ac:dyDescent="0.25">
      <c r="A1897" t="s">
        <v>907</v>
      </c>
      <c r="E1897">
        <v>3</v>
      </c>
      <c r="G1897">
        <v>3</v>
      </c>
    </row>
    <row r="1898" spans="1:7" x14ac:dyDescent="0.25">
      <c r="A1898" t="s">
        <v>377</v>
      </c>
      <c r="E1898">
        <v>1</v>
      </c>
      <c r="G1898">
        <v>1</v>
      </c>
    </row>
    <row r="1899" spans="1:7" x14ac:dyDescent="0.25">
      <c r="A1899" t="s">
        <v>288</v>
      </c>
      <c r="E1899">
        <v>1</v>
      </c>
      <c r="G1899">
        <v>1</v>
      </c>
    </row>
    <row r="1900" spans="1:7" x14ac:dyDescent="0.25">
      <c r="A1900" t="s">
        <v>493</v>
      </c>
      <c r="E1900">
        <v>1</v>
      </c>
      <c r="G1900">
        <v>1</v>
      </c>
    </row>
    <row r="1901" spans="1:7" x14ac:dyDescent="0.25">
      <c r="A1901" t="s">
        <v>908</v>
      </c>
      <c r="E1901">
        <v>5</v>
      </c>
      <c r="G1901">
        <v>5</v>
      </c>
    </row>
    <row r="1902" spans="1:7" x14ac:dyDescent="0.25">
      <c r="A1902" t="s">
        <v>377</v>
      </c>
      <c r="E1902">
        <v>1</v>
      </c>
      <c r="G1902">
        <v>1</v>
      </c>
    </row>
    <row r="1903" spans="1:7" x14ac:dyDescent="0.25">
      <c r="A1903" t="s">
        <v>293</v>
      </c>
      <c r="E1903">
        <v>1</v>
      </c>
      <c r="G1903">
        <v>1</v>
      </c>
    </row>
    <row r="1904" spans="1:7" x14ac:dyDescent="0.25">
      <c r="A1904" t="s">
        <v>295</v>
      </c>
      <c r="E1904">
        <v>1</v>
      </c>
      <c r="G1904">
        <v>1</v>
      </c>
    </row>
    <row r="1905" spans="1:7" x14ac:dyDescent="0.25">
      <c r="A1905" t="s">
        <v>297</v>
      </c>
      <c r="E1905">
        <v>1</v>
      </c>
      <c r="G1905">
        <v>1</v>
      </c>
    </row>
    <row r="1906" spans="1:7" x14ac:dyDescent="0.25">
      <c r="A1906" t="s">
        <v>493</v>
      </c>
      <c r="E1906">
        <v>1</v>
      </c>
      <c r="G1906">
        <v>1</v>
      </c>
    </row>
    <row r="1907" spans="1:7" x14ac:dyDescent="0.25">
      <c r="A1907" t="s">
        <v>909</v>
      </c>
      <c r="E1907">
        <v>5</v>
      </c>
      <c r="G1907">
        <v>5</v>
      </c>
    </row>
    <row r="1908" spans="1:7" x14ac:dyDescent="0.25">
      <c r="A1908" t="s">
        <v>377</v>
      </c>
      <c r="E1908">
        <v>1</v>
      </c>
      <c r="G1908">
        <v>1</v>
      </c>
    </row>
    <row r="1909" spans="1:7" x14ac:dyDescent="0.25">
      <c r="A1909" t="s">
        <v>289</v>
      </c>
      <c r="E1909">
        <v>1</v>
      </c>
      <c r="G1909">
        <v>1</v>
      </c>
    </row>
    <row r="1910" spans="1:7" x14ac:dyDescent="0.25">
      <c r="A1910" t="s">
        <v>290</v>
      </c>
      <c r="E1910">
        <v>1</v>
      </c>
      <c r="G1910">
        <v>1</v>
      </c>
    </row>
    <row r="1911" spans="1:7" x14ac:dyDescent="0.25">
      <c r="A1911" t="s">
        <v>291</v>
      </c>
      <c r="E1911">
        <v>1</v>
      </c>
      <c r="G1911">
        <v>1</v>
      </c>
    </row>
    <row r="1912" spans="1:7" x14ac:dyDescent="0.25">
      <c r="A1912" t="s">
        <v>493</v>
      </c>
      <c r="E1912">
        <v>1</v>
      </c>
      <c r="G1912">
        <v>1</v>
      </c>
    </row>
    <row r="1913" spans="1:7" x14ac:dyDescent="0.25">
      <c r="A1913" t="s">
        <v>910</v>
      </c>
      <c r="E1913">
        <v>5</v>
      </c>
      <c r="G1913">
        <v>5</v>
      </c>
    </row>
    <row r="1914" spans="1:7" x14ac:dyDescent="0.25">
      <c r="A1914" t="s">
        <v>377</v>
      </c>
      <c r="E1914">
        <v>1</v>
      </c>
      <c r="G1914">
        <v>1</v>
      </c>
    </row>
    <row r="1915" spans="1:7" x14ac:dyDescent="0.25">
      <c r="A1915" t="s">
        <v>293</v>
      </c>
      <c r="E1915">
        <v>1</v>
      </c>
      <c r="G1915">
        <v>1</v>
      </c>
    </row>
    <row r="1916" spans="1:7" x14ac:dyDescent="0.25">
      <c r="A1916" t="s">
        <v>295</v>
      </c>
      <c r="E1916">
        <v>1</v>
      </c>
      <c r="G1916">
        <v>1</v>
      </c>
    </row>
    <row r="1917" spans="1:7" x14ac:dyDescent="0.25">
      <c r="A1917" t="s">
        <v>297</v>
      </c>
      <c r="E1917">
        <v>1</v>
      </c>
      <c r="G1917">
        <v>1</v>
      </c>
    </row>
    <row r="1918" spans="1:7" x14ac:dyDescent="0.25">
      <c r="A1918" t="s">
        <v>493</v>
      </c>
      <c r="E1918">
        <v>1</v>
      </c>
      <c r="G1918">
        <v>1</v>
      </c>
    </row>
    <row r="1919" spans="1:7" x14ac:dyDescent="0.25">
      <c r="A1919" t="s">
        <v>911</v>
      </c>
      <c r="E1919">
        <v>5</v>
      </c>
      <c r="G1919">
        <v>5</v>
      </c>
    </row>
    <row r="1920" spans="1:7" x14ac:dyDescent="0.25">
      <c r="A1920" t="s">
        <v>377</v>
      </c>
      <c r="E1920">
        <v>1</v>
      </c>
      <c r="G1920">
        <v>1</v>
      </c>
    </row>
    <row r="1921" spans="1:7" x14ac:dyDescent="0.25">
      <c r="A1921" t="s">
        <v>289</v>
      </c>
      <c r="E1921">
        <v>1</v>
      </c>
      <c r="G1921">
        <v>1</v>
      </c>
    </row>
    <row r="1922" spans="1:7" x14ac:dyDescent="0.25">
      <c r="A1922" t="s">
        <v>290</v>
      </c>
      <c r="E1922">
        <v>1</v>
      </c>
      <c r="G1922">
        <v>1</v>
      </c>
    </row>
    <row r="1923" spans="1:7" x14ac:dyDescent="0.25">
      <c r="A1923" t="s">
        <v>291</v>
      </c>
      <c r="E1923">
        <v>1</v>
      </c>
      <c r="G1923">
        <v>1</v>
      </c>
    </row>
    <row r="1924" spans="1:7" x14ac:dyDescent="0.25">
      <c r="A1924" t="s">
        <v>493</v>
      </c>
      <c r="E1924">
        <v>1</v>
      </c>
      <c r="G1924">
        <v>1</v>
      </c>
    </row>
    <row r="1925" spans="1:7" x14ac:dyDescent="0.25">
      <c r="A1925" t="s">
        <v>912</v>
      </c>
      <c r="E1925">
        <v>5</v>
      </c>
      <c r="G1925">
        <v>5</v>
      </c>
    </row>
    <row r="1926" spans="1:7" x14ac:dyDescent="0.25">
      <c r="A1926" t="s">
        <v>377</v>
      </c>
      <c r="E1926">
        <v>1</v>
      </c>
      <c r="G1926">
        <v>1</v>
      </c>
    </row>
    <row r="1927" spans="1:7" x14ac:dyDescent="0.25">
      <c r="A1927" t="s">
        <v>293</v>
      </c>
      <c r="E1927">
        <v>1</v>
      </c>
      <c r="G1927">
        <v>1</v>
      </c>
    </row>
    <row r="1928" spans="1:7" x14ac:dyDescent="0.25">
      <c r="A1928" t="s">
        <v>295</v>
      </c>
      <c r="E1928">
        <v>1</v>
      </c>
      <c r="G1928">
        <v>1</v>
      </c>
    </row>
    <row r="1929" spans="1:7" x14ac:dyDescent="0.25">
      <c r="A1929" t="s">
        <v>297</v>
      </c>
      <c r="E1929">
        <v>1</v>
      </c>
      <c r="G1929">
        <v>1</v>
      </c>
    </row>
    <row r="1930" spans="1:7" x14ac:dyDescent="0.25">
      <c r="A1930" t="s">
        <v>493</v>
      </c>
      <c r="E1930">
        <v>1</v>
      </c>
      <c r="G1930">
        <v>1</v>
      </c>
    </row>
    <row r="1931" spans="1:7" x14ac:dyDescent="0.25">
      <c r="A1931" t="s">
        <v>913</v>
      </c>
      <c r="E1931">
        <v>5</v>
      </c>
      <c r="G1931">
        <v>5</v>
      </c>
    </row>
    <row r="1932" spans="1:7" x14ac:dyDescent="0.25">
      <c r="A1932" t="s">
        <v>377</v>
      </c>
      <c r="E1932">
        <v>1</v>
      </c>
      <c r="G1932">
        <v>1</v>
      </c>
    </row>
    <row r="1933" spans="1:7" x14ac:dyDescent="0.25">
      <c r="A1933" t="s">
        <v>289</v>
      </c>
      <c r="E1933">
        <v>1</v>
      </c>
      <c r="G1933">
        <v>1</v>
      </c>
    </row>
    <row r="1934" spans="1:7" x14ac:dyDescent="0.25">
      <c r="A1934" t="s">
        <v>290</v>
      </c>
      <c r="E1934">
        <v>1</v>
      </c>
      <c r="G1934">
        <v>1</v>
      </c>
    </row>
    <row r="1935" spans="1:7" x14ac:dyDescent="0.25">
      <c r="A1935" t="s">
        <v>291</v>
      </c>
      <c r="E1935">
        <v>1</v>
      </c>
      <c r="G1935">
        <v>1</v>
      </c>
    </row>
    <row r="1936" spans="1:7" x14ac:dyDescent="0.25">
      <c r="A1936" t="s">
        <v>493</v>
      </c>
      <c r="E1936">
        <v>1</v>
      </c>
      <c r="G1936">
        <v>1</v>
      </c>
    </row>
    <row r="1937" spans="1:7" x14ac:dyDescent="0.25">
      <c r="A1937" t="s">
        <v>914</v>
      </c>
      <c r="E1937">
        <v>5</v>
      </c>
      <c r="G1937">
        <v>5</v>
      </c>
    </row>
    <row r="1938" spans="1:7" x14ac:dyDescent="0.25">
      <c r="A1938" t="s">
        <v>377</v>
      </c>
      <c r="E1938">
        <v>1</v>
      </c>
      <c r="G1938">
        <v>1</v>
      </c>
    </row>
    <row r="1939" spans="1:7" x14ac:dyDescent="0.25">
      <c r="A1939" t="s">
        <v>293</v>
      </c>
      <c r="E1939">
        <v>1</v>
      </c>
      <c r="G1939">
        <v>1</v>
      </c>
    </row>
    <row r="1940" spans="1:7" x14ac:dyDescent="0.25">
      <c r="A1940" t="s">
        <v>295</v>
      </c>
      <c r="E1940">
        <v>1</v>
      </c>
      <c r="G1940">
        <v>1</v>
      </c>
    </row>
    <row r="1941" spans="1:7" x14ac:dyDescent="0.25">
      <c r="A1941" t="s">
        <v>297</v>
      </c>
      <c r="E1941">
        <v>1</v>
      </c>
      <c r="G1941">
        <v>1</v>
      </c>
    </row>
    <row r="1942" spans="1:7" x14ac:dyDescent="0.25">
      <c r="A1942" t="s">
        <v>493</v>
      </c>
      <c r="E1942">
        <v>1</v>
      </c>
      <c r="G1942">
        <v>1</v>
      </c>
    </row>
    <row r="1943" spans="1:7" x14ac:dyDescent="0.25">
      <c r="A1943" t="s">
        <v>915</v>
      </c>
      <c r="E1943">
        <v>2</v>
      </c>
      <c r="G1943">
        <v>2</v>
      </c>
    </row>
    <row r="1944" spans="1:7" x14ac:dyDescent="0.25">
      <c r="A1944" t="s">
        <v>288</v>
      </c>
      <c r="E1944">
        <v>1</v>
      </c>
      <c r="G1944">
        <v>1</v>
      </c>
    </row>
    <row r="1945" spans="1:7" x14ac:dyDescent="0.25">
      <c r="A1945" t="s">
        <v>367</v>
      </c>
      <c r="E1945">
        <v>1</v>
      </c>
      <c r="G1945">
        <v>1</v>
      </c>
    </row>
    <row r="1946" spans="1:7" x14ac:dyDescent="0.25">
      <c r="A1946" t="s">
        <v>916</v>
      </c>
      <c r="E1946">
        <v>5</v>
      </c>
      <c r="G1946">
        <v>5</v>
      </c>
    </row>
    <row r="1947" spans="1:7" x14ac:dyDescent="0.25">
      <c r="A1947" t="s">
        <v>377</v>
      </c>
      <c r="E1947">
        <v>1</v>
      </c>
      <c r="G1947">
        <v>1</v>
      </c>
    </row>
    <row r="1948" spans="1:7" x14ac:dyDescent="0.25">
      <c r="A1948" t="s">
        <v>293</v>
      </c>
      <c r="E1948">
        <v>1</v>
      </c>
      <c r="G1948">
        <v>1</v>
      </c>
    </row>
    <row r="1949" spans="1:7" x14ac:dyDescent="0.25">
      <c r="A1949" t="s">
        <v>295</v>
      </c>
      <c r="E1949">
        <v>1</v>
      </c>
      <c r="G1949">
        <v>1</v>
      </c>
    </row>
    <row r="1950" spans="1:7" x14ac:dyDescent="0.25">
      <c r="A1950" t="s">
        <v>297</v>
      </c>
      <c r="E1950">
        <v>1</v>
      </c>
      <c r="G1950">
        <v>1</v>
      </c>
    </row>
    <row r="1951" spans="1:7" x14ac:dyDescent="0.25">
      <c r="A1951" t="s">
        <v>367</v>
      </c>
      <c r="E1951">
        <v>1</v>
      </c>
      <c r="G1951">
        <v>1</v>
      </c>
    </row>
    <row r="1952" spans="1:7" x14ac:dyDescent="0.25">
      <c r="A1952" t="s">
        <v>917</v>
      </c>
      <c r="E1952">
        <v>2</v>
      </c>
      <c r="G1952">
        <v>2</v>
      </c>
    </row>
    <row r="1953" spans="1:7" x14ac:dyDescent="0.25">
      <c r="A1953" t="s">
        <v>288</v>
      </c>
      <c r="E1953">
        <v>1</v>
      </c>
      <c r="G1953">
        <v>1</v>
      </c>
    </row>
    <row r="1954" spans="1:7" x14ac:dyDescent="0.25">
      <c r="A1954" t="s">
        <v>367</v>
      </c>
      <c r="E1954">
        <v>1</v>
      </c>
      <c r="G1954">
        <v>1</v>
      </c>
    </row>
    <row r="1955" spans="1:7" x14ac:dyDescent="0.25">
      <c r="A1955" t="s">
        <v>918</v>
      </c>
      <c r="E1955">
        <v>4</v>
      </c>
      <c r="G1955">
        <v>4</v>
      </c>
    </row>
    <row r="1956" spans="1:7" x14ac:dyDescent="0.25">
      <c r="A1956" t="s">
        <v>377</v>
      </c>
      <c r="E1956">
        <v>1</v>
      </c>
      <c r="G1956">
        <v>1</v>
      </c>
    </row>
    <row r="1957" spans="1:7" x14ac:dyDescent="0.25">
      <c r="A1957" t="s">
        <v>293</v>
      </c>
      <c r="E1957">
        <v>1</v>
      </c>
      <c r="G1957">
        <v>1</v>
      </c>
    </row>
    <row r="1958" spans="1:7" x14ac:dyDescent="0.25">
      <c r="A1958" t="s">
        <v>297</v>
      </c>
      <c r="E1958">
        <v>1</v>
      </c>
      <c r="G1958">
        <v>1</v>
      </c>
    </row>
    <row r="1959" spans="1:7" x14ac:dyDescent="0.25">
      <c r="A1959" t="s">
        <v>380</v>
      </c>
      <c r="E1959">
        <v>1</v>
      </c>
      <c r="G1959">
        <v>1</v>
      </c>
    </row>
    <row r="1960" spans="1:7" x14ac:dyDescent="0.25">
      <c r="A1960" t="s">
        <v>919</v>
      </c>
      <c r="E1960">
        <v>6</v>
      </c>
      <c r="G1960">
        <v>6</v>
      </c>
    </row>
    <row r="1961" spans="1:7" x14ac:dyDescent="0.25">
      <c r="A1961" t="s">
        <v>377</v>
      </c>
      <c r="E1961">
        <v>1</v>
      </c>
      <c r="G1961">
        <v>1</v>
      </c>
    </row>
    <row r="1962" spans="1:7" x14ac:dyDescent="0.25">
      <c r="A1962" t="s">
        <v>385</v>
      </c>
      <c r="E1962">
        <v>1</v>
      </c>
      <c r="G1962">
        <v>1</v>
      </c>
    </row>
    <row r="1963" spans="1:7" x14ac:dyDescent="0.25">
      <c r="A1963" t="s">
        <v>293</v>
      </c>
      <c r="E1963">
        <v>1</v>
      </c>
      <c r="G1963">
        <v>1</v>
      </c>
    </row>
    <row r="1964" spans="1:7" x14ac:dyDescent="0.25">
      <c r="A1964" t="s">
        <v>295</v>
      </c>
      <c r="E1964">
        <v>1</v>
      </c>
      <c r="G1964">
        <v>1</v>
      </c>
    </row>
    <row r="1965" spans="1:7" x14ac:dyDescent="0.25">
      <c r="A1965" t="s">
        <v>297</v>
      </c>
      <c r="E1965">
        <v>1</v>
      </c>
      <c r="G1965">
        <v>1</v>
      </c>
    </row>
    <row r="1966" spans="1:7" x14ac:dyDescent="0.25">
      <c r="A1966" t="s">
        <v>380</v>
      </c>
      <c r="E1966">
        <v>1</v>
      </c>
      <c r="G1966">
        <v>1</v>
      </c>
    </row>
    <row r="1967" spans="1:7" x14ac:dyDescent="0.25">
      <c r="A1967" t="s">
        <v>920</v>
      </c>
      <c r="E1967">
        <v>4</v>
      </c>
      <c r="G1967">
        <v>4</v>
      </c>
    </row>
    <row r="1968" spans="1:7" x14ac:dyDescent="0.25">
      <c r="A1968" t="s">
        <v>293</v>
      </c>
      <c r="E1968">
        <v>1</v>
      </c>
      <c r="G1968">
        <v>1</v>
      </c>
    </row>
    <row r="1969" spans="1:7" x14ac:dyDescent="0.25">
      <c r="A1969" t="s">
        <v>295</v>
      </c>
      <c r="E1969">
        <v>1</v>
      </c>
      <c r="G1969">
        <v>1</v>
      </c>
    </row>
    <row r="1970" spans="1:7" x14ac:dyDescent="0.25">
      <c r="A1970" t="s">
        <v>297</v>
      </c>
      <c r="E1970">
        <v>1</v>
      </c>
      <c r="G1970">
        <v>1</v>
      </c>
    </row>
    <row r="1971" spans="1:7" x14ac:dyDescent="0.25">
      <c r="A1971" t="s">
        <v>380</v>
      </c>
      <c r="E1971">
        <v>1</v>
      </c>
      <c r="G1971">
        <v>1</v>
      </c>
    </row>
    <row r="1972" spans="1:7" x14ac:dyDescent="0.25">
      <c r="A1972" t="s">
        <v>921</v>
      </c>
      <c r="E1972">
        <v>2</v>
      </c>
      <c r="G1972">
        <v>2</v>
      </c>
    </row>
    <row r="1973" spans="1:7" x14ac:dyDescent="0.25">
      <c r="A1973" t="s">
        <v>288</v>
      </c>
      <c r="E1973">
        <v>1</v>
      </c>
      <c r="G1973">
        <v>1</v>
      </c>
    </row>
    <row r="1974" spans="1:7" x14ac:dyDescent="0.25">
      <c r="A1974" t="s">
        <v>380</v>
      </c>
      <c r="E1974">
        <v>1</v>
      </c>
      <c r="G1974">
        <v>1</v>
      </c>
    </row>
    <row r="1975" spans="1:7" x14ac:dyDescent="0.25">
      <c r="A1975" t="s">
        <v>922</v>
      </c>
      <c r="E1975">
        <v>4</v>
      </c>
      <c r="G1975">
        <v>4</v>
      </c>
    </row>
    <row r="1976" spans="1:7" x14ac:dyDescent="0.25">
      <c r="A1976" t="s">
        <v>289</v>
      </c>
      <c r="E1976">
        <v>1</v>
      </c>
      <c r="G1976">
        <v>1</v>
      </c>
    </row>
    <row r="1977" spans="1:7" x14ac:dyDescent="0.25">
      <c r="A1977" t="s">
        <v>290</v>
      </c>
      <c r="E1977">
        <v>1</v>
      </c>
      <c r="G1977">
        <v>1</v>
      </c>
    </row>
    <row r="1978" spans="1:7" x14ac:dyDescent="0.25">
      <c r="A1978" t="s">
        <v>291</v>
      </c>
      <c r="E1978">
        <v>1</v>
      </c>
      <c r="G1978">
        <v>1</v>
      </c>
    </row>
    <row r="1979" spans="1:7" x14ac:dyDescent="0.25">
      <c r="A1979" t="s">
        <v>493</v>
      </c>
      <c r="E1979">
        <v>1</v>
      </c>
      <c r="G1979">
        <v>1</v>
      </c>
    </row>
    <row r="1980" spans="1:7" x14ac:dyDescent="0.25">
      <c r="A1980" t="s">
        <v>923</v>
      </c>
      <c r="E1980">
        <v>2</v>
      </c>
      <c r="G1980">
        <v>2</v>
      </c>
    </row>
    <row r="1981" spans="1:7" x14ac:dyDescent="0.25">
      <c r="A1981" t="s">
        <v>288</v>
      </c>
      <c r="E1981">
        <v>1</v>
      </c>
      <c r="G1981">
        <v>1</v>
      </c>
    </row>
    <row r="1982" spans="1:7" x14ac:dyDescent="0.25">
      <c r="A1982" t="s">
        <v>380</v>
      </c>
      <c r="E1982">
        <v>1</v>
      </c>
      <c r="G1982">
        <v>1</v>
      </c>
    </row>
    <row r="1983" spans="1:7" x14ac:dyDescent="0.25">
      <c r="A1983" t="s">
        <v>924</v>
      </c>
      <c r="E1983">
        <v>4</v>
      </c>
      <c r="G1983">
        <v>4</v>
      </c>
    </row>
    <row r="1984" spans="1:7" x14ac:dyDescent="0.25">
      <c r="A1984" t="s">
        <v>293</v>
      </c>
      <c r="E1984">
        <v>1</v>
      </c>
      <c r="G1984">
        <v>1</v>
      </c>
    </row>
    <row r="1985" spans="1:7" x14ac:dyDescent="0.25">
      <c r="A1985" t="s">
        <v>295</v>
      </c>
      <c r="E1985">
        <v>1</v>
      </c>
      <c r="G1985">
        <v>1</v>
      </c>
    </row>
    <row r="1986" spans="1:7" x14ac:dyDescent="0.25">
      <c r="A1986" t="s">
        <v>297</v>
      </c>
      <c r="E1986">
        <v>1</v>
      </c>
      <c r="G1986">
        <v>1</v>
      </c>
    </row>
    <row r="1987" spans="1:7" x14ac:dyDescent="0.25">
      <c r="A1987" t="s">
        <v>380</v>
      </c>
      <c r="E1987">
        <v>1</v>
      </c>
      <c r="G1987">
        <v>1</v>
      </c>
    </row>
    <row r="1988" spans="1:7" x14ac:dyDescent="0.25">
      <c r="A1988" t="s">
        <v>925</v>
      </c>
      <c r="E1988">
        <v>5</v>
      </c>
      <c r="G1988">
        <v>5</v>
      </c>
    </row>
    <row r="1989" spans="1:7" x14ac:dyDescent="0.25">
      <c r="A1989" t="s">
        <v>377</v>
      </c>
      <c r="E1989">
        <v>1</v>
      </c>
      <c r="G1989">
        <v>1</v>
      </c>
    </row>
    <row r="1990" spans="1:7" x14ac:dyDescent="0.25">
      <c r="A1990" t="s">
        <v>293</v>
      </c>
      <c r="E1990">
        <v>1</v>
      </c>
      <c r="G1990">
        <v>1</v>
      </c>
    </row>
    <row r="1991" spans="1:7" x14ac:dyDescent="0.25">
      <c r="A1991" t="s">
        <v>295</v>
      </c>
      <c r="E1991">
        <v>1</v>
      </c>
      <c r="G1991">
        <v>1</v>
      </c>
    </row>
    <row r="1992" spans="1:7" x14ac:dyDescent="0.25">
      <c r="A1992" t="s">
        <v>297</v>
      </c>
      <c r="E1992">
        <v>1</v>
      </c>
      <c r="G1992">
        <v>1</v>
      </c>
    </row>
    <row r="1993" spans="1:7" x14ac:dyDescent="0.25">
      <c r="A1993" t="s">
        <v>493</v>
      </c>
      <c r="E1993">
        <v>1</v>
      </c>
      <c r="G1993">
        <v>1</v>
      </c>
    </row>
    <row r="1994" spans="1:7" x14ac:dyDescent="0.25">
      <c r="A1994" t="s">
        <v>926</v>
      </c>
      <c r="E1994">
        <v>2</v>
      </c>
      <c r="G1994">
        <v>2</v>
      </c>
    </row>
    <row r="1995" spans="1:7" x14ac:dyDescent="0.25">
      <c r="A1995" t="s">
        <v>295</v>
      </c>
      <c r="E1995">
        <v>1</v>
      </c>
      <c r="G1995">
        <v>1</v>
      </c>
    </row>
    <row r="1996" spans="1:7" x14ac:dyDescent="0.25">
      <c r="A1996" t="s">
        <v>380</v>
      </c>
      <c r="E1996">
        <v>1</v>
      </c>
      <c r="G1996">
        <v>1</v>
      </c>
    </row>
    <row r="1997" spans="1:7" x14ac:dyDescent="0.25">
      <c r="A1997" t="s">
        <v>927</v>
      </c>
      <c r="E1997">
        <v>5</v>
      </c>
      <c r="G1997">
        <v>5</v>
      </c>
    </row>
    <row r="1998" spans="1:7" x14ac:dyDescent="0.25">
      <c r="A1998" t="s">
        <v>377</v>
      </c>
      <c r="E1998">
        <v>1</v>
      </c>
      <c r="G1998">
        <v>1</v>
      </c>
    </row>
    <row r="1999" spans="1:7" x14ac:dyDescent="0.25">
      <c r="A1999" t="s">
        <v>289</v>
      </c>
      <c r="E1999">
        <v>1</v>
      </c>
      <c r="G1999">
        <v>1</v>
      </c>
    </row>
    <row r="2000" spans="1:7" x14ac:dyDescent="0.25">
      <c r="A2000" t="s">
        <v>290</v>
      </c>
      <c r="E2000">
        <v>1</v>
      </c>
      <c r="G2000">
        <v>1</v>
      </c>
    </row>
    <row r="2001" spans="1:7" x14ac:dyDescent="0.25">
      <c r="A2001" t="s">
        <v>291</v>
      </c>
      <c r="E2001">
        <v>1</v>
      </c>
      <c r="G2001">
        <v>1</v>
      </c>
    </row>
    <row r="2002" spans="1:7" x14ac:dyDescent="0.25">
      <c r="A2002" t="s">
        <v>493</v>
      </c>
      <c r="E2002">
        <v>1</v>
      </c>
      <c r="G2002">
        <v>1</v>
      </c>
    </row>
    <row r="2003" spans="1:7" x14ac:dyDescent="0.25">
      <c r="A2003" t="s">
        <v>928</v>
      </c>
      <c r="E2003">
        <v>2</v>
      </c>
      <c r="G2003">
        <v>2</v>
      </c>
    </row>
    <row r="2004" spans="1:7" x14ac:dyDescent="0.25">
      <c r="A2004" t="s">
        <v>290</v>
      </c>
      <c r="E2004">
        <v>1</v>
      </c>
      <c r="G2004">
        <v>1</v>
      </c>
    </row>
    <row r="2005" spans="1:7" x14ac:dyDescent="0.25">
      <c r="A2005" t="s">
        <v>493</v>
      </c>
      <c r="E2005">
        <v>1</v>
      </c>
      <c r="G2005">
        <v>1</v>
      </c>
    </row>
    <row r="2006" spans="1:7" x14ac:dyDescent="0.25">
      <c r="A2006" t="s">
        <v>929</v>
      </c>
      <c r="E2006">
        <v>2</v>
      </c>
      <c r="G2006">
        <v>2</v>
      </c>
    </row>
    <row r="2007" spans="1:7" x14ac:dyDescent="0.25">
      <c r="A2007" t="s">
        <v>288</v>
      </c>
      <c r="E2007">
        <v>1</v>
      </c>
      <c r="G2007">
        <v>1</v>
      </c>
    </row>
    <row r="2008" spans="1:7" x14ac:dyDescent="0.25">
      <c r="A2008" t="s">
        <v>380</v>
      </c>
      <c r="E2008">
        <v>1</v>
      </c>
      <c r="G2008">
        <v>1</v>
      </c>
    </row>
    <row r="2009" spans="1:7" x14ac:dyDescent="0.25">
      <c r="A2009" t="s">
        <v>930</v>
      </c>
      <c r="E2009">
        <v>3</v>
      </c>
      <c r="G2009">
        <v>3</v>
      </c>
    </row>
    <row r="2010" spans="1:7" x14ac:dyDescent="0.25">
      <c r="A2010" t="s">
        <v>377</v>
      </c>
      <c r="E2010">
        <v>1</v>
      </c>
      <c r="G2010">
        <v>1</v>
      </c>
    </row>
    <row r="2011" spans="1:7" x14ac:dyDescent="0.25">
      <c r="A2011" t="s">
        <v>288</v>
      </c>
      <c r="E2011">
        <v>1</v>
      </c>
      <c r="G2011">
        <v>1</v>
      </c>
    </row>
    <row r="2012" spans="1:7" x14ac:dyDescent="0.25">
      <c r="A2012" t="s">
        <v>493</v>
      </c>
      <c r="E2012">
        <v>1</v>
      </c>
      <c r="G2012">
        <v>1</v>
      </c>
    </row>
    <row r="2013" spans="1:7" x14ac:dyDescent="0.25">
      <c r="A2013" t="s">
        <v>931</v>
      </c>
      <c r="E2013">
        <v>5</v>
      </c>
      <c r="G2013">
        <v>5</v>
      </c>
    </row>
    <row r="2014" spans="1:7" x14ac:dyDescent="0.25">
      <c r="A2014" t="s">
        <v>377</v>
      </c>
      <c r="E2014">
        <v>1</v>
      </c>
      <c r="G2014">
        <v>1</v>
      </c>
    </row>
    <row r="2015" spans="1:7" x14ac:dyDescent="0.25">
      <c r="A2015" t="s">
        <v>289</v>
      </c>
      <c r="E2015">
        <v>1</v>
      </c>
      <c r="G2015">
        <v>1</v>
      </c>
    </row>
    <row r="2016" spans="1:7" x14ac:dyDescent="0.25">
      <c r="A2016" t="s">
        <v>290</v>
      </c>
      <c r="E2016">
        <v>1</v>
      </c>
      <c r="G2016">
        <v>1</v>
      </c>
    </row>
    <row r="2017" spans="1:7" x14ac:dyDescent="0.25">
      <c r="A2017" t="s">
        <v>291</v>
      </c>
      <c r="E2017">
        <v>1</v>
      </c>
      <c r="G2017">
        <v>1</v>
      </c>
    </row>
    <row r="2018" spans="1:7" x14ac:dyDescent="0.25">
      <c r="A2018" t="s">
        <v>493</v>
      </c>
      <c r="E2018">
        <v>1</v>
      </c>
      <c r="G2018">
        <v>1</v>
      </c>
    </row>
    <row r="2019" spans="1:7" x14ac:dyDescent="0.25">
      <c r="A2019" t="s">
        <v>932</v>
      </c>
      <c r="E2019">
        <v>2</v>
      </c>
      <c r="G2019">
        <v>2</v>
      </c>
    </row>
    <row r="2020" spans="1:7" x14ac:dyDescent="0.25">
      <c r="A2020" t="s">
        <v>288</v>
      </c>
      <c r="E2020">
        <v>1</v>
      </c>
      <c r="G2020">
        <v>1</v>
      </c>
    </row>
    <row r="2021" spans="1:7" x14ac:dyDescent="0.25">
      <c r="A2021" t="s">
        <v>367</v>
      </c>
      <c r="E2021">
        <v>1</v>
      </c>
      <c r="G2021">
        <v>1</v>
      </c>
    </row>
    <row r="2022" spans="1:7" x14ac:dyDescent="0.25">
      <c r="A2022" t="s">
        <v>933</v>
      </c>
      <c r="E2022">
        <v>2</v>
      </c>
      <c r="G2022">
        <v>2</v>
      </c>
    </row>
    <row r="2023" spans="1:7" x14ac:dyDescent="0.25">
      <c r="A2023" t="s">
        <v>288</v>
      </c>
      <c r="E2023">
        <v>1</v>
      </c>
      <c r="G2023">
        <v>1</v>
      </c>
    </row>
    <row r="2024" spans="1:7" x14ac:dyDescent="0.25">
      <c r="A2024" t="s">
        <v>367</v>
      </c>
      <c r="E2024">
        <v>1</v>
      </c>
      <c r="G2024">
        <v>1</v>
      </c>
    </row>
    <row r="2025" spans="1:7" x14ac:dyDescent="0.25">
      <c r="A2025" t="s">
        <v>934</v>
      </c>
      <c r="E2025">
        <v>2</v>
      </c>
      <c r="G2025">
        <v>2</v>
      </c>
    </row>
    <row r="2026" spans="1:7" x14ac:dyDescent="0.25">
      <c r="A2026" t="s">
        <v>367</v>
      </c>
      <c r="E2026">
        <v>1</v>
      </c>
      <c r="G2026">
        <v>1</v>
      </c>
    </row>
    <row r="2027" spans="1:7" x14ac:dyDescent="0.25">
      <c r="A2027" t="s">
        <v>935</v>
      </c>
      <c r="E2027">
        <v>1</v>
      </c>
      <c r="G2027">
        <v>1</v>
      </c>
    </row>
    <row r="2028" spans="1:7" x14ac:dyDescent="0.25">
      <c r="A2028" t="s">
        <v>936</v>
      </c>
      <c r="E2028">
        <v>2</v>
      </c>
      <c r="G2028">
        <v>2</v>
      </c>
    </row>
    <row r="2029" spans="1:7" x14ac:dyDescent="0.25">
      <c r="A2029" t="s">
        <v>367</v>
      </c>
      <c r="E2029">
        <v>1</v>
      </c>
      <c r="G2029">
        <v>1</v>
      </c>
    </row>
    <row r="2030" spans="1:7" x14ac:dyDescent="0.25">
      <c r="A2030" t="s">
        <v>935</v>
      </c>
      <c r="E2030">
        <v>1</v>
      </c>
      <c r="G2030">
        <v>1</v>
      </c>
    </row>
    <row r="2031" spans="1:7" x14ac:dyDescent="0.25">
      <c r="A2031" t="s">
        <v>937</v>
      </c>
      <c r="E2031">
        <v>4</v>
      </c>
      <c r="G2031">
        <v>4</v>
      </c>
    </row>
    <row r="2032" spans="1:7" x14ac:dyDescent="0.25">
      <c r="A2032" t="s">
        <v>377</v>
      </c>
      <c r="E2032">
        <v>1</v>
      </c>
      <c r="G2032">
        <v>1</v>
      </c>
    </row>
    <row r="2033" spans="1:7" x14ac:dyDescent="0.25">
      <c r="A2033" t="s">
        <v>290</v>
      </c>
      <c r="E2033">
        <v>1</v>
      </c>
      <c r="G2033">
        <v>1</v>
      </c>
    </row>
    <row r="2034" spans="1:7" x14ac:dyDescent="0.25">
      <c r="A2034" t="s">
        <v>291</v>
      </c>
      <c r="E2034">
        <v>1</v>
      </c>
      <c r="G2034">
        <v>1</v>
      </c>
    </row>
    <row r="2035" spans="1:7" x14ac:dyDescent="0.25">
      <c r="A2035" t="s">
        <v>493</v>
      </c>
      <c r="E2035">
        <v>1</v>
      </c>
      <c r="G2035">
        <v>1</v>
      </c>
    </row>
    <row r="2036" spans="1:7" x14ac:dyDescent="0.25">
      <c r="A2036" t="s">
        <v>938</v>
      </c>
      <c r="E2036">
        <v>5</v>
      </c>
      <c r="G2036">
        <v>5</v>
      </c>
    </row>
    <row r="2037" spans="1:7" x14ac:dyDescent="0.25">
      <c r="A2037" t="s">
        <v>377</v>
      </c>
      <c r="E2037">
        <v>1</v>
      </c>
      <c r="G2037">
        <v>1</v>
      </c>
    </row>
    <row r="2038" spans="1:7" x14ac:dyDescent="0.25">
      <c r="A2038" t="s">
        <v>289</v>
      </c>
      <c r="E2038">
        <v>1</v>
      </c>
      <c r="G2038">
        <v>1</v>
      </c>
    </row>
    <row r="2039" spans="1:7" x14ac:dyDescent="0.25">
      <c r="A2039" t="s">
        <v>290</v>
      </c>
      <c r="E2039">
        <v>1</v>
      </c>
      <c r="G2039">
        <v>1</v>
      </c>
    </row>
    <row r="2040" spans="1:7" x14ac:dyDescent="0.25">
      <c r="A2040" t="s">
        <v>291</v>
      </c>
      <c r="E2040">
        <v>1</v>
      </c>
      <c r="G2040">
        <v>1</v>
      </c>
    </row>
    <row r="2041" spans="1:7" x14ac:dyDescent="0.25">
      <c r="A2041" t="s">
        <v>493</v>
      </c>
      <c r="E2041">
        <v>1</v>
      </c>
      <c r="G2041">
        <v>1</v>
      </c>
    </row>
    <row r="2042" spans="1:7" x14ac:dyDescent="0.25">
      <c r="A2042" t="s">
        <v>939</v>
      </c>
      <c r="E2042">
        <v>2</v>
      </c>
      <c r="G2042">
        <v>2</v>
      </c>
    </row>
    <row r="2043" spans="1:7" x14ac:dyDescent="0.25">
      <c r="A2043" t="s">
        <v>288</v>
      </c>
      <c r="E2043">
        <v>1</v>
      </c>
      <c r="G2043">
        <v>1</v>
      </c>
    </row>
    <row r="2044" spans="1:7" x14ac:dyDescent="0.25">
      <c r="A2044" t="s">
        <v>367</v>
      </c>
      <c r="E2044">
        <v>1</v>
      </c>
      <c r="G2044">
        <v>1</v>
      </c>
    </row>
    <row r="2045" spans="1:7" x14ac:dyDescent="0.25">
      <c r="A2045" t="s">
        <v>940</v>
      </c>
      <c r="E2045">
        <v>5</v>
      </c>
      <c r="G2045">
        <v>5</v>
      </c>
    </row>
    <row r="2046" spans="1:7" x14ac:dyDescent="0.25">
      <c r="A2046" t="s">
        <v>377</v>
      </c>
      <c r="E2046">
        <v>1</v>
      </c>
      <c r="G2046">
        <v>1</v>
      </c>
    </row>
    <row r="2047" spans="1:7" x14ac:dyDescent="0.25">
      <c r="A2047" t="s">
        <v>289</v>
      </c>
      <c r="E2047">
        <v>1</v>
      </c>
      <c r="G2047">
        <v>1</v>
      </c>
    </row>
    <row r="2048" spans="1:7" x14ac:dyDescent="0.25">
      <c r="A2048" t="s">
        <v>290</v>
      </c>
      <c r="E2048">
        <v>1</v>
      </c>
      <c r="G2048">
        <v>1</v>
      </c>
    </row>
    <row r="2049" spans="1:7" x14ac:dyDescent="0.25">
      <c r="A2049" t="s">
        <v>291</v>
      </c>
      <c r="E2049">
        <v>1</v>
      </c>
      <c r="G2049">
        <v>1</v>
      </c>
    </row>
    <row r="2050" spans="1:7" x14ac:dyDescent="0.25">
      <c r="A2050" t="s">
        <v>493</v>
      </c>
      <c r="E2050">
        <v>1</v>
      </c>
      <c r="G2050">
        <v>1</v>
      </c>
    </row>
    <row r="2051" spans="1:7" x14ac:dyDescent="0.25">
      <c r="A2051" t="s">
        <v>941</v>
      </c>
      <c r="E2051">
        <v>2</v>
      </c>
      <c r="G2051">
        <v>2</v>
      </c>
    </row>
    <row r="2052" spans="1:7" x14ac:dyDescent="0.25">
      <c r="A2052" t="s">
        <v>290</v>
      </c>
      <c r="E2052">
        <v>1</v>
      </c>
      <c r="G2052">
        <v>1</v>
      </c>
    </row>
    <row r="2053" spans="1:7" x14ac:dyDescent="0.25">
      <c r="A2053" t="s">
        <v>380</v>
      </c>
      <c r="E2053">
        <v>1</v>
      </c>
      <c r="G2053">
        <v>1</v>
      </c>
    </row>
    <row r="2054" spans="1:7" x14ac:dyDescent="0.25">
      <c r="A2054" t="s">
        <v>942</v>
      </c>
      <c r="E2054">
        <v>2</v>
      </c>
      <c r="G2054">
        <v>2</v>
      </c>
    </row>
    <row r="2055" spans="1:7" x14ac:dyDescent="0.25">
      <c r="A2055" t="s">
        <v>288</v>
      </c>
      <c r="E2055">
        <v>1</v>
      </c>
      <c r="G2055">
        <v>1</v>
      </c>
    </row>
    <row r="2056" spans="1:7" x14ac:dyDescent="0.25">
      <c r="A2056" t="s">
        <v>380</v>
      </c>
      <c r="E2056">
        <v>1</v>
      </c>
      <c r="G2056">
        <v>1</v>
      </c>
    </row>
    <row r="2057" spans="1:7" x14ac:dyDescent="0.25">
      <c r="A2057" t="s">
        <v>943</v>
      </c>
      <c r="E2057">
        <v>3</v>
      </c>
      <c r="G2057">
        <v>3</v>
      </c>
    </row>
    <row r="2058" spans="1:7" x14ac:dyDescent="0.25">
      <c r="A2058" t="s">
        <v>377</v>
      </c>
      <c r="E2058">
        <v>1</v>
      </c>
      <c r="G2058">
        <v>1</v>
      </c>
    </row>
    <row r="2059" spans="1:7" x14ac:dyDescent="0.25">
      <c r="A2059" t="s">
        <v>288</v>
      </c>
      <c r="E2059">
        <v>1</v>
      </c>
      <c r="G2059">
        <v>1</v>
      </c>
    </row>
    <row r="2060" spans="1:7" x14ac:dyDescent="0.25">
      <c r="A2060" t="s">
        <v>369</v>
      </c>
      <c r="E2060">
        <v>1</v>
      </c>
      <c r="G2060">
        <v>1</v>
      </c>
    </row>
    <row r="2061" spans="1:7" x14ac:dyDescent="0.25">
      <c r="A2061" t="s">
        <v>944</v>
      </c>
      <c r="E2061">
        <v>2</v>
      </c>
      <c r="G2061">
        <v>2</v>
      </c>
    </row>
    <row r="2062" spans="1:7" x14ac:dyDescent="0.25">
      <c r="A2062" t="s">
        <v>288</v>
      </c>
      <c r="E2062">
        <v>1</v>
      </c>
      <c r="G2062">
        <v>1</v>
      </c>
    </row>
    <row r="2063" spans="1:7" x14ac:dyDescent="0.25">
      <c r="A2063" t="s">
        <v>367</v>
      </c>
      <c r="E2063">
        <v>1</v>
      </c>
      <c r="G2063">
        <v>1</v>
      </c>
    </row>
    <row r="2064" spans="1:7" x14ac:dyDescent="0.25">
      <c r="A2064" t="s">
        <v>945</v>
      </c>
      <c r="E2064">
        <v>2</v>
      </c>
      <c r="G2064">
        <v>2</v>
      </c>
    </row>
    <row r="2065" spans="1:7" x14ac:dyDescent="0.25">
      <c r="A2065" t="s">
        <v>288</v>
      </c>
      <c r="E2065">
        <v>1</v>
      </c>
      <c r="G2065">
        <v>1</v>
      </c>
    </row>
    <row r="2066" spans="1:7" x14ac:dyDescent="0.25">
      <c r="A2066" t="s">
        <v>380</v>
      </c>
      <c r="E2066">
        <v>1</v>
      </c>
      <c r="G2066">
        <v>1</v>
      </c>
    </row>
    <row r="2067" spans="1:7" x14ac:dyDescent="0.25">
      <c r="A2067" t="s">
        <v>946</v>
      </c>
      <c r="E2067">
        <v>2</v>
      </c>
      <c r="G2067">
        <v>2</v>
      </c>
    </row>
    <row r="2068" spans="1:7" x14ac:dyDescent="0.25">
      <c r="A2068" t="s">
        <v>288</v>
      </c>
      <c r="E2068">
        <v>1</v>
      </c>
      <c r="G2068">
        <v>1</v>
      </c>
    </row>
    <row r="2069" spans="1:7" x14ac:dyDescent="0.25">
      <c r="A2069" t="s">
        <v>380</v>
      </c>
      <c r="E2069">
        <v>1</v>
      </c>
      <c r="G2069">
        <v>1</v>
      </c>
    </row>
    <row r="2070" spans="1:7" x14ac:dyDescent="0.25">
      <c r="A2070" t="s">
        <v>947</v>
      </c>
      <c r="E2070">
        <v>2</v>
      </c>
      <c r="G2070">
        <v>2</v>
      </c>
    </row>
    <row r="2071" spans="1:7" x14ac:dyDescent="0.25">
      <c r="A2071" t="s">
        <v>288</v>
      </c>
      <c r="E2071">
        <v>1</v>
      </c>
      <c r="G2071">
        <v>1</v>
      </c>
    </row>
    <row r="2072" spans="1:7" x14ac:dyDescent="0.25">
      <c r="A2072" t="s">
        <v>367</v>
      </c>
      <c r="E2072">
        <v>1</v>
      </c>
      <c r="G2072">
        <v>1</v>
      </c>
    </row>
    <row r="2073" spans="1:7" x14ac:dyDescent="0.25">
      <c r="A2073" t="s">
        <v>948</v>
      </c>
      <c r="E2073">
        <v>2</v>
      </c>
      <c r="G2073">
        <v>2</v>
      </c>
    </row>
    <row r="2074" spans="1:7" x14ac:dyDescent="0.25">
      <c r="A2074" t="s">
        <v>291</v>
      </c>
      <c r="E2074">
        <v>1</v>
      </c>
      <c r="G2074">
        <v>1</v>
      </c>
    </row>
    <row r="2075" spans="1:7" x14ac:dyDescent="0.25">
      <c r="A2075" t="s">
        <v>380</v>
      </c>
      <c r="E2075">
        <v>1</v>
      </c>
      <c r="G2075">
        <v>1</v>
      </c>
    </row>
    <row r="2076" spans="1:7" x14ac:dyDescent="0.25">
      <c r="A2076" t="s">
        <v>949</v>
      </c>
      <c r="E2076">
        <v>2</v>
      </c>
      <c r="G2076">
        <v>2</v>
      </c>
    </row>
    <row r="2077" spans="1:7" x14ac:dyDescent="0.25">
      <c r="A2077" t="s">
        <v>288</v>
      </c>
      <c r="E2077">
        <v>1</v>
      </c>
      <c r="G2077">
        <v>1</v>
      </c>
    </row>
    <row r="2078" spans="1:7" x14ac:dyDescent="0.25">
      <c r="A2078" t="s">
        <v>380</v>
      </c>
      <c r="E2078">
        <v>1</v>
      </c>
      <c r="G2078">
        <v>1</v>
      </c>
    </row>
    <row r="2079" spans="1:7" x14ac:dyDescent="0.25">
      <c r="A2079" t="s">
        <v>950</v>
      </c>
      <c r="E2079">
        <v>2</v>
      </c>
      <c r="G2079">
        <v>2</v>
      </c>
    </row>
    <row r="2080" spans="1:7" x14ac:dyDescent="0.25">
      <c r="A2080" t="s">
        <v>288</v>
      </c>
      <c r="E2080">
        <v>1</v>
      </c>
      <c r="G2080">
        <v>1</v>
      </c>
    </row>
    <row r="2081" spans="1:7" x14ac:dyDescent="0.25">
      <c r="A2081" t="s">
        <v>380</v>
      </c>
      <c r="E2081">
        <v>1</v>
      </c>
      <c r="G2081">
        <v>1</v>
      </c>
    </row>
    <row r="2082" spans="1:7" x14ac:dyDescent="0.25">
      <c r="A2082" t="s">
        <v>951</v>
      </c>
      <c r="E2082">
        <v>2</v>
      </c>
      <c r="G2082">
        <v>2</v>
      </c>
    </row>
    <row r="2083" spans="1:7" x14ac:dyDescent="0.25">
      <c r="A2083" t="s">
        <v>288</v>
      </c>
      <c r="E2083">
        <v>1</v>
      </c>
      <c r="G2083">
        <v>1</v>
      </c>
    </row>
    <row r="2084" spans="1:7" x14ac:dyDescent="0.25">
      <c r="A2084" t="s">
        <v>380</v>
      </c>
      <c r="E2084">
        <v>1</v>
      </c>
      <c r="G2084">
        <v>1</v>
      </c>
    </row>
    <row r="2085" spans="1:7" x14ac:dyDescent="0.25">
      <c r="A2085" t="s">
        <v>952</v>
      </c>
      <c r="E2085">
        <v>3</v>
      </c>
      <c r="G2085">
        <v>3</v>
      </c>
    </row>
    <row r="2086" spans="1:7" x14ac:dyDescent="0.25">
      <c r="A2086" t="s">
        <v>377</v>
      </c>
      <c r="E2086">
        <v>1</v>
      </c>
      <c r="G2086">
        <v>1</v>
      </c>
    </row>
    <row r="2087" spans="1:7" x14ac:dyDescent="0.25">
      <c r="A2087" t="s">
        <v>288</v>
      </c>
      <c r="E2087">
        <v>1</v>
      </c>
      <c r="G2087">
        <v>1</v>
      </c>
    </row>
    <row r="2088" spans="1:7" x14ac:dyDescent="0.25">
      <c r="A2088" t="s">
        <v>493</v>
      </c>
      <c r="E2088">
        <v>1</v>
      </c>
      <c r="G2088">
        <v>1</v>
      </c>
    </row>
    <row r="2089" spans="1:7" x14ac:dyDescent="0.25">
      <c r="A2089" t="s">
        <v>953</v>
      </c>
      <c r="E2089">
        <v>3</v>
      </c>
      <c r="G2089">
        <v>3</v>
      </c>
    </row>
    <row r="2090" spans="1:7" x14ac:dyDescent="0.25">
      <c r="A2090" t="s">
        <v>377</v>
      </c>
      <c r="E2090">
        <v>1</v>
      </c>
      <c r="G2090">
        <v>1</v>
      </c>
    </row>
    <row r="2091" spans="1:7" x14ac:dyDescent="0.25">
      <c r="A2091" t="s">
        <v>288</v>
      </c>
      <c r="E2091">
        <v>1</v>
      </c>
      <c r="G2091">
        <v>1</v>
      </c>
    </row>
    <row r="2092" spans="1:7" x14ac:dyDescent="0.25">
      <c r="A2092" t="s">
        <v>493</v>
      </c>
      <c r="E2092">
        <v>1</v>
      </c>
      <c r="G2092">
        <v>1</v>
      </c>
    </row>
    <row r="2093" spans="1:7" x14ac:dyDescent="0.25">
      <c r="A2093" t="s">
        <v>954</v>
      </c>
      <c r="E2093">
        <v>2</v>
      </c>
      <c r="G2093">
        <v>2</v>
      </c>
    </row>
    <row r="2094" spans="1:7" x14ac:dyDescent="0.25">
      <c r="A2094" t="s">
        <v>288</v>
      </c>
      <c r="E2094">
        <v>1</v>
      </c>
      <c r="G2094">
        <v>1</v>
      </c>
    </row>
    <row r="2095" spans="1:7" x14ac:dyDescent="0.25">
      <c r="A2095" t="s">
        <v>380</v>
      </c>
      <c r="E2095">
        <v>1</v>
      </c>
      <c r="G2095">
        <v>1</v>
      </c>
    </row>
    <row r="2096" spans="1:7" x14ac:dyDescent="0.25">
      <c r="A2096" t="s">
        <v>955</v>
      </c>
      <c r="E2096">
        <v>3</v>
      </c>
      <c r="G2096">
        <v>3</v>
      </c>
    </row>
    <row r="2097" spans="1:7" x14ac:dyDescent="0.25">
      <c r="A2097" t="s">
        <v>377</v>
      </c>
      <c r="E2097">
        <v>1</v>
      </c>
      <c r="G2097">
        <v>1</v>
      </c>
    </row>
    <row r="2098" spans="1:7" x14ac:dyDescent="0.25">
      <c r="A2098" t="s">
        <v>288</v>
      </c>
      <c r="E2098">
        <v>1</v>
      </c>
      <c r="G2098">
        <v>1</v>
      </c>
    </row>
    <row r="2099" spans="1:7" x14ac:dyDescent="0.25">
      <c r="A2099" t="s">
        <v>493</v>
      </c>
      <c r="E2099">
        <v>1</v>
      </c>
      <c r="G2099">
        <v>1</v>
      </c>
    </row>
    <row r="2100" spans="1:7" x14ac:dyDescent="0.25">
      <c r="A2100" t="s">
        <v>956</v>
      </c>
      <c r="E2100">
        <v>3</v>
      </c>
      <c r="G2100">
        <v>3</v>
      </c>
    </row>
    <row r="2101" spans="1:7" x14ac:dyDescent="0.25">
      <c r="A2101" t="s">
        <v>377</v>
      </c>
      <c r="E2101">
        <v>1</v>
      </c>
      <c r="G2101">
        <v>1</v>
      </c>
    </row>
    <row r="2102" spans="1:7" x14ac:dyDescent="0.25">
      <c r="A2102" t="s">
        <v>288</v>
      </c>
      <c r="E2102">
        <v>1</v>
      </c>
      <c r="G2102">
        <v>1</v>
      </c>
    </row>
    <row r="2103" spans="1:7" x14ac:dyDescent="0.25">
      <c r="A2103" t="s">
        <v>493</v>
      </c>
      <c r="E2103">
        <v>1</v>
      </c>
      <c r="G2103">
        <v>1</v>
      </c>
    </row>
    <row r="2104" spans="1:7" x14ac:dyDescent="0.25">
      <c r="A2104" t="s">
        <v>957</v>
      </c>
      <c r="E2104">
        <v>3</v>
      </c>
      <c r="G2104">
        <v>3</v>
      </c>
    </row>
    <row r="2105" spans="1:7" x14ac:dyDescent="0.25">
      <c r="A2105" t="s">
        <v>377</v>
      </c>
      <c r="E2105">
        <v>1</v>
      </c>
      <c r="G2105">
        <v>1</v>
      </c>
    </row>
    <row r="2106" spans="1:7" x14ac:dyDescent="0.25">
      <c r="A2106" t="s">
        <v>288</v>
      </c>
      <c r="E2106">
        <v>1</v>
      </c>
      <c r="G2106">
        <v>1</v>
      </c>
    </row>
    <row r="2107" spans="1:7" x14ac:dyDescent="0.25">
      <c r="A2107" t="s">
        <v>493</v>
      </c>
      <c r="E2107">
        <v>1</v>
      </c>
      <c r="G2107">
        <v>1</v>
      </c>
    </row>
    <row r="2108" spans="1:7" x14ac:dyDescent="0.25">
      <c r="A2108" t="s">
        <v>958</v>
      </c>
      <c r="E2108">
        <v>3</v>
      </c>
      <c r="G2108">
        <v>3</v>
      </c>
    </row>
    <row r="2109" spans="1:7" x14ac:dyDescent="0.25">
      <c r="A2109" t="s">
        <v>377</v>
      </c>
      <c r="E2109">
        <v>1</v>
      </c>
      <c r="G2109">
        <v>1</v>
      </c>
    </row>
    <row r="2110" spans="1:7" x14ac:dyDescent="0.25">
      <c r="A2110" t="s">
        <v>288</v>
      </c>
      <c r="E2110">
        <v>1</v>
      </c>
      <c r="G2110">
        <v>1</v>
      </c>
    </row>
    <row r="2111" spans="1:7" x14ac:dyDescent="0.25">
      <c r="A2111" t="s">
        <v>493</v>
      </c>
      <c r="E2111">
        <v>1</v>
      </c>
      <c r="G2111">
        <v>1</v>
      </c>
    </row>
    <row r="2112" spans="1:7" x14ac:dyDescent="0.25">
      <c r="A2112" t="s">
        <v>959</v>
      </c>
      <c r="E2112">
        <v>5</v>
      </c>
      <c r="G2112">
        <v>5</v>
      </c>
    </row>
    <row r="2113" spans="1:7" x14ac:dyDescent="0.25">
      <c r="A2113" t="s">
        <v>377</v>
      </c>
      <c r="E2113">
        <v>1</v>
      </c>
      <c r="G2113">
        <v>1</v>
      </c>
    </row>
    <row r="2114" spans="1:7" x14ac:dyDescent="0.25">
      <c r="A2114" t="s">
        <v>289</v>
      </c>
      <c r="E2114">
        <v>1</v>
      </c>
      <c r="G2114">
        <v>1</v>
      </c>
    </row>
    <row r="2115" spans="1:7" x14ac:dyDescent="0.25">
      <c r="A2115" t="s">
        <v>290</v>
      </c>
      <c r="E2115">
        <v>1</v>
      </c>
      <c r="G2115">
        <v>1</v>
      </c>
    </row>
    <row r="2116" spans="1:7" x14ac:dyDescent="0.25">
      <c r="A2116" t="s">
        <v>291</v>
      </c>
      <c r="E2116">
        <v>1</v>
      </c>
      <c r="G2116">
        <v>1</v>
      </c>
    </row>
    <row r="2117" spans="1:7" x14ac:dyDescent="0.25">
      <c r="A2117" t="s">
        <v>493</v>
      </c>
      <c r="E2117">
        <v>1</v>
      </c>
      <c r="G2117">
        <v>1</v>
      </c>
    </row>
    <row r="2118" spans="1:7" x14ac:dyDescent="0.25">
      <c r="A2118" t="s">
        <v>960</v>
      </c>
      <c r="E2118">
        <v>3</v>
      </c>
      <c r="G2118">
        <v>3</v>
      </c>
    </row>
    <row r="2119" spans="1:7" x14ac:dyDescent="0.25">
      <c r="A2119" t="s">
        <v>377</v>
      </c>
      <c r="E2119">
        <v>1</v>
      </c>
      <c r="G2119">
        <v>1</v>
      </c>
    </row>
    <row r="2120" spans="1:7" x14ac:dyDescent="0.25">
      <c r="A2120" t="s">
        <v>288</v>
      </c>
      <c r="E2120">
        <v>1</v>
      </c>
      <c r="G2120">
        <v>1</v>
      </c>
    </row>
    <row r="2121" spans="1:7" x14ac:dyDescent="0.25">
      <c r="A2121" t="s">
        <v>493</v>
      </c>
      <c r="E2121">
        <v>1</v>
      </c>
      <c r="G2121">
        <v>1</v>
      </c>
    </row>
    <row r="2122" spans="1:7" x14ac:dyDescent="0.25">
      <c r="A2122" t="s">
        <v>961</v>
      </c>
      <c r="E2122">
        <v>5</v>
      </c>
      <c r="G2122">
        <v>5</v>
      </c>
    </row>
    <row r="2123" spans="1:7" x14ac:dyDescent="0.25">
      <c r="A2123" t="s">
        <v>377</v>
      </c>
      <c r="E2123">
        <v>1</v>
      </c>
      <c r="G2123">
        <v>1</v>
      </c>
    </row>
    <row r="2124" spans="1:7" x14ac:dyDescent="0.25">
      <c r="A2124" t="s">
        <v>289</v>
      </c>
      <c r="E2124">
        <v>1</v>
      </c>
      <c r="G2124">
        <v>1</v>
      </c>
    </row>
    <row r="2125" spans="1:7" x14ac:dyDescent="0.25">
      <c r="A2125" t="s">
        <v>290</v>
      </c>
      <c r="E2125">
        <v>1</v>
      </c>
      <c r="G2125">
        <v>1</v>
      </c>
    </row>
    <row r="2126" spans="1:7" x14ac:dyDescent="0.25">
      <c r="A2126" t="s">
        <v>291</v>
      </c>
      <c r="E2126">
        <v>1</v>
      </c>
      <c r="G2126">
        <v>1</v>
      </c>
    </row>
    <row r="2127" spans="1:7" x14ac:dyDescent="0.25">
      <c r="A2127" t="s">
        <v>493</v>
      </c>
      <c r="E2127">
        <v>1</v>
      </c>
      <c r="G2127">
        <v>1</v>
      </c>
    </row>
    <row r="2128" spans="1:7" x14ac:dyDescent="0.25">
      <c r="A2128" t="s">
        <v>962</v>
      </c>
      <c r="E2128">
        <v>5</v>
      </c>
      <c r="G2128">
        <v>5</v>
      </c>
    </row>
    <row r="2129" spans="1:7" x14ac:dyDescent="0.25">
      <c r="A2129" t="s">
        <v>377</v>
      </c>
      <c r="E2129">
        <v>1</v>
      </c>
      <c r="G2129">
        <v>1</v>
      </c>
    </row>
    <row r="2130" spans="1:7" x14ac:dyDescent="0.25">
      <c r="A2130" t="s">
        <v>289</v>
      </c>
      <c r="E2130">
        <v>1</v>
      </c>
      <c r="G2130">
        <v>1</v>
      </c>
    </row>
    <row r="2131" spans="1:7" x14ac:dyDescent="0.25">
      <c r="A2131" t="s">
        <v>290</v>
      </c>
      <c r="E2131">
        <v>1</v>
      </c>
      <c r="G2131">
        <v>1</v>
      </c>
    </row>
    <row r="2132" spans="1:7" x14ac:dyDescent="0.25">
      <c r="A2132" t="s">
        <v>291</v>
      </c>
      <c r="E2132">
        <v>1</v>
      </c>
      <c r="G2132">
        <v>1</v>
      </c>
    </row>
    <row r="2133" spans="1:7" x14ac:dyDescent="0.25">
      <c r="A2133" t="s">
        <v>493</v>
      </c>
      <c r="E2133">
        <v>1</v>
      </c>
      <c r="G2133">
        <v>1</v>
      </c>
    </row>
    <row r="2134" spans="1:7" x14ac:dyDescent="0.25">
      <c r="A2134" t="s">
        <v>963</v>
      </c>
      <c r="E2134">
        <v>3</v>
      </c>
      <c r="G2134">
        <v>3</v>
      </c>
    </row>
    <row r="2135" spans="1:7" x14ac:dyDescent="0.25">
      <c r="A2135" t="s">
        <v>377</v>
      </c>
      <c r="E2135">
        <v>1</v>
      </c>
      <c r="G2135">
        <v>1</v>
      </c>
    </row>
    <row r="2136" spans="1:7" x14ac:dyDescent="0.25">
      <c r="A2136" t="s">
        <v>288</v>
      </c>
      <c r="E2136">
        <v>1</v>
      </c>
      <c r="G2136">
        <v>1</v>
      </c>
    </row>
    <row r="2137" spans="1:7" x14ac:dyDescent="0.25">
      <c r="A2137" t="s">
        <v>380</v>
      </c>
      <c r="E2137">
        <v>1</v>
      </c>
      <c r="G2137">
        <v>1</v>
      </c>
    </row>
    <row r="2138" spans="1:7" x14ac:dyDescent="0.25">
      <c r="A2138" t="s">
        <v>964</v>
      </c>
      <c r="E2138">
        <v>5</v>
      </c>
      <c r="G2138">
        <v>5</v>
      </c>
    </row>
    <row r="2139" spans="1:7" x14ac:dyDescent="0.25">
      <c r="A2139" t="s">
        <v>377</v>
      </c>
      <c r="E2139">
        <v>1</v>
      </c>
      <c r="G2139">
        <v>1</v>
      </c>
    </row>
    <row r="2140" spans="1:7" x14ac:dyDescent="0.25">
      <c r="A2140" t="s">
        <v>293</v>
      </c>
      <c r="E2140">
        <v>1</v>
      </c>
      <c r="G2140">
        <v>1</v>
      </c>
    </row>
    <row r="2141" spans="1:7" x14ac:dyDescent="0.25">
      <c r="A2141" t="s">
        <v>295</v>
      </c>
      <c r="E2141">
        <v>1</v>
      </c>
      <c r="G2141">
        <v>1</v>
      </c>
    </row>
    <row r="2142" spans="1:7" x14ac:dyDescent="0.25">
      <c r="A2142" t="s">
        <v>297</v>
      </c>
      <c r="E2142">
        <v>1</v>
      </c>
      <c r="G2142">
        <v>1</v>
      </c>
    </row>
    <row r="2143" spans="1:7" x14ac:dyDescent="0.25">
      <c r="A2143" t="s">
        <v>493</v>
      </c>
      <c r="E2143">
        <v>1</v>
      </c>
      <c r="G2143">
        <v>1</v>
      </c>
    </row>
    <row r="2144" spans="1:7" x14ac:dyDescent="0.25">
      <c r="A2144" t="s">
        <v>965</v>
      </c>
      <c r="E2144">
        <v>4</v>
      </c>
      <c r="G2144">
        <v>4</v>
      </c>
    </row>
    <row r="2145" spans="1:7" x14ac:dyDescent="0.25">
      <c r="A2145" t="s">
        <v>377</v>
      </c>
      <c r="E2145">
        <v>1</v>
      </c>
      <c r="G2145">
        <v>1</v>
      </c>
    </row>
    <row r="2146" spans="1:7" x14ac:dyDescent="0.25">
      <c r="A2146" t="s">
        <v>289</v>
      </c>
      <c r="E2146">
        <v>1</v>
      </c>
      <c r="G2146">
        <v>1</v>
      </c>
    </row>
    <row r="2147" spans="1:7" x14ac:dyDescent="0.25">
      <c r="A2147" t="s">
        <v>290</v>
      </c>
      <c r="E2147">
        <v>1</v>
      </c>
      <c r="G2147">
        <v>1</v>
      </c>
    </row>
    <row r="2148" spans="1:7" x14ac:dyDescent="0.25">
      <c r="A2148" t="s">
        <v>493</v>
      </c>
      <c r="E2148">
        <v>1</v>
      </c>
      <c r="G2148">
        <v>1</v>
      </c>
    </row>
    <row r="2149" spans="1:7" x14ac:dyDescent="0.25">
      <c r="A2149" t="s">
        <v>966</v>
      </c>
      <c r="E2149">
        <v>3</v>
      </c>
      <c r="G2149">
        <v>3</v>
      </c>
    </row>
    <row r="2150" spans="1:7" x14ac:dyDescent="0.25">
      <c r="A2150" t="s">
        <v>377</v>
      </c>
      <c r="E2150">
        <v>1</v>
      </c>
      <c r="G2150">
        <v>1</v>
      </c>
    </row>
    <row r="2151" spans="1:7" x14ac:dyDescent="0.25">
      <c r="A2151" t="s">
        <v>288</v>
      </c>
      <c r="E2151">
        <v>1</v>
      </c>
      <c r="G2151">
        <v>1</v>
      </c>
    </row>
    <row r="2152" spans="1:7" x14ac:dyDescent="0.25">
      <c r="A2152" t="s">
        <v>493</v>
      </c>
      <c r="E2152">
        <v>1</v>
      </c>
      <c r="G2152">
        <v>1</v>
      </c>
    </row>
    <row r="2153" spans="1:7" x14ac:dyDescent="0.25">
      <c r="A2153" t="s">
        <v>967</v>
      </c>
      <c r="E2153">
        <v>3</v>
      </c>
      <c r="G2153">
        <v>3</v>
      </c>
    </row>
    <row r="2154" spans="1:7" x14ac:dyDescent="0.25">
      <c r="A2154" t="s">
        <v>377</v>
      </c>
      <c r="E2154">
        <v>1</v>
      </c>
      <c r="G2154">
        <v>1</v>
      </c>
    </row>
    <row r="2155" spans="1:7" x14ac:dyDescent="0.25">
      <c r="A2155" t="s">
        <v>292</v>
      </c>
      <c r="E2155">
        <v>1</v>
      </c>
      <c r="G2155">
        <v>1</v>
      </c>
    </row>
    <row r="2156" spans="1:7" x14ac:dyDescent="0.25">
      <c r="A2156" t="s">
        <v>659</v>
      </c>
      <c r="E2156">
        <v>1</v>
      </c>
      <c r="G2156">
        <v>1</v>
      </c>
    </row>
    <row r="2157" spans="1:7" x14ac:dyDescent="0.25">
      <c r="A2157" t="s">
        <v>968</v>
      </c>
      <c r="E2157">
        <v>2</v>
      </c>
      <c r="G2157">
        <v>2</v>
      </c>
    </row>
    <row r="2158" spans="1:7" x14ac:dyDescent="0.25">
      <c r="A2158" t="s">
        <v>288</v>
      </c>
      <c r="E2158">
        <v>1</v>
      </c>
      <c r="G2158">
        <v>1</v>
      </c>
    </row>
    <row r="2159" spans="1:7" x14ac:dyDescent="0.25">
      <c r="A2159" t="s">
        <v>367</v>
      </c>
      <c r="E2159">
        <v>1</v>
      </c>
      <c r="G2159">
        <v>1</v>
      </c>
    </row>
    <row r="2160" spans="1:7" x14ac:dyDescent="0.25">
      <c r="A2160" t="s">
        <v>969</v>
      </c>
      <c r="E2160">
        <v>2</v>
      </c>
      <c r="G2160">
        <v>2</v>
      </c>
    </row>
    <row r="2161" spans="1:7" x14ac:dyDescent="0.25">
      <c r="A2161" t="s">
        <v>288</v>
      </c>
      <c r="E2161">
        <v>1</v>
      </c>
      <c r="G2161">
        <v>1</v>
      </c>
    </row>
    <row r="2162" spans="1:7" x14ac:dyDescent="0.25">
      <c r="A2162" t="s">
        <v>367</v>
      </c>
      <c r="E2162">
        <v>1</v>
      </c>
      <c r="G2162">
        <v>1</v>
      </c>
    </row>
    <row r="2163" spans="1:7" x14ac:dyDescent="0.25">
      <c r="A2163" t="s">
        <v>970</v>
      </c>
      <c r="E2163">
        <v>2</v>
      </c>
      <c r="G2163">
        <v>2</v>
      </c>
    </row>
    <row r="2164" spans="1:7" x14ac:dyDescent="0.25">
      <c r="A2164" t="s">
        <v>367</v>
      </c>
      <c r="E2164">
        <v>1</v>
      </c>
      <c r="G2164">
        <v>1</v>
      </c>
    </row>
    <row r="2165" spans="1:7" x14ac:dyDescent="0.25">
      <c r="A2165" t="s">
        <v>935</v>
      </c>
      <c r="E2165">
        <v>1</v>
      </c>
      <c r="G2165">
        <v>1</v>
      </c>
    </row>
    <row r="2166" spans="1:7" x14ac:dyDescent="0.25">
      <c r="A2166" t="s">
        <v>971</v>
      </c>
      <c r="E2166">
        <v>2</v>
      </c>
      <c r="G2166">
        <v>2</v>
      </c>
    </row>
    <row r="2167" spans="1:7" x14ac:dyDescent="0.25">
      <c r="A2167" t="s">
        <v>288</v>
      </c>
      <c r="E2167">
        <v>1</v>
      </c>
      <c r="G2167">
        <v>1</v>
      </c>
    </row>
    <row r="2168" spans="1:7" x14ac:dyDescent="0.25">
      <c r="A2168" t="s">
        <v>380</v>
      </c>
      <c r="E2168">
        <v>1</v>
      </c>
      <c r="G2168">
        <v>1</v>
      </c>
    </row>
    <row r="2169" spans="1:7" x14ac:dyDescent="0.25">
      <c r="A2169" t="s">
        <v>972</v>
      </c>
      <c r="E2169">
        <v>2</v>
      </c>
      <c r="G2169">
        <v>2</v>
      </c>
    </row>
    <row r="2170" spans="1:7" x14ac:dyDescent="0.25">
      <c r="A2170" t="s">
        <v>292</v>
      </c>
      <c r="E2170">
        <v>1</v>
      </c>
      <c r="G2170">
        <v>1</v>
      </c>
    </row>
    <row r="2171" spans="1:7" x14ac:dyDescent="0.25">
      <c r="A2171" t="s">
        <v>380</v>
      </c>
      <c r="E2171">
        <v>1</v>
      </c>
      <c r="G2171">
        <v>1</v>
      </c>
    </row>
    <row r="2172" spans="1:7" x14ac:dyDescent="0.25">
      <c r="A2172" t="s">
        <v>973</v>
      </c>
      <c r="E2172">
        <v>2</v>
      </c>
      <c r="G2172">
        <v>2</v>
      </c>
    </row>
    <row r="2173" spans="1:7" x14ac:dyDescent="0.25">
      <c r="A2173" t="s">
        <v>288</v>
      </c>
      <c r="E2173">
        <v>1</v>
      </c>
      <c r="G2173">
        <v>1</v>
      </c>
    </row>
    <row r="2174" spans="1:7" x14ac:dyDescent="0.25">
      <c r="A2174" t="s">
        <v>367</v>
      </c>
      <c r="E2174">
        <v>1</v>
      </c>
      <c r="G2174">
        <v>1</v>
      </c>
    </row>
    <row r="2175" spans="1:7" x14ac:dyDescent="0.25">
      <c r="A2175" t="s">
        <v>974</v>
      </c>
      <c r="E2175">
        <v>2</v>
      </c>
      <c r="G2175">
        <v>2</v>
      </c>
    </row>
    <row r="2176" spans="1:7" x14ac:dyDescent="0.25">
      <c r="A2176" t="s">
        <v>292</v>
      </c>
      <c r="E2176">
        <v>1</v>
      </c>
      <c r="G2176">
        <v>1</v>
      </c>
    </row>
    <row r="2177" spans="1:7" x14ac:dyDescent="0.25">
      <c r="A2177" t="s">
        <v>380</v>
      </c>
      <c r="E2177">
        <v>1</v>
      </c>
      <c r="G2177">
        <v>1</v>
      </c>
    </row>
    <row r="2178" spans="1:7" x14ac:dyDescent="0.25">
      <c r="A2178" t="s">
        <v>975</v>
      </c>
      <c r="E2178">
        <v>2</v>
      </c>
      <c r="G2178">
        <v>2</v>
      </c>
    </row>
    <row r="2179" spans="1:7" x14ac:dyDescent="0.25">
      <c r="A2179" t="s">
        <v>288</v>
      </c>
      <c r="E2179">
        <v>1</v>
      </c>
      <c r="G2179">
        <v>1</v>
      </c>
    </row>
    <row r="2180" spans="1:7" x14ac:dyDescent="0.25">
      <c r="A2180" t="s">
        <v>380</v>
      </c>
      <c r="E2180">
        <v>1</v>
      </c>
      <c r="G2180">
        <v>1</v>
      </c>
    </row>
    <row r="2181" spans="1:7" x14ac:dyDescent="0.25">
      <c r="A2181" t="s">
        <v>976</v>
      </c>
      <c r="E2181">
        <v>2</v>
      </c>
      <c r="G2181">
        <v>2</v>
      </c>
    </row>
    <row r="2182" spans="1:7" x14ac:dyDescent="0.25">
      <c r="A2182" t="s">
        <v>288</v>
      </c>
      <c r="E2182">
        <v>1</v>
      </c>
      <c r="G2182">
        <v>1</v>
      </c>
    </row>
    <row r="2183" spans="1:7" x14ac:dyDescent="0.25">
      <c r="A2183" t="s">
        <v>367</v>
      </c>
      <c r="E2183">
        <v>1</v>
      </c>
      <c r="G2183">
        <v>1</v>
      </c>
    </row>
    <row r="2184" spans="1:7" x14ac:dyDescent="0.25">
      <c r="A2184" t="s">
        <v>977</v>
      </c>
      <c r="E2184">
        <v>2</v>
      </c>
      <c r="G2184">
        <v>2</v>
      </c>
    </row>
    <row r="2185" spans="1:7" x14ac:dyDescent="0.25">
      <c r="A2185" t="s">
        <v>288</v>
      </c>
      <c r="E2185">
        <v>1</v>
      </c>
      <c r="G2185">
        <v>1</v>
      </c>
    </row>
    <row r="2186" spans="1:7" x14ac:dyDescent="0.25">
      <c r="A2186" t="s">
        <v>367</v>
      </c>
      <c r="E2186">
        <v>1</v>
      </c>
      <c r="G2186">
        <v>1</v>
      </c>
    </row>
    <row r="2187" spans="1:7" x14ac:dyDescent="0.25">
      <c r="A2187" t="s">
        <v>978</v>
      </c>
      <c r="E2187">
        <v>3</v>
      </c>
      <c r="G2187">
        <v>3</v>
      </c>
    </row>
    <row r="2188" spans="1:7" x14ac:dyDescent="0.25">
      <c r="A2188" t="s">
        <v>377</v>
      </c>
      <c r="E2188">
        <v>1</v>
      </c>
      <c r="G2188">
        <v>1</v>
      </c>
    </row>
    <row r="2189" spans="1:7" x14ac:dyDescent="0.25">
      <c r="A2189" t="s">
        <v>292</v>
      </c>
      <c r="E2189">
        <v>1</v>
      </c>
      <c r="G2189">
        <v>1</v>
      </c>
    </row>
    <row r="2190" spans="1:7" x14ac:dyDescent="0.25">
      <c r="A2190" t="s">
        <v>659</v>
      </c>
      <c r="E2190">
        <v>1</v>
      </c>
      <c r="G2190">
        <v>1</v>
      </c>
    </row>
    <row r="2191" spans="1:7" x14ac:dyDescent="0.25">
      <c r="A2191" t="s">
        <v>979</v>
      </c>
      <c r="E2191">
        <v>2</v>
      </c>
      <c r="G2191">
        <v>2</v>
      </c>
    </row>
    <row r="2192" spans="1:7" x14ac:dyDescent="0.25">
      <c r="A2192" t="s">
        <v>288</v>
      </c>
      <c r="E2192">
        <v>1</v>
      </c>
      <c r="G2192">
        <v>1</v>
      </c>
    </row>
    <row r="2193" spans="1:7" x14ac:dyDescent="0.25">
      <c r="A2193" t="s">
        <v>367</v>
      </c>
      <c r="E2193">
        <v>1</v>
      </c>
      <c r="G2193">
        <v>1</v>
      </c>
    </row>
    <row r="2194" spans="1:7" x14ac:dyDescent="0.25">
      <c r="A2194" t="s">
        <v>980</v>
      </c>
      <c r="E2194">
        <v>2</v>
      </c>
      <c r="G2194">
        <v>2</v>
      </c>
    </row>
    <row r="2195" spans="1:7" x14ac:dyDescent="0.25">
      <c r="A2195" t="s">
        <v>367</v>
      </c>
      <c r="E2195">
        <v>1</v>
      </c>
      <c r="G2195">
        <v>1</v>
      </c>
    </row>
    <row r="2196" spans="1:7" x14ac:dyDescent="0.25">
      <c r="A2196" t="s">
        <v>935</v>
      </c>
      <c r="E2196">
        <v>1</v>
      </c>
      <c r="G2196">
        <v>1</v>
      </c>
    </row>
    <row r="2197" spans="1:7" x14ac:dyDescent="0.25">
      <c r="A2197" t="s">
        <v>981</v>
      </c>
      <c r="E2197">
        <v>2</v>
      </c>
      <c r="G2197">
        <v>2</v>
      </c>
    </row>
    <row r="2198" spans="1:7" x14ac:dyDescent="0.25">
      <c r="A2198" t="s">
        <v>288</v>
      </c>
      <c r="E2198">
        <v>1</v>
      </c>
      <c r="G2198">
        <v>1</v>
      </c>
    </row>
    <row r="2199" spans="1:7" x14ac:dyDescent="0.25">
      <c r="A2199" t="s">
        <v>380</v>
      </c>
      <c r="E2199">
        <v>1</v>
      </c>
      <c r="G2199">
        <v>1</v>
      </c>
    </row>
    <row r="2200" spans="1:7" x14ac:dyDescent="0.25">
      <c r="A2200" t="s">
        <v>982</v>
      </c>
      <c r="E2200">
        <v>2</v>
      </c>
      <c r="G2200">
        <v>2</v>
      </c>
    </row>
    <row r="2201" spans="1:7" x14ac:dyDescent="0.25">
      <c r="A2201" t="s">
        <v>288</v>
      </c>
      <c r="E2201">
        <v>1</v>
      </c>
      <c r="G2201">
        <v>1</v>
      </c>
    </row>
    <row r="2202" spans="1:7" x14ac:dyDescent="0.25">
      <c r="A2202" t="s">
        <v>367</v>
      </c>
      <c r="E2202">
        <v>1</v>
      </c>
      <c r="G2202">
        <v>1</v>
      </c>
    </row>
    <row r="2203" spans="1:7" x14ac:dyDescent="0.25">
      <c r="A2203" t="s">
        <v>983</v>
      </c>
      <c r="E2203">
        <v>3</v>
      </c>
      <c r="G2203">
        <v>3</v>
      </c>
    </row>
    <row r="2204" spans="1:7" x14ac:dyDescent="0.25">
      <c r="A2204" t="s">
        <v>377</v>
      </c>
      <c r="E2204">
        <v>1</v>
      </c>
      <c r="G2204">
        <v>1</v>
      </c>
    </row>
    <row r="2205" spans="1:7" x14ac:dyDescent="0.25">
      <c r="A2205" t="s">
        <v>288</v>
      </c>
      <c r="E2205">
        <v>1</v>
      </c>
      <c r="G2205">
        <v>1</v>
      </c>
    </row>
    <row r="2206" spans="1:7" x14ac:dyDescent="0.25">
      <c r="A2206" t="s">
        <v>380</v>
      </c>
      <c r="E2206">
        <v>1</v>
      </c>
      <c r="G2206">
        <v>1</v>
      </c>
    </row>
    <row r="2207" spans="1:7" x14ac:dyDescent="0.25">
      <c r="A2207" t="s">
        <v>984</v>
      </c>
      <c r="E2207">
        <v>3</v>
      </c>
      <c r="G2207">
        <v>3</v>
      </c>
    </row>
    <row r="2208" spans="1:7" x14ac:dyDescent="0.25">
      <c r="A2208" t="s">
        <v>377</v>
      </c>
      <c r="E2208">
        <v>1</v>
      </c>
      <c r="G2208">
        <v>1</v>
      </c>
    </row>
    <row r="2209" spans="1:7" x14ac:dyDescent="0.25">
      <c r="A2209" t="s">
        <v>288</v>
      </c>
      <c r="E2209">
        <v>1</v>
      </c>
      <c r="G2209">
        <v>1</v>
      </c>
    </row>
    <row r="2210" spans="1:7" x14ac:dyDescent="0.25">
      <c r="A2210" t="s">
        <v>380</v>
      </c>
      <c r="E2210">
        <v>1</v>
      </c>
      <c r="G2210">
        <v>1</v>
      </c>
    </row>
    <row r="2211" spans="1:7" x14ac:dyDescent="0.25">
      <c r="A2211" t="s">
        <v>985</v>
      </c>
      <c r="E2211">
        <v>3</v>
      </c>
      <c r="G2211">
        <v>3</v>
      </c>
    </row>
    <row r="2212" spans="1:7" x14ac:dyDescent="0.25">
      <c r="A2212" t="s">
        <v>377</v>
      </c>
      <c r="E2212">
        <v>1</v>
      </c>
      <c r="G2212">
        <v>1</v>
      </c>
    </row>
    <row r="2213" spans="1:7" x14ac:dyDescent="0.25">
      <c r="A2213" t="s">
        <v>292</v>
      </c>
      <c r="E2213">
        <v>1</v>
      </c>
      <c r="G2213">
        <v>1</v>
      </c>
    </row>
    <row r="2214" spans="1:7" x14ac:dyDescent="0.25">
      <c r="A2214" t="s">
        <v>380</v>
      </c>
      <c r="E2214">
        <v>1</v>
      </c>
      <c r="G2214">
        <v>1</v>
      </c>
    </row>
    <row r="2215" spans="1:7" x14ac:dyDescent="0.25">
      <c r="A2215" t="s">
        <v>986</v>
      </c>
      <c r="E2215">
        <v>4</v>
      </c>
      <c r="G2215">
        <v>4</v>
      </c>
    </row>
    <row r="2216" spans="1:7" x14ac:dyDescent="0.25">
      <c r="A2216" t="s">
        <v>377</v>
      </c>
      <c r="E2216">
        <v>1</v>
      </c>
      <c r="G2216">
        <v>1</v>
      </c>
    </row>
    <row r="2217" spans="1:7" x14ac:dyDescent="0.25">
      <c r="A2217" t="s">
        <v>385</v>
      </c>
      <c r="E2217">
        <v>1</v>
      </c>
      <c r="G2217">
        <v>1</v>
      </c>
    </row>
    <row r="2218" spans="1:7" x14ac:dyDescent="0.25">
      <c r="A2218" t="s">
        <v>288</v>
      </c>
      <c r="E2218">
        <v>1</v>
      </c>
      <c r="G2218">
        <v>1</v>
      </c>
    </row>
    <row r="2219" spans="1:7" x14ac:dyDescent="0.25">
      <c r="A2219" t="s">
        <v>380</v>
      </c>
      <c r="E2219">
        <v>1</v>
      </c>
      <c r="G2219">
        <v>1</v>
      </c>
    </row>
    <row r="2220" spans="1:7" x14ac:dyDescent="0.25">
      <c r="A2220" t="s">
        <v>987</v>
      </c>
      <c r="E2220">
        <v>4</v>
      </c>
      <c r="G2220">
        <v>4</v>
      </c>
    </row>
    <row r="2221" spans="1:7" x14ac:dyDescent="0.25">
      <c r="A2221" t="s">
        <v>377</v>
      </c>
      <c r="E2221">
        <v>1</v>
      </c>
      <c r="G2221">
        <v>1</v>
      </c>
    </row>
    <row r="2222" spans="1:7" x14ac:dyDescent="0.25">
      <c r="A2222" t="s">
        <v>385</v>
      </c>
      <c r="E2222">
        <v>1</v>
      </c>
      <c r="G2222">
        <v>1</v>
      </c>
    </row>
    <row r="2223" spans="1:7" x14ac:dyDescent="0.25">
      <c r="A2223" t="s">
        <v>288</v>
      </c>
      <c r="E2223">
        <v>1</v>
      </c>
      <c r="G2223">
        <v>1</v>
      </c>
    </row>
    <row r="2224" spans="1:7" x14ac:dyDescent="0.25">
      <c r="A2224" t="s">
        <v>380</v>
      </c>
      <c r="E2224">
        <v>1</v>
      </c>
      <c r="G2224">
        <v>1</v>
      </c>
    </row>
    <row r="2225" spans="1:7" x14ac:dyDescent="0.25">
      <c r="A2225" t="s">
        <v>988</v>
      </c>
      <c r="E2225">
        <v>2</v>
      </c>
      <c r="G2225">
        <v>2</v>
      </c>
    </row>
    <row r="2226" spans="1:7" x14ac:dyDescent="0.25">
      <c r="A2226" t="s">
        <v>288</v>
      </c>
      <c r="E2226">
        <v>1</v>
      </c>
      <c r="G2226">
        <v>1</v>
      </c>
    </row>
    <row r="2227" spans="1:7" x14ac:dyDescent="0.25">
      <c r="A2227" t="s">
        <v>380</v>
      </c>
      <c r="E2227">
        <v>1</v>
      </c>
      <c r="G2227">
        <v>1</v>
      </c>
    </row>
    <row r="2228" spans="1:7" x14ac:dyDescent="0.25">
      <c r="A2228" t="s">
        <v>989</v>
      </c>
      <c r="E2228">
        <v>2</v>
      </c>
      <c r="G2228">
        <v>2</v>
      </c>
    </row>
    <row r="2229" spans="1:7" x14ac:dyDescent="0.25">
      <c r="A2229" t="s">
        <v>367</v>
      </c>
      <c r="E2229">
        <v>1</v>
      </c>
      <c r="G2229">
        <v>1</v>
      </c>
    </row>
    <row r="2230" spans="1:7" x14ac:dyDescent="0.25">
      <c r="A2230" t="s">
        <v>935</v>
      </c>
      <c r="E2230">
        <v>1</v>
      </c>
      <c r="G2230">
        <v>1</v>
      </c>
    </row>
    <row r="2231" spans="1:7" x14ac:dyDescent="0.25">
      <c r="A2231" t="s">
        <v>990</v>
      </c>
      <c r="E2231">
        <v>5</v>
      </c>
      <c r="G2231">
        <v>5</v>
      </c>
    </row>
    <row r="2232" spans="1:7" x14ac:dyDescent="0.25">
      <c r="A2232" t="s">
        <v>289</v>
      </c>
      <c r="E2232">
        <v>1</v>
      </c>
      <c r="G2232">
        <v>1</v>
      </c>
    </row>
    <row r="2233" spans="1:7" x14ac:dyDescent="0.25">
      <c r="A2233" t="s">
        <v>290</v>
      </c>
      <c r="E2233">
        <v>1</v>
      </c>
      <c r="G2233">
        <v>1</v>
      </c>
    </row>
    <row r="2234" spans="1:7" x14ac:dyDescent="0.25">
      <c r="A2234" t="s">
        <v>291</v>
      </c>
      <c r="E2234">
        <v>1</v>
      </c>
      <c r="G2234">
        <v>1</v>
      </c>
    </row>
    <row r="2235" spans="1:7" x14ac:dyDescent="0.25">
      <c r="A2235" t="s">
        <v>288</v>
      </c>
      <c r="E2235">
        <v>1</v>
      </c>
      <c r="G2235">
        <v>1</v>
      </c>
    </row>
    <row r="2236" spans="1:7" x14ac:dyDescent="0.25">
      <c r="A2236" t="s">
        <v>493</v>
      </c>
      <c r="E2236">
        <v>1</v>
      </c>
      <c r="G2236">
        <v>1</v>
      </c>
    </row>
    <row r="2237" spans="1:7" x14ac:dyDescent="0.25">
      <c r="A2237" t="s">
        <v>991</v>
      </c>
      <c r="E2237">
        <v>2</v>
      </c>
      <c r="G2237">
        <v>2</v>
      </c>
    </row>
    <row r="2238" spans="1:7" x14ac:dyDescent="0.25">
      <c r="A2238" t="s">
        <v>367</v>
      </c>
      <c r="E2238">
        <v>1</v>
      </c>
      <c r="G2238">
        <v>1</v>
      </c>
    </row>
    <row r="2239" spans="1:7" x14ac:dyDescent="0.25">
      <c r="A2239" t="s">
        <v>935</v>
      </c>
      <c r="E2239">
        <v>1</v>
      </c>
      <c r="G2239">
        <v>1</v>
      </c>
    </row>
    <row r="2240" spans="1:7" x14ac:dyDescent="0.25">
      <c r="A2240" t="s">
        <v>992</v>
      </c>
      <c r="E2240">
        <v>2</v>
      </c>
      <c r="G2240">
        <v>2</v>
      </c>
    </row>
    <row r="2241" spans="1:7" x14ac:dyDescent="0.25">
      <c r="A2241" t="s">
        <v>288</v>
      </c>
      <c r="E2241">
        <v>1</v>
      </c>
      <c r="G2241">
        <v>1</v>
      </c>
    </row>
    <row r="2242" spans="1:7" x14ac:dyDescent="0.25">
      <c r="A2242" t="s">
        <v>380</v>
      </c>
      <c r="E2242">
        <v>1</v>
      </c>
      <c r="G2242">
        <v>1</v>
      </c>
    </row>
    <row r="2243" spans="1:7" x14ac:dyDescent="0.25">
      <c r="A2243" t="s">
        <v>993</v>
      </c>
      <c r="E2243">
        <v>3</v>
      </c>
      <c r="G2243">
        <v>3</v>
      </c>
    </row>
    <row r="2244" spans="1:7" x14ac:dyDescent="0.25">
      <c r="A2244" t="s">
        <v>377</v>
      </c>
      <c r="E2244">
        <v>1</v>
      </c>
      <c r="G2244">
        <v>1</v>
      </c>
    </row>
    <row r="2245" spans="1:7" x14ac:dyDescent="0.25">
      <c r="A2245" t="s">
        <v>288</v>
      </c>
      <c r="E2245">
        <v>1</v>
      </c>
      <c r="G2245">
        <v>1</v>
      </c>
    </row>
    <row r="2246" spans="1:7" x14ac:dyDescent="0.25">
      <c r="A2246" t="s">
        <v>380</v>
      </c>
      <c r="E2246">
        <v>1</v>
      </c>
      <c r="G2246">
        <v>1</v>
      </c>
    </row>
    <row r="2247" spans="1:7" x14ac:dyDescent="0.25">
      <c r="A2247" t="s">
        <v>994</v>
      </c>
      <c r="E2247">
        <v>3</v>
      </c>
      <c r="G2247">
        <v>3</v>
      </c>
    </row>
    <row r="2248" spans="1:7" x14ac:dyDescent="0.25">
      <c r="A2248" t="s">
        <v>377</v>
      </c>
      <c r="E2248">
        <v>1</v>
      </c>
      <c r="G2248">
        <v>1</v>
      </c>
    </row>
    <row r="2249" spans="1:7" x14ac:dyDescent="0.25">
      <c r="A2249" t="s">
        <v>288</v>
      </c>
      <c r="E2249">
        <v>1</v>
      </c>
      <c r="G2249">
        <v>1</v>
      </c>
    </row>
    <row r="2250" spans="1:7" x14ac:dyDescent="0.25">
      <c r="A2250" t="s">
        <v>493</v>
      </c>
      <c r="E2250">
        <v>1</v>
      </c>
      <c r="G2250">
        <v>1</v>
      </c>
    </row>
    <row r="2251" spans="1:7" x14ac:dyDescent="0.25">
      <c r="A2251" t="s">
        <v>995</v>
      </c>
      <c r="E2251">
        <v>5</v>
      </c>
      <c r="G2251">
        <v>5</v>
      </c>
    </row>
    <row r="2252" spans="1:7" x14ac:dyDescent="0.25">
      <c r="A2252" t="s">
        <v>377</v>
      </c>
      <c r="E2252">
        <v>1</v>
      </c>
      <c r="G2252">
        <v>1</v>
      </c>
    </row>
    <row r="2253" spans="1:7" x14ac:dyDescent="0.25">
      <c r="A2253" t="s">
        <v>289</v>
      </c>
      <c r="E2253">
        <v>1</v>
      </c>
      <c r="G2253">
        <v>1</v>
      </c>
    </row>
    <row r="2254" spans="1:7" x14ac:dyDescent="0.25">
      <c r="A2254" t="s">
        <v>290</v>
      </c>
      <c r="E2254">
        <v>1</v>
      </c>
      <c r="G2254">
        <v>1</v>
      </c>
    </row>
    <row r="2255" spans="1:7" x14ac:dyDescent="0.25">
      <c r="A2255" t="s">
        <v>291</v>
      </c>
      <c r="E2255">
        <v>1</v>
      </c>
      <c r="G2255">
        <v>1</v>
      </c>
    </row>
    <row r="2256" spans="1:7" x14ac:dyDescent="0.25">
      <c r="A2256" t="s">
        <v>493</v>
      </c>
      <c r="E2256">
        <v>1</v>
      </c>
      <c r="G2256">
        <v>1</v>
      </c>
    </row>
    <row r="2257" spans="1:7" x14ac:dyDescent="0.25">
      <c r="A2257" t="s">
        <v>996</v>
      </c>
      <c r="E2257">
        <v>3</v>
      </c>
      <c r="G2257">
        <v>3</v>
      </c>
    </row>
    <row r="2258" spans="1:7" x14ac:dyDescent="0.25">
      <c r="A2258" t="s">
        <v>377</v>
      </c>
      <c r="E2258">
        <v>1</v>
      </c>
      <c r="G2258">
        <v>1</v>
      </c>
    </row>
    <row r="2259" spans="1:7" x14ac:dyDescent="0.25">
      <c r="A2259" t="s">
        <v>288</v>
      </c>
      <c r="E2259">
        <v>1</v>
      </c>
      <c r="G2259">
        <v>1</v>
      </c>
    </row>
    <row r="2260" spans="1:7" x14ac:dyDescent="0.25">
      <c r="A2260" t="s">
        <v>493</v>
      </c>
      <c r="E2260">
        <v>1</v>
      </c>
      <c r="G2260">
        <v>1</v>
      </c>
    </row>
    <row r="2261" spans="1:7" x14ac:dyDescent="0.25">
      <c r="A2261" t="s">
        <v>997</v>
      </c>
      <c r="E2261">
        <v>2</v>
      </c>
      <c r="G2261">
        <v>2</v>
      </c>
    </row>
    <row r="2262" spans="1:7" x14ac:dyDescent="0.25">
      <c r="A2262" t="s">
        <v>288</v>
      </c>
      <c r="E2262">
        <v>1</v>
      </c>
      <c r="G2262">
        <v>1</v>
      </c>
    </row>
    <row r="2263" spans="1:7" x14ac:dyDescent="0.25">
      <c r="A2263" t="s">
        <v>367</v>
      </c>
      <c r="E2263">
        <v>1</v>
      </c>
      <c r="G2263">
        <v>1</v>
      </c>
    </row>
    <row r="2264" spans="1:7" x14ac:dyDescent="0.25">
      <c r="A2264" t="s">
        <v>998</v>
      </c>
      <c r="E2264">
        <v>3</v>
      </c>
      <c r="G2264">
        <v>3</v>
      </c>
    </row>
    <row r="2265" spans="1:7" x14ac:dyDescent="0.25">
      <c r="A2265" t="s">
        <v>377</v>
      </c>
      <c r="E2265">
        <v>1</v>
      </c>
      <c r="G2265">
        <v>1</v>
      </c>
    </row>
    <row r="2266" spans="1:7" x14ac:dyDescent="0.25">
      <c r="A2266" t="s">
        <v>288</v>
      </c>
      <c r="E2266">
        <v>1</v>
      </c>
      <c r="G2266">
        <v>1</v>
      </c>
    </row>
    <row r="2267" spans="1:7" x14ac:dyDescent="0.25">
      <c r="A2267" t="s">
        <v>493</v>
      </c>
      <c r="E2267">
        <v>1</v>
      </c>
      <c r="G2267">
        <v>1</v>
      </c>
    </row>
    <row r="2268" spans="1:7" x14ac:dyDescent="0.25">
      <c r="A2268" t="s">
        <v>999</v>
      </c>
      <c r="E2268">
        <v>3</v>
      </c>
      <c r="G2268">
        <v>3</v>
      </c>
    </row>
    <row r="2269" spans="1:7" x14ac:dyDescent="0.25">
      <c r="A2269" t="s">
        <v>377</v>
      </c>
      <c r="E2269">
        <v>1</v>
      </c>
      <c r="G2269">
        <v>1</v>
      </c>
    </row>
    <row r="2270" spans="1:7" x14ac:dyDescent="0.25">
      <c r="A2270" t="s">
        <v>288</v>
      </c>
      <c r="E2270">
        <v>1</v>
      </c>
      <c r="G2270">
        <v>1</v>
      </c>
    </row>
    <row r="2271" spans="1:7" x14ac:dyDescent="0.25">
      <c r="A2271" t="s">
        <v>493</v>
      </c>
      <c r="E2271">
        <v>1</v>
      </c>
      <c r="G2271">
        <v>1</v>
      </c>
    </row>
    <row r="2272" spans="1:7" x14ac:dyDescent="0.25">
      <c r="A2272" t="s">
        <v>1000</v>
      </c>
      <c r="E2272">
        <v>3</v>
      </c>
      <c r="G2272">
        <v>3</v>
      </c>
    </row>
    <row r="2273" spans="1:7" x14ac:dyDescent="0.25">
      <c r="A2273" t="s">
        <v>377</v>
      </c>
      <c r="E2273">
        <v>1</v>
      </c>
      <c r="G2273">
        <v>1</v>
      </c>
    </row>
    <row r="2274" spans="1:7" x14ac:dyDescent="0.25">
      <c r="A2274" t="s">
        <v>288</v>
      </c>
      <c r="E2274">
        <v>1</v>
      </c>
      <c r="G2274">
        <v>1</v>
      </c>
    </row>
    <row r="2275" spans="1:7" x14ac:dyDescent="0.25">
      <c r="A2275" t="s">
        <v>493</v>
      </c>
      <c r="E2275">
        <v>1</v>
      </c>
      <c r="G2275">
        <v>1</v>
      </c>
    </row>
    <row r="2276" spans="1:7" x14ac:dyDescent="0.25">
      <c r="A2276" t="s">
        <v>1001</v>
      </c>
      <c r="E2276">
        <v>3</v>
      </c>
      <c r="G2276">
        <v>3</v>
      </c>
    </row>
    <row r="2277" spans="1:7" x14ac:dyDescent="0.25">
      <c r="A2277" t="s">
        <v>377</v>
      </c>
      <c r="E2277">
        <v>1</v>
      </c>
      <c r="G2277">
        <v>1</v>
      </c>
    </row>
    <row r="2278" spans="1:7" x14ac:dyDescent="0.25">
      <c r="A2278" t="s">
        <v>288</v>
      </c>
      <c r="E2278">
        <v>1</v>
      </c>
      <c r="G2278">
        <v>1</v>
      </c>
    </row>
    <row r="2279" spans="1:7" x14ac:dyDescent="0.25">
      <c r="A2279" t="s">
        <v>493</v>
      </c>
      <c r="E2279">
        <v>1</v>
      </c>
      <c r="G2279">
        <v>1</v>
      </c>
    </row>
    <row r="2280" spans="1:7" x14ac:dyDescent="0.25">
      <c r="A2280" t="s">
        <v>1002</v>
      </c>
      <c r="E2280">
        <v>3</v>
      </c>
      <c r="G2280">
        <v>3</v>
      </c>
    </row>
    <row r="2281" spans="1:7" x14ac:dyDescent="0.25">
      <c r="A2281" t="s">
        <v>377</v>
      </c>
      <c r="E2281">
        <v>1</v>
      </c>
      <c r="G2281">
        <v>1</v>
      </c>
    </row>
    <row r="2282" spans="1:7" x14ac:dyDescent="0.25">
      <c r="A2282" t="s">
        <v>288</v>
      </c>
      <c r="E2282">
        <v>1</v>
      </c>
      <c r="G2282">
        <v>1</v>
      </c>
    </row>
    <row r="2283" spans="1:7" x14ac:dyDescent="0.25">
      <c r="A2283" t="s">
        <v>493</v>
      </c>
      <c r="E2283">
        <v>1</v>
      </c>
      <c r="G2283">
        <v>1</v>
      </c>
    </row>
    <row r="2284" spans="1:7" x14ac:dyDescent="0.25">
      <c r="A2284" t="s">
        <v>1003</v>
      </c>
      <c r="E2284">
        <v>3</v>
      </c>
      <c r="G2284">
        <v>3</v>
      </c>
    </row>
    <row r="2285" spans="1:7" x14ac:dyDescent="0.25">
      <c r="A2285" t="s">
        <v>377</v>
      </c>
      <c r="E2285">
        <v>1</v>
      </c>
      <c r="G2285">
        <v>1</v>
      </c>
    </row>
    <row r="2286" spans="1:7" x14ac:dyDescent="0.25">
      <c r="A2286" t="s">
        <v>288</v>
      </c>
      <c r="E2286">
        <v>1</v>
      </c>
      <c r="G2286">
        <v>1</v>
      </c>
    </row>
    <row r="2287" spans="1:7" x14ac:dyDescent="0.25">
      <c r="A2287" t="s">
        <v>493</v>
      </c>
      <c r="E2287">
        <v>1</v>
      </c>
      <c r="G2287">
        <v>1</v>
      </c>
    </row>
    <row r="2288" spans="1:7" x14ac:dyDescent="0.25">
      <c r="A2288" t="s">
        <v>1004</v>
      </c>
      <c r="E2288">
        <v>2</v>
      </c>
      <c r="G2288">
        <v>2</v>
      </c>
    </row>
    <row r="2289" spans="1:7" x14ac:dyDescent="0.25">
      <c r="A2289" t="s">
        <v>288</v>
      </c>
      <c r="E2289">
        <v>1</v>
      </c>
      <c r="G2289">
        <v>1</v>
      </c>
    </row>
    <row r="2290" spans="1:7" x14ac:dyDescent="0.25">
      <c r="A2290" t="s">
        <v>367</v>
      </c>
      <c r="E2290">
        <v>1</v>
      </c>
      <c r="G2290">
        <v>1</v>
      </c>
    </row>
    <row r="2291" spans="1:7" x14ac:dyDescent="0.25">
      <c r="A2291" t="s">
        <v>1005</v>
      </c>
      <c r="E2291">
        <v>2</v>
      </c>
      <c r="G2291">
        <v>2</v>
      </c>
    </row>
    <row r="2292" spans="1:7" x14ac:dyDescent="0.25">
      <c r="A2292" t="s">
        <v>288</v>
      </c>
      <c r="E2292">
        <v>1</v>
      </c>
      <c r="G2292">
        <v>1</v>
      </c>
    </row>
    <row r="2293" spans="1:7" x14ac:dyDescent="0.25">
      <c r="A2293" t="s">
        <v>380</v>
      </c>
      <c r="E2293">
        <v>1</v>
      </c>
      <c r="G2293">
        <v>1</v>
      </c>
    </row>
    <row r="2294" spans="1:7" x14ac:dyDescent="0.25">
      <c r="A2294" t="s">
        <v>1006</v>
      </c>
      <c r="E2294">
        <v>2</v>
      </c>
      <c r="G2294">
        <v>2</v>
      </c>
    </row>
    <row r="2295" spans="1:7" x14ac:dyDescent="0.25">
      <c r="A2295" t="s">
        <v>288</v>
      </c>
      <c r="E2295">
        <v>1</v>
      </c>
      <c r="G2295">
        <v>1</v>
      </c>
    </row>
    <row r="2296" spans="1:7" x14ac:dyDescent="0.25">
      <c r="A2296" t="s">
        <v>493</v>
      </c>
      <c r="E2296">
        <v>1</v>
      </c>
      <c r="G2296">
        <v>1</v>
      </c>
    </row>
    <row r="2297" spans="1:7" x14ac:dyDescent="0.25">
      <c r="A2297" t="s">
        <v>1007</v>
      </c>
      <c r="E2297">
        <v>2</v>
      </c>
      <c r="G2297">
        <v>2</v>
      </c>
    </row>
    <row r="2298" spans="1:7" x14ac:dyDescent="0.25">
      <c r="A2298" t="s">
        <v>289</v>
      </c>
      <c r="E2298">
        <v>1</v>
      </c>
      <c r="G2298">
        <v>1</v>
      </c>
    </row>
    <row r="2299" spans="1:7" x14ac:dyDescent="0.25">
      <c r="A2299" t="s">
        <v>493</v>
      </c>
      <c r="E2299">
        <v>1</v>
      </c>
      <c r="G2299">
        <v>1</v>
      </c>
    </row>
    <row r="2300" spans="1:7" x14ac:dyDescent="0.25">
      <c r="A2300" t="s">
        <v>1008</v>
      </c>
      <c r="E2300">
        <v>5</v>
      </c>
      <c r="G2300">
        <v>5</v>
      </c>
    </row>
    <row r="2301" spans="1:7" x14ac:dyDescent="0.25">
      <c r="A2301" t="s">
        <v>377</v>
      </c>
      <c r="E2301">
        <v>1</v>
      </c>
      <c r="G2301">
        <v>1</v>
      </c>
    </row>
    <row r="2302" spans="1:7" x14ac:dyDescent="0.25">
      <c r="A2302" t="s">
        <v>293</v>
      </c>
      <c r="E2302">
        <v>1</v>
      </c>
      <c r="G2302">
        <v>1</v>
      </c>
    </row>
    <row r="2303" spans="1:7" x14ac:dyDescent="0.25">
      <c r="A2303" t="s">
        <v>295</v>
      </c>
      <c r="E2303">
        <v>1</v>
      </c>
      <c r="G2303">
        <v>1</v>
      </c>
    </row>
    <row r="2304" spans="1:7" x14ac:dyDescent="0.25">
      <c r="A2304" t="s">
        <v>297</v>
      </c>
      <c r="E2304">
        <v>1</v>
      </c>
      <c r="G2304">
        <v>1</v>
      </c>
    </row>
    <row r="2305" spans="1:7" x14ac:dyDescent="0.25">
      <c r="A2305" t="s">
        <v>493</v>
      </c>
      <c r="E2305">
        <v>1</v>
      </c>
      <c r="G2305">
        <v>1</v>
      </c>
    </row>
    <row r="2306" spans="1:7" x14ac:dyDescent="0.25">
      <c r="A2306" t="s">
        <v>1009</v>
      </c>
      <c r="E2306">
        <v>3</v>
      </c>
      <c r="G2306">
        <v>3</v>
      </c>
    </row>
    <row r="2307" spans="1:7" x14ac:dyDescent="0.25">
      <c r="A2307" t="s">
        <v>377</v>
      </c>
      <c r="E2307">
        <v>1</v>
      </c>
      <c r="G2307">
        <v>1</v>
      </c>
    </row>
    <row r="2308" spans="1:7" x14ac:dyDescent="0.25">
      <c r="A2308" t="s">
        <v>288</v>
      </c>
      <c r="E2308">
        <v>1</v>
      </c>
      <c r="G2308">
        <v>1</v>
      </c>
    </row>
    <row r="2309" spans="1:7" x14ac:dyDescent="0.25">
      <c r="A2309" t="s">
        <v>493</v>
      </c>
      <c r="E2309">
        <v>1</v>
      </c>
      <c r="G2309">
        <v>1</v>
      </c>
    </row>
    <row r="2310" spans="1:7" x14ac:dyDescent="0.25">
      <c r="A2310" t="s">
        <v>1010</v>
      </c>
      <c r="E2310">
        <v>2</v>
      </c>
      <c r="G2310">
        <v>2</v>
      </c>
    </row>
    <row r="2311" spans="1:7" x14ac:dyDescent="0.25">
      <c r="A2311" t="s">
        <v>367</v>
      </c>
      <c r="E2311">
        <v>1</v>
      </c>
      <c r="G2311">
        <v>1</v>
      </c>
    </row>
    <row r="2312" spans="1:7" x14ac:dyDescent="0.25">
      <c r="A2312" t="s">
        <v>935</v>
      </c>
      <c r="E2312">
        <v>1</v>
      </c>
      <c r="G2312">
        <v>1</v>
      </c>
    </row>
    <row r="2313" spans="1:7" x14ac:dyDescent="0.25">
      <c r="A2313" t="s">
        <v>1011</v>
      </c>
      <c r="E2313">
        <v>2</v>
      </c>
      <c r="G2313">
        <v>2</v>
      </c>
    </row>
    <row r="2314" spans="1:7" x14ac:dyDescent="0.25">
      <c r="A2314" t="s">
        <v>367</v>
      </c>
      <c r="E2314">
        <v>1</v>
      </c>
      <c r="G2314">
        <v>1</v>
      </c>
    </row>
    <row r="2315" spans="1:7" x14ac:dyDescent="0.25">
      <c r="A2315" t="s">
        <v>935</v>
      </c>
      <c r="E2315">
        <v>1</v>
      </c>
      <c r="G2315">
        <v>1</v>
      </c>
    </row>
    <row r="2316" spans="1:7" x14ac:dyDescent="0.25">
      <c r="A2316" t="s">
        <v>1012</v>
      </c>
      <c r="E2316">
        <v>2</v>
      </c>
      <c r="G2316">
        <v>2</v>
      </c>
    </row>
    <row r="2317" spans="1:7" x14ac:dyDescent="0.25">
      <c r="A2317" t="s">
        <v>288</v>
      </c>
      <c r="E2317">
        <v>1</v>
      </c>
      <c r="G2317">
        <v>1</v>
      </c>
    </row>
    <row r="2318" spans="1:7" x14ac:dyDescent="0.25">
      <c r="A2318" t="s">
        <v>380</v>
      </c>
      <c r="E2318">
        <v>1</v>
      </c>
      <c r="G2318">
        <v>1</v>
      </c>
    </row>
    <row r="2319" spans="1:7" x14ac:dyDescent="0.25">
      <c r="A2319" t="s">
        <v>1013</v>
      </c>
      <c r="E2319">
        <v>5</v>
      </c>
      <c r="G2319">
        <v>5</v>
      </c>
    </row>
    <row r="2320" spans="1:7" x14ac:dyDescent="0.25">
      <c r="A2320" t="s">
        <v>377</v>
      </c>
      <c r="E2320">
        <v>1</v>
      </c>
      <c r="G2320">
        <v>1</v>
      </c>
    </row>
    <row r="2321" spans="1:7" x14ac:dyDescent="0.25">
      <c r="A2321" t="s">
        <v>293</v>
      </c>
      <c r="E2321">
        <v>1</v>
      </c>
      <c r="G2321">
        <v>1</v>
      </c>
    </row>
    <row r="2322" spans="1:7" x14ac:dyDescent="0.25">
      <c r="A2322" t="s">
        <v>295</v>
      </c>
      <c r="E2322">
        <v>1</v>
      </c>
      <c r="G2322">
        <v>1</v>
      </c>
    </row>
    <row r="2323" spans="1:7" x14ac:dyDescent="0.25">
      <c r="A2323" t="s">
        <v>297</v>
      </c>
      <c r="E2323">
        <v>1</v>
      </c>
      <c r="G2323">
        <v>1</v>
      </c>
    </row>
    <row r="2324" spans="1:7" x14ac:dyDescent="0.25">
      <c r="A2324" t="s">
        <v>493</v>
      </c>
      <c r="E2324">
        <v>1</v>
      </c>
      <c r="G2324">
        <v>1</v>
      </c>
    </row>
    <row r="2325" spans="1:7" x14ac:dyDescent="0.25">
      <c r="A2325" t="s">
        <v>1014</v>
      </c>
      <c r="E2325">
        <v>3</v>
      </c>
      <c r="G2325">
        <v>3</v>
      </c>
    </row>
    <row r="2326" spans="1:7" x14ac:dyDescent="0.25">
      <c r="A2326" t="s">
        <v>377</v>
      </c>
      <c r="E2326">
        <v>1</v>
      </c>
      <c r="G2326">
        <v>1</v>
      </c>
    </row>
    <row r="2327" spans="1:7" x14ac:dyDescent="0.25">
      <c r="A2327" t="s">
        <v>288</v>
      </c>
      <c r="E2327">
        <v>1</v>
      </c>
      <c r="G2327">
        <v>1</v>
      </c>
    </row>
    <row r="2328" spans="1:7" x14ac:dyDescent="0.25">
      <c r="A2328" t="s">
        <v>493</v>
      </c>
      <c r="E2328">
        <v>1</v>
      </c>
      <c r="G2328">
        <v>1</v>
      </c>
    </row>
    <row r="2329" spans="1:7" x14ac:dyDescent="0.25">
      <c r="A2329" t="s">
        <v>1015</v>
      </c>
      <c r="E2329">
        <v>3</v>
      </c>
      <c r="G2329">
        <v>3</v>
      </c>
    </row>
    <row r="2330" spans="1:7" x14ac:dyDescent="0.25">
      <c r="A2330" t="s">
        <v>377</v>
      </c>
      <c r="E2330">
        <v>1</v>
      </c>
      <c r="G2330">
        <v>1</v>
      </c>
    </row>
    <row r="2331" spans="1:7" x14ac:dyDescent="0.25">
      <c r="A2331" t="s">
        <v>288</v>
      </c>
      <c r="E2331">
        <v>1</v>
      </c>
      <c r="G2331">
        <v>1</v>
      </c>
    </row>
    <row r="2332" spans="1:7" x14ac:dyDescent="0.25">
      <c r="A2332" t="s">
        <v>493</v>
      </c>
      <c r="E2332">
        <v>1</v>
      </c>
      <c r="G2332">
        <v>1</v>
      </c>
    </row>
    <row r="2333" spans="1:7" x14ac:dyDescent="0.25">
      <c r="A2333" t="s">
        <v>1016</v>
      </c>
      <c r="E2333">
        <v>2</v>
      </c>
      <c r="G2333">
        <v>2</v>
      </c>
    </row>
    <row r="2334" spans="1:7" x14ac:dyDescent="0.25">
      <c r="A2334" t="s">
        <v>288</v>
      </c>
      <c r="E2334">
        <v>1</v>
      </c>
      <c r="G2334">
        <v>1</v>
      </c>
    </row>
    <row r="2335" spans="1:7" x14ac:dyDescent="0.25">
      <c r="A2335" t="s">
        <v>380</v>
      </c>
      <c r="E2335">
        <v>1</v>
      </c>
      <c r="G2335">
        <v>1</v>
      </c>
    </row>
    <row r="2336" spans="1:7" x14ac:dyDescent="0.25">
      <c r="A2336" t="s">
        <v>1017</v>
      </c>
      <c r="E2336">
        <v>2</v>
      </c>
      <c r="G2336">
        <v>2</v>
      </c>
    </row>
    <row r="2337" spans="1:7" x14ac:dyDescent="0.25">
      <c r="A2337" t="s">
        <v>288</v>
      </c>
      <c r="E2337">
        <v>1</v>
      </c>
      <c r="G2337">
        <v>1</v>
      </c>
    </row>
    <row r="2338" spans="1:7" x14ac:dyDescent="0.25">
      <c r="A2338" t="s">
        <v>367</v>
      </c>
      <c r="E2338">
        <v>1</v>
      </c>
      <c r="G2338">
        <v>1</v>
      </c>
    </row>
    <row r="2339" spans="1:7" x14ac:dyDescent="0.25">
      <c r="A2339" t="s">
        <v>1018</v>
      </c>
      <c r="E2339">
        <v>2</v>
      </c>
      <c r="G2339">
        <v>2</v>
      </c>
    </row>
    <row r="2340" spans="1:7" x14ac:dyDescent="0.25">
      <c r="A2340" t="s">
        <v>288</v>
      </c>
      <c r="E2340">
        <v>1</v>
      </c>
      <c r="G2340">
        <v>1</v>
      </c>
    </row>
    <row r="2341" spans="1:7" x14ac:dyDescent="0.25">
      <c r="A2341" t="s">
        <v>380</v>
      </c>
      <c r="E2341">
        <v>1</v>
      </c>
      <c r="G2341">
        <v>1</v>
      </c>
    </row>
    <row r="2342" spans="1:7" x14ac:dyDescent="0.25">
      <c r="A2342" t="s">
        <v>1019</v>
      </c>
      <c r="E2342">
        <v>2</v>
      </c>
      <c r="G2342">
        <v>2</v>
      </c>
    </row>
    <row r="2343" spans="1:7" x14ac:dyDescent="0.25">
      <c r="A2343" t="s">
        <v>288</v>
      </c>
      <c r="E2343">
        <v>1</v>
      </c>
      <c r="G2343">
        <v>1</v>
      </c>
    </row>
    <row r="2344" spans="1:7" x14ac:dyDescent="0.25">
      <c r="A2344" t="s">
        <v>367</v>
      </c>
      <c r="E2344">
        <v>1</v>
      </c>
      <c r="G2344">
        <v>1</v>
      </c>
    </row>
    <row r="2345" spans="1:7" x14ac:dyDescent="0.25">
      <c r="A2345" t="s">
        <v>1020</v>
      </c>
      <c r="E2345">
        <v>2</v>
      </c>
      <c r="G2345">
        <v>2</v>
      </c>
    </row>
    <row r="2346" spans="1:7" x14ac:dyDescent="0.25">
      <c r="A2346" t="s">
        <v>291</v>
      </c>
      <c r="E2346">
        <v>1</v>
      </c>
      <c r="G2346">
        <v>1</v>
      </c>
    </row>
    <row r="2347" spans="1:7" x14ac:dyDescent="0.25">
      <c r="A2347" t="s">
        <v>380</v>
      </c>
      <c r="E2347">
        <v>1</v>
      </c>
      <c r="G2347">
        <v>1</v>
      </c>
    </row>
    <row r="2348" spans="1:7" x14ac:dyDescent="0.25">
      <c r="A2348" t="s">
        <v>1021</v>
      </c>
      <c r="E2348">
        <v>2</v>
      </c>
      <c r="G2348">
        <v>2</v>
      </c>
    </row>
    <row r="2349" spans="1:7" x14ac:dyDescent="0.25">
      <c r="A2349" t="s">
        <v>367</v>
      </c>
      <c r="E2349">
        <v>1</v>
      </c>
      <c r="G2349">
        <v>1</v>
      </c>
    </row>
    <row r="2350" spans="1:7" x14ac:dyDescent="0.25">
      <c r="A2350" t="s">
        <v>935</v>
      </c>
      <c r="E2350">
        <v>1</v>
      </c>
      <c r="G2350">
        <v>1</v>
      </c>
    </row>
    <row r="2351" spans="1:7" x14ac:dyDescent="0.25">
      <c r="A2351" t="s">
        <v>1022</v>
      </c>
      <c r="E2351">
        <v>2</v>
      </c>
      <c r="G2351">
        <v>2</v>
      </c>
    </row>
    <row r="2352" spans="1:7" x14ac:dyDescent="0.25">
      <c r="A2352" t="s">
        <v>288</v>
      </c>
      <c r="E2352">
        <v>1</v>
      </c>
      <c r="G2352">
        <v>1</v>
      </c>
    </row>
    <row r="2353" spans="1:7" x14ac:dyDescent="0.25">
      <c r="A2353" t="s">
        <v>367</v>
      </c>
      <c r="E2353">
        <v>1</v>
      </c>
      <c r="G2353">
        <v>1</v>
      </c>
    </row>
    <row r="2354" spans="1:7" x14ac:dyDescent="0.25">
      <c r="A2354" t="s">
        <v>1023</v>
      </c>
      <c r="E2354">
        <v>2</v>
      </c>
      <c r="G2354">
        <v>2</v>
      </c>
    </row>
    <row r="2355" spans="1:7" x14ac:dyDescent="0.25">
      <c r="A2355" t="s">
        <v>288</v>
      </c>
      <c r="E2355">
        <v>1</v>
      </c>
      <c r="G2355">
        <v>1</v>
      </c>
    </row>
    <row r="2356" spans="1:7" x14ac:dyDescent="0.25">
      <c r="A2356" t="s">
        <v>367</v>
      </c>
      <c r="E2356">
        <v>1</v>
      </c>
      <c r="G2356">
        <v>1</v>
      </c>
    </row>
    <row r="2357" spans="1:7" x14ac:dyDescent="0.25">
      <c r="A2357" t="s">
        <v>1024</v>
      </c>
      <c r="F2357">
        <v>2</v>
      </c>
      <c r="G2357">
        <v>2</v>
      </c>
    </row>
    <row r="2358" spans="1:7" x14ac:dyDescent="0.25">
      <c r="A2358" t="s">
        <v>289</v>
      </c>
      <c r="F2358">
        <v>1</v>
      </c>
      <c r="G2358">
        <v>1</v>
      </c>
    </row>
    <row r="2359" spans="1:7" x14ac:dyDescent="0.25">
      <c r="A2359" t="s">
        <v>367</v>
      </c>
      <c r="F2359">
        <v>1</v>
      </c>
      <c r="G2359">
        <v>1</v>
      </c>
    </row>
    <row r="2360" spans="1:7" x14ac:dyDescent="0.25">
      <c r="A2360" t="s">
        <v>1025</v>
      </c>
      <c r="F2360">
        <v>2</v>
      </c>
      <c r="G2360">
        <v>2</v>
      </c>
    </row>
    <row r="2361" spans="1:7" x14ac:dyDescent="0.25">
      <c r="A2361" t="s">
        <v>288</v>
      </c>
      <c r="F2361">
        <v>1</v>
      </c>
      <c r="G2361">
        <v>1</v>
      </c>
    </row>
    <row r="2362" spans="1:7" x14ac:dyDescent="0.25">
      <c r="A2362" t="s">
        <v>367</v>
      </c>
      <c r="F2362">
        <v>1</v>
      </c>
      <c r="G2362">
        <v>1</v>
      </c>
    </row>
    <row r="2363" spans="1:7" x14ac:dyDescent="0.25">
      <c r="A2363" t="s">
        <v>1026</v>
      </c>
      <c r="F2363">
        <v>2</v>
      </c>
      <c r="G2363">
        <v>2</v>
      </c>
    </row>
    <row r="2364" spans="1:7" x14ac:dyDescent="0.25">
      <c r="A2364" t="s">
        <v>288</v>
      </c>
      <c r="F2364">
        <v>1</v>
      </c>
      <c r="G2364">
        <v>1</v>
      </c>
    </row>
    <row r="2365" spans="1:7" x14ac:dyDescent="0.25">
      <c r="A2365" t="s">
        <v>380</v>
      </c>
      <c r="F2365">
        <v>1</v>
      </c>
      <c r="G2365">
        <v>1</v>
      </c>
    </row>
    <row r="2366" spans="1:7" x14ac:dyDescent="0.25">
      <c r="A2366" t="s">
        <v>1027</v>
      </c>
      <c r="F2366">
        <v>2</v>
      </c>
      <c r="G2366">
        <v>2</v>
      </c>
    </row>
    <row r="2367" spans="1:7" x14ac:dyDescent="0.25">
      <c r="A2367" t="s">
        <v>288</v>
      </c>
      <c r="F2367">
        <v>1</v>
      </c>
      <c r="G2367">
        <v>1</v>
      </c>
    </row>
    <row r="2368" spans="1:7" x14ac:dyDescent="0.25">
      <c r="A2368" t="s">
        <v>380</v>
      </c>
      <c r="F2368">
        <v>1</v>
      </c>
      <c r="G2368">
        <v>1</v>
      </c>
    </row>
    <row r="2369" spans="1:7" x14ac:dyDescent="0.25">
      <c r="A2369" t="s">
        <v>1028</v>
      </c>
      <c r="F2369">
        <v>4</v>
      </c>
      <c r="G2369">
        <v>4</v>
      </c>
    </row>
    <row r="2370" spans="1:7" x14ac:dyDescent="0.25">
      <c r="A2370" t="s">
        <v>289</v>
      </c>
      <c r="F2370">
        <v>1</v>
      </c>
      <c r="G2370">
        <v>1</v>
      </c>
    </row>
    <row r="2371" spans="1:7" x14ac:dyDescent="0.25">
      <c r="A2371" t="s">
        <v>290</v>
      </c>
      <c r="F2371">
        <v>1</v>
      </c>
      <c r="G2371">
        <v>1</v>
      </c>
    </row>
    <row r="2372" spans="1:7" x14ac:dyDescent="0.25">
      <c r="A2372" t="s">
        <v>291</v>
      </c>
      <c r="F2372">
        <v>1</v>
      </c>
      <c r="G2372">
        <v>1</v>
      </c>
    </row>
    <row r="2373" spans="1:7" x14ac:dyDescent="0.25">
      <c r="A2373" t="s">
        <v>380</v>
      </c>
      <c r="F2373">
        <v>1</v>
      </c>
      <c r="G2373">
        <v>1</v>
      </c>
    </row>
    <row r="2374" spans="1:7" x14ac:dyDescent="0.25">
      <c r="A2374" t="s">
        <v>1029</v>
      </c>
      <c r="F2374">
        <v>3</v>
      </c>
      <c r="G2374">
        <v>3</v>
      </c>
    </row>
    <row r="2375" spans="1:7" x14ac:dyDescent="0.25">
      <c r="A2375" t="s">
        <v>291</v>
      </c>
      <c r="F2375">
        <v>1</v>
      </c>
      <c r="G2375">
        <v>1</v>
      </c>
    </row>
    <row r="2376" spans="1:7" x14ac:dyDescent="0.25">
      <c r="A2376" t="s">
        <v>292</v>
      </c>
      <c r="F2376">
        <v>1</v>
      </c>
      <c r="G2376">
        <v>1</v>
      </c>
    </row>
    <row r="2377" spans="1:7" x14ac:dyDescent="0.25">
      <c r="A2377" t="s">
        <v>380</v>
      </c>
      <c r="F2377">
        <v>1</v>
      </c>
      <c r="G2377">
        <v>1</v>
      </c>
    </row>
    <row r="2378" spans="1:7" x14ac:dyDescent="0.25">
      <c r="A2378" t="s">
        <v>1030</v>
      </c>
      <c r="F2378">
        <v>2</v>
      </c>
      <c r="G2378">
        <v>2</v>
      </c>
    </row>
    <row r="2379" spans="1:7" x14ac:dyDescent="0.25">
      <c r="A2379" t="s">
        <v>288</v>
      </c>
      <c r="F2379">
        <v>1</v>
      </c>
      <c r="G2379">
        <v>1</v>
      </c>
    </row>
    <row r="2380" spans="1:7" x14ac:dyDescent="0.25">
      <c r="A2380" t="s">
        <v>380</v>
      </c>
      <c r="F2380">
        <v>1</v>
      </c>
      <c r="G2380">
        <v>1</v>
      </c>
    </row>
    <row r="2381" spans="1:7" x14ac:dyDescent="0.25">
      <c r="A2381" t="s">
        <v>1031</v>
      </c>
      <c r="F2381">
        <v>4</v>
      </c>
      <c r="G2381">
        <v>4</v>
      </c>
    </row>
    <row r="2382" spans="1:7" x14ac:dyDescent="0.25">
      <c r="A2382" t="s">
        <v>377</v>
      </c>
      <c r="F2382">
        <v>1</v>
      </c>
      <c r="G2382">
        <v>1</v>
      </c>
    </row>
    <row r="2383" spans="1:7" x14ac:dyDescent="0.25">
      <c r="A2383" t="s">
        <v>385</v>
      </c>
      <c r="F2383">
        <v>1</v>
      </c>
      <c r="G2383">
        <v>1</v>
      </c>
    </row>
    <row r="2384" spans="1:7" x14ac:dyDescent="0.25">
      <c r="A2384" t="s">
        <v>288</v>
      </c>
      <c r="F2384">
        <v>1</v>
      </c>
      <c r="G2384">
        <v>1</v>
      </c>
    </row>
    <row r="2385" spans="1:7" x14ac:dyDescent="0.25">
      <c r="A2385" t="s">
        <v>380</v>
      </c>
      <c r="F2385">
        <v>1</v>
      </c>
      <c r="G2385">
        <v>1</v>
      </c>
    </row>
    <row r="2386" spans="1:7" x14ac:dyDescent="0.25">
      <c r="A2386" t="s">
        <v>1032</v>
      </c>
      <c r="F2386">
        <v>3</v>
      </c>
      <c r="G2386">
        <v>3</v>
      </c>
    </row>
    <row r="2387" spans="1:7" x14ac:dyDescent="0.25">
      <c r="A2387" t="s">
        <v>377</v>
      </c>
      <c r="F2387">
        <v>1</v>
      </c>
      <c r="G2387">
        <v>1</v>
      </c>
    </row>
    <row r="2388" spans="1:7" x14ac:dyDescent="0.25">
      <c r="A2388" t="s">
        <v>288</v>
      </c>
      <c r="F2388">
        <v>1</v>
      </c>
      <c r="G2388">
        <v>1</v>
      </c>
    </row>
    <row r="2389" spans="1:7" x14ac:dyDescent="0.25">
      <c r="A2389" t="s">
        <v>380</v>
      </c>
      <c r="F2389">
        <v>1</v>
      </c>
      <c r="G2389">
        <v>1</v>
      </c>
    </row>
    <row r="2390" spans="1:7" x14ac:dyDescent="0.25">
      <c r="A2390" t="s">
        <v>1033</v>
      </c>
      <c r="F2390">
        <v>2</v>
      </c>
      <c r="G2390">
        <v>2</v>
      </c>
    </row>
    <row r="2391" spans="1:7" x14ac:dyDescent="0.25">
      <c r="A2391" t="s">
        <v>288</v>
      </c>
      <c r="F2391">
        <v>1</v>
      </c>
      <c r="G2391">
        <v>1</v>
      </c>
    </row>
    <row r="2392" spans="1:7" x14ac:dyDescent="0.25">
      <c r="A2392" t="s">
        <v>380</v>
      </c>
      <c r="F2392">
        <v>1</v>
      </c>
      <c r="G2392">
        <v>1</v>
      </c>
    </row>
    <row r="2393" spans="1:7" x14ac:dyDescent="0.25">
      <c r="A2393" t="s">
        <v>1034</v>
      </c>
      <c r="F2393">
        <v>3</v>
      </c>
      <c r="G2393">
        <v>3</v>
      </c>
    </row>
    <row r="2394" spans="1:7" x14ac:dyDescent="0.25">
      <c r="A2394" t="s">
        <v>377</v>
      </c>
      <c r="F2394">
        <v>1</v>
      </c>
      <c r="G2394">
        <v>1</v>
      </c>
    </row>
    <row r="2395" spans="1:7" x14ac:dyDescent="0.25">
      <c r="A2395" t="s">
        <v>292</v>
      </c>
      <c r="F2395">
        <v>1</v>
      </c>
      <c r="G2395">
        <v>1</v>
      </c>
    </row>
    <row r="2396" spans="1:7" x14ac:dyDescent="0.25">
      <c r="A2396" t="s">
        <v>380</v>
      </c>
      <c r="F2396">
        <v>1</v>
      </c>
      <c r="G2396">
        <v>1</v>
      </c>
    </row>
    <row r="2397" spans="1:7" x14ac:dyDescent="0.25">
      <c r="A2397" t="s">
        <v>1035</v>
      </c>
      <c r="F2397">
        <v>2</v>
      </c>
      <c r="G2397">
        <v>2</v>
      </c>
    </row>
    <row r="2398" spans="1:7" x14ac:dyDescent="0.25">
      <c r="A2398" t="s">
        <v>288</v>
      </c>
      <c r="F2398">
        <v>1</v>
      </c>
      <c r="G2398">
        <v>1</v>
      </c>
    </row>
    <row r="2399" spans="1:7" x14ac:dyDescent="0.25">
      <c r="A2399" t="s">
        <v>380</v>
      </c>
      <c r="F2399">
        <v>1</v>
      </c>
      <c r="G2399">
        <v>1</v>
      </c>
    </row>
    <row r="2400" spans="1:7" x14ac:dyDescent="0.25">
      <c r="A2400" t="s">
        <v>1036</v>
      </c>
      <c r="F2400">
        <v>2</v>
      </c>
      <c r="G2400">
        <v>2</v>
      </c>
    </row>
    <row r="2401" spans="1:7" x14ac:dyDescent="0.25">
      <c r="A2401" t="s">
        <v>291</v>
      </c>
      <c r="F2401">
        <v>1</v>
      </c>
      <c r="G2401">
        <v>1</v>
      </c>
    </row>
    <row r="2402" spans="1:7" x14ac:dyDescent="0.25">
      <c r="A2402" t="s">
        <v>380</v>
      </c>
      <c r="F2402">
        <v>1</v>
      </c>
      <c r="G2402">
        <v>1</v>
      </c>
    </row>
    <row r="2403" spans="1:7" x14ac:dyDescent="0.25">
      <c r="A2403" t="s">
        <v>1037</v>
      </c>
      <c r="F2403">
        <v>3</v>
      </c>
      <c r="G2403">
        <v>3</v>
      </c>
    </row>
    <row r="2404" spans="1:7" x14ac:dyDescent="0.25">
      <c r="A2404" t="s">
        <v>292</v>
      </c>
      <c r="F2404">
        <v>1</v>
      </c>
      <c r="G2404">
        <v>1</v>
      </c>
    </row>
    <row r="2405" spans="1:7" x14ac:dyDescent="0.25">
      <c r="A2405" t="s">
        <v>288</v>
      </c>
      <c r="F2405">
        <v>1</v>
      </c>
      <c r="G2405">
        <v>1</v>
      </c>
    </row>
    <row r="2406" spans="1:7" x14ac:dyDescent="0.25">
      <c r="A2406" t="s">
        <v>380</v>
      </c>
      <c r="F2406">
        <v>1</v>
      </c>
      <c r="G2406">
        <v>1</v>
      </c>
    </row>
    <row r="2407" spans="1:7" x14ac:dyDescent="0.25">
      <c r="A2407" t="s">
        <v>1038</v>
      </c>
      <c r="F2407">
        <v>2</v>
      </c>
      <c r="G2407">
        <v>2</v>
      </c>
    </row>
    <row r="2408" spans="1:7" x14ac:dyDescent="0.25">
      <c r="A2408" t="s">
        <v>367</v>
      </c>
      <c r="F2408">
        <v>1</v>
      </c>
      <c r="G2408">
        <v>1</v>
      </c>
    </row>
    <row r="2409" spans="1:7" x14ac:dyDescent="0.25">
      <c r="A2409" t="s">
        <v>935</v>
      </c>
      <c r="F2409">
        <v>1</v>
      </c>
      <c r="G2409">
        <v>1</v>
      </c>
    </row>
    <row r="2410" spans="1:7" x14ac:dyDescent="0.25">
      <c r="A2410" t="s">
        <v>1039</v>
      </c>
      <c r="F2410">
        <v>2</v>
      </c>
      <c r="G2410">
        <v>2</v>
      </c>
    </row>
    <row r="2411" spans="1:7" x14ac:dyDescent="0.25">
      <c r="A2411" t="s">
        <v>367</v>
      </c>
      <c r="F2411">
        <v>1</v>
      </c>
      <c r="G2411">
        <v>1</v>
      </c>
    </row>
    <row r="2412" spans="1:7" x14ac:dyDescent="0.25">
      <c r="A2412" t="s">
        <v>935</v>
      </c>
      <c r="F2412">
        <v>1</v>
      </c>
      <c r="G2412">
        <v>1</v>
      </c>
    </row>
    <row r="2413" spans="1:7" x14ac:dyDescent="0.25">
      <c r="A2413" t="s">
        <v>1040</v>
      </c>
      <c r="F2413">
        <v>6</v>
      </c>
      <c r="G2413">
        <v>6</v>
      </c>
    </row>
    <row r="2414" spans="1:7" x14ac:dyDescent="0.25">
      <c r="A2414" t="s">
        <v>377</v>
      </c>
      <c r="F2414">
        <v>1</v>
      </c>
      <c r="G2414">
        <v>1</v>
      </c>
    </row>
    <row r="2415" spans="1:7" x14ac:dyDescent="0.25">
      <c r="A2415" t="s">
        <v>385</v>
      </c>
      <c r="F2415">
        <v>1</v>
      </c>
      <c r="G2415">
        <v>1</v>
      </c>
    </row>
    <row r="2416" spans="1:7" x14ac:dyDescent="0.25">
      <c r="A2416" t="s">
        <v>293</v>
      </c>
      <c r="F2416">
        <v>1</v>
      </c>
      <c r="G2416">
        <v>1</v>
      </c>
    </row>
    <row r="2417" spans="1:7" x14ac:dyDescent="0.25">
      <c r="A2417" t="s">
        <v>295</v>
      </c>
      <c r="F2417">
        <v>1</v>
      </c>
      <c r="G2417">
        <v>1</v>
      </c>
    </row>
    <row r="2418" spans="1:7" x14ac:dyDescent="0.25">
      <c r="A2418" t="s">
        <v>297</v>
      </c>
      <c r="F2418">
        <v>1</v>
      </c>
      <c r="G2418">
        <v>1</v>
      </c>
    </row>
    <row r="2419" spans="1:7" x14ac:dyDescent="0.25">
      <c r="A2419" t="s">
        <v>493</v>
      </c>
      <c r="F2419">
        <v>1</v>
      </c>
      <c r="G2419">
        <v>1</v>
      </c>
    </row>
    <row r="2420" spans="1:7" x14ac:dyDescent="0.25">
      <c r="A2420" t="s">
        <v>1041</v>
      </c>
      <c r="F2420">
        <v>2</v>
      </c>
      <c r="G2420">
        <v>2</v>
      </c>
    </row>
    <row r="2421" spans="1:7" x14ac:dyDescent="0.25">
      <c r="A2421" t="s">
        <v>291</v>
      </c>
      <c r="F2421">
        <v>1</v>
      </c>
      <c r="G2421">
        <v>1</v>
      </c>
    </row>
    <row r="2422" spans="1:7" x14ac:dyDescent="0.25">
      <c r="A2422" t="s">
        <v>493</v>
      </c>
      <c r="F2422">
        <v>1</v>
      </c>
      <c r="G2422">
        <v>1</v>
      </c>
    </row>
    <row r="2423" spans="1:7" x14ac:dyDescent="0.25">
      <c r="A2423" t="s">
        <v>1042</v>
      </c>
      <c r="F2423">
        <v>5</v>
      </c>
      <c r="G2423">
        <v>5</v>
      </c>
    </row>
    <row r="2424" spans="1:7" x14ac:dyDescent="0.25">
      <c r="A2424" t="s">
        <v>377</v>
      </c>
      <c r="F2424">
        <v>1</v>
      </c>
      <c r="G2424">
        <v>1</v>
      </c>
    </row>
    <row r="2425" spans="1:7" x14ac:dyDescent="0.25">
      <c r="A2425" t="s">
        <v>289</v>
      </c>
      <c r="F2425">
        <v>1</v>
      </c>
      <c r="G2425">
        <v>1</v>
      </c>
    </row>
    <row r="2426" spans="1:7" x14ac:dyDescent="0.25">
      <c r="A2426" t="s">
        <v>290</v>
      </c>
      <c r="F2426">
        <v>1</v>
      </c>
      <c r="G2426">
        <v>1</v>
      </c>
    </row>
    <row r="2427" spans="1:7" x14ac:dyDescent="0.25">
      <c r="A2427" t="s">
        <v>291</v>
      </c>
      <c r="F2427">
        <v>1</v>
      </c>
      <c r="G2427">
        <v>1</v>
      </c>
    </row>
    <row r="2428" spans="1:7" x14ac:dyDescent="0.25">
      <c r="A2428" t="s">
        <v>493</v>
      </c>
      <c r="F2428">
        <v>1</v>
      </c>
      <c r="G2428">
        <v>1</v>
      </c>
    </row>
    <row r="2429" spans="1:7" x14ac:dyDescent="0.25">
      <c r="A2429" t="s">
        <v>1043</v>
      </c>
      <c r="F2429">
        <v>4</v>
      </c>
      <c r="G2429">
        <v>4</v>
      </c>
    </row>
    <row r="2430" spans="1:7" x14ac:dyDescent="0.25">
      <c r="A2430" t="s">
        <v>377</v>
      </c>
      <c r="F2430">
        <v>1</v>
      </c>
      <c r="G2430">
        <v>1</v>
      </c>
    </row>
    <row r="2431" spans="1:7" x14ac:dyDescent="0.25">
      <c r="A2431" t="s">
        <v>289</v>
      </c>
      <c r="F2431">
        <v>1</v>
      </c>
      <c r="G2431">
        <v>1</v>
      </c>
    </row>
    <row r="2432" spans="1:7" x14ac:dyDescent="0.25">
      <c r="A2432" t="s">
        <v>291</v>
      </c>
      <c r="F2432">
        <v>1</v>
      </c>
      <c r="G2432">
        <v>1</v>
      </c>
    </row>
    <row r="2433" spans="1:7" x14ac:dyDescent="0.25">
      <c r="A2433" t="s">
        <v>493</v>
      </c>
      <c r="F2433">
        <v>1</v>
      </c>
      <c r="G2433">
        <v>1</v>
      </c>
    </row>
    <row r="2434" spans="1:7" x14ac:dyDescent="0.25">
      <c r="A2434" t="s">
        <v>1044</v>
      </c>
      <c r="F2434">
        <v>2</v>
      </c>
      <c r="G2434">
        <v>2</v>
      </c>
    </row>
    <row r="2435" spans="1:7" x14ac:dyDescent="0.25">
      <c r="A2435" t="s">
        <v>292</v>
      </c>
      <c r="F2435">
        <v>1</v>
      </c>
      <c r="G2435">
        <v>1</v>
      </c>
    </row>
    <row r="2436" spans="1:7" x14ac:dyDescent="0.25">
      <c r="A2436" t="s">
        <v>380</v>
      </c>
      <c r="F2436">
        <v>1</v>
      </c>
      <c r="G2436">
        <v>1</v>
      </c>
    </row>
    <row r="2437" spans="1:7" x14ac:dyDescent="0.25">
      <c r="A2437" t="s">
        <v>1045</v>
      </c>
      <c r="F2437">
        <v>3</v>
      </c>
      <c r="G2437">
        <v>3</v>
      </c>
    </row>
    <row r="2438" spans="1:7" x14ac:dyDescent="0.25">
      <c r="A2438" t="s">
        <v>377</v>
      </c>
      <c r="F2438">
        <v>1</v>
      </c>
      <c r="G2438">
        <v>1</v>
      </c>
    </row>
    <row r="2439" spans="1:7" x14ac:dyDescent="0.25">
      <c r="A2439" t="s">
        <v>292</v>
      </c>
      <c r="F2439">
        <v>1</v>
      </c>
      <c r="G2439">
        <v>1</v>
      </c>
    </row>
    <row r="2440" spans="1:7" x14ac:dyDescent="0.25">
      <c r="A2440" t="s">
        <v>493</v>
      </c>
      <c r="F2440">
        <v>1</v>
      </c>
      <c r="G2440">
        <v>1</v>
      </c>
    </row>
    <row r="2441" spans="1:7" x14ac:dyDescent="0.25">
      <c r="A2441" t="s">
        <v>1046</v>
      </c>
      <c r="F2441">
        <v>5</v>
      </c>
      <c r="G2441">
        <v>5</v>
      </c>
    </row>
    <row r="2442" spans="1:7" x14ac:dyDescent="0.25">
      <c r="A2442" t="s">
        <v>377</v>
      </c>
      <c r="F2442">
        <v>1</v>
      </c>
      <c r="G2442">
        <v>1</v>
      </c>
    </row>
    <row r="2443" spans="1:7" x14ac:dyDescent="0.25">
      <c r="A2443" t="s">
        <v>289</v>
      </c>
      <c r="F2443">
        <v>1</v>
      </c>
      <c r="G2443">
        <v>1</v>
      </c>
    </row>
    <row r="2444" spans="1:7" x14ac:dyDescent="0.25">
      <c r="A2444" t="s">
        <v>290</v>
      </c>
      <c r="F2444">
        <v>1</v>
      </c>
      <c r="G2444">
        <v>1</v>
      </c>
    </row>
    <row r="2445" spans="1:7" x14ac:dyDescent="0.25">
      <c r="A2445" t="s">
        <v>291</v>
      </c>
      <c r="F2445">
        <v>1</v>
      </c>
      <c r="G2445">
        <v>1</v>
      </c>
    </row>
    <row r="2446" spans="1:7" x14ac:dyDescent="0.25">
      <c r="A2446" t="s">
        <v>493</v>
      </c>
      <c r="F2446">
        <v>1</v>
      </c>
      <c r="G2446">
        <v>1</v>
      </c>
    </row>
    <row r="2447" spans="1:7" x14ac:dyDescent="0.25">
      <c r="A2447" t="s">
        <v>1047</v>
      </c>
      <c r="F2447">
        <v>3</v>
      </c>
      <c r="G2447">
        <v>3</v>
      </c>
    </row>
    <row r="2448" spans="1:7" x14ac:dyDescent="0.25">
      <c r="A2448" t="s">
        <v>377</v>
      </c>
      <c r="F2448">
        <v>1</v>
      </c>
      <c r="G2448">
        <v>1</v>
      </c>
    </row>
    <row r="2449" spans="1:7" x14ac:dyDescent="0.25">
      <c r="A2449" t="s">
        <v>288</v>
      </c>
      <c r="F2449">
        <v>1</v>
      </c>
      <c r="G2449">
        <v>1</v>
      </c>
    </row>
    <row r="2450" spans="1:7" x14ac:dyDescent="0.25">
      <c r="A2450" t="s">
        <v>493</v>
      </c>
      <c r="F2450">
        <v>1</v>
      </c>
      <c r="G2450">
        <v>1</v>
      </c>
    </row>
    <row r="2451" spans="1:7" x14ac:dyDescent="0.25">
      <c r="A2451" t="s">
        <v>1048</v>
      </c>
      <c r="F2451">
        <v>5</v>
      </c>
      <c r="G2451">
        <v>5</v>
      </c>
    </row>
    <row r="2452" spans="1:7" x14ac:dyDescent="0.25">
      <c r="A2452" t="s">
        <v>377</v>
      </c>
      <c r="F2452">
        <v>1</v>
      </c>
      <c r="G2452">
        <v>1</v>
      </c>
    </row>
    <row r="2453" spans="1:7" x14ac:dyDescent="0.25">
      <c r="A2453" t="s">
        <v>289</v>
      </c>
      <c r="F2453">
        <v>1</v>
      </c>
      <c r="G2453">
        <v>1</v>
      </c>
    </row>
    <row r="2454" spans="1:7" x14ac:dyDescent="0.25">
      <c r="A2454" t="s">
        <v>290</v>
      </c>
      <c r="F2454">
        <v>1</v>
      </c>
      <c r="G2454">
        <v>1</v>
      </c>
    </row>
    <row r="2455" spans="1:7" x14ac:dyDescent="0.25">
      <c r="A2455" t="s">
        <v>291</v>
      </c>
      <c r="F2455">
        <v>1</v>
      </c>
      <c r="G2455">
        <v>1</v>
      </c>
    </row>
    <row r="2456" spans="1:7" x14ac:dyDescent="0.25">
      <c r="A2456" t="s">
        <v>493</v>
      </c>
      <c r="F2456">
        <v>1</v>
      </c>
      <c r="G2456">
        <v>1</v>
      </c>
    </row>
    <row r="2457" spans="1:7" x14ac:dyDescent="0.25">
      <c r="A2457" t="s">
        <v>1049</v>
      </c>
      <c r="F2457">
        <v>5</v>
      </c>
      <c r="G2457">
        <v>5</v>
      </c>
    </row>
    <row r="2458" spans="1:7" x14ac:dyDescent="0.25">
      <c r="A2458" t="s">
        <v>377</v>
      </c>
      <c r="F2458">
        <v>1</v>
      </c>
      <c r="G2458">
        <v>1</v>
      </c>
    </row>
    <row r="2459" spans="1:7" x14ac:dyDescent="0.25">
      <c r="A2459" t="s">
        <v>289</v>
      </c>
      <c r="F2459">
        <v>1</v>
      </c>
      <c r="G2459">
        <v>1</v>
      </c>
    </row>
    <row r="2460" spans="1:7" x14ac:dyDescent="0.25">
      <c r="A2460" t="s">
        <v>290</v>
      </c>
      <c r="F2460">
        <v>1</v>
      </c>
      <c r="G2460">
        <v>1</v>
      </c>
    </row>
    <row r="2461" spans="1:7" x14ac:dyDescent="0.25">
      <c r="A2461" t="s">
        <v>291</v>
      </c>
      <c r="F2461">
        <v>1</v>
      </c>
      <c r="G2461">
        <v>1</v>
      </c>
    </row>
    <row r="2462" spans="1:7" x14ac:dyDescent="0.25">
      <c r="A2462" t="s">
        <v>493</v>
      </c>
      <c r="F2462">
        <v>1</v>
      </c>
      <c r="G2462">
        <v>1</v>
      </c>
    </row>
    <row r="2463" spans="1:7" x14ac:dyDescent="0.25">
      <c r="A2463" t="s">
        <v>1050</v>
      </c>
      <c r="F2463">
        <v>4</v>
      </c>
      <c r="G2463">
        <v>4</v>
      </c>
    </row>
    <row r="2464" spans="1:7" x14ac:dyDescent="0.25">
      <c r="A2464" t="s">
        <v>289</v>
      </c>
      <c r="F2464">
        <v>1</v>
      </c>
      <c r="G2464">
        <v>1</v>
      </c>
    </row>
    <row r="2465" spans="1:7" x14ac:dyDescent="0.25">
      <c r="A2465" t="s">
        <v>290</v>
      </c>
      <c r="F2465">
        <v>1</v>
      </c>
      <c r="G2465">
        <v>1</v>
      </c>
    </row>
    <row r="2466" spans="1:7" x14ac:dyDescent="0.25">
      <c r="A2466" t="s">
        <v>291</v>
      </c>
      <c r="F2466">
        <v>1</v>
      </c>
      <c r="G2466">
        <v>1</v>
      </c>
    </row>
    <row r="2467" spans="1:7" x14ac:dyDescent="0.25">
      <c r="A2467" t="s">
        <v>493</v>
      </c>
      <c r="F2467">
        <v>1</v>
      </c>
      <c r="G2467">
        <v>1</v>
      </c>
    </row>
    <row r="2468" spans="1:7" x14ac:dyDescent="0.25">
      <c r="A2468" t="s">
        <v>1051</v>
      </c>
      <c r="F2468">
        <v>3</v>
      </c>
      <c r="G2468">
        <v>3</v>
      </c>
    </row>
    <row r="2469" spans="1:7" x14ac:dyDescent="0.25">
      <c r="A2469" t="s">
        <v>290</v>
      </c>
      <c r="F2469">
        <v>1</v>
      </c>
      <c r="G2469">
        <v>1</v>
      </c>
    </row>
    <row r="2470" spans="1:7" x14ac:dyDescent="0.25">
      <c r="A2470" t="s">
        <v>291</v>
      </c>
      <c r="F2470">
        <v>1</v>
      </c>
      <c r="G2470">
        <v>1</v>
      </c>
    </row>
    <row r="2471" spans="1:7" x14ac:dyDescent="0.25">
      <c r="A2471" t="s">
        <v>493</v>
      </c>
      <c r="F2471">
        <v>1</v>
      </c>
      <c r="G2471">
        <v>1</v>
      </c>
    </row>
    <row r="2472" spans="1:7" x14ac:dyDescent="0.25">
      <c r="A2472" t="s">
        <v>1052</v>
      </c>
      <c r="F2472">
        <v>5</v>
      </c>
      <c r="G2472">
        <v>5</v>
      </c>
    </row>
    <row r="2473" spans="1:7" x14ac:dyDescent="0.25">
      <c r="A2473" t="s">
        <v>377</v>
      </c>
      <c r="F2473">
        <v>1</v>
      </c>
      <c r="G2473">
        <v>1</v>
      </c>
    </row>
    <row r="2474" spans="1:7" x14ac:dyDescent="0.25">
      <c r="A2474" t="s">
        <v>289</v>
      </c>
      <c r="F2474">
        <v>1</v>
      </c>
      <c r="G2474">
        <v>1</v>
      </c>
    </row>
    <row r="2475" spans="1:7" x14ac:dyDescent="0.25">
      <c r="A2475" t="s">
        <v>290</v>
      </c>
      <c r="F2475">
        <v>1</v>
      </c>
      <c r="G2475">
        <v>1</v>
      </c>
    </row>
    <row r="2476" spans="1:7" x14ac:dyDescent="0.25">
      <c r="A2476" t="s">
        <v>291</v>
      </c>
      <c r="F2476">
        <v>1</v>
      </c>
      <c r="G2476">
        <v>1</v>
      </c>
    </row>
    <row r="2477" spans="1:7" x14ac:dyDescent="0.25">
      <c r="A2477" t="s">
        <v>493</v>
      </c>
      <c r="F2477">
        <v>1</v>
      </c>
      <c r="G2477">
        <v>1</v>
      </c>
    </row>
    <row r="2478" spans="1:7" x14ac:dyDescent="0.25">
      <c r="A2478" t="s">
        <v>1053</v>
      </c>
      <c r="F2478">
        <v>3</v>
      </c>
      <c r="G2478">
        <v>3</v>
      </c>
    </row>
    <row r="2479" spans="1:7" x14ac:dyDescent="0.25">
      <c r="A2479" t="s">
        <v>377</v>
      </c>
      <c r="F2479">
        <v>1</v>
      </c>
      <c r="G2479">
        <v>1</v>
      </c>
    </row>
    <row r="2480" spans="1:7" x14ac:dyDescent="0.25">
      <c r="A2480" t="s">
        <v>288</v>
      </c>
      <c r="F2480">
        <v>1</v>
      </c>
      <c r="G2480">
        <v>1</v>
      </c>
    </row>
    <row r="2481" spans="1:7" x14ac:dyDescent="0.25">
      <c r="A2481" t="s">
        <v>380</v>
      </c>
      <c r="F2481">
        <v>1</v>
      </c>
      <c r="G2481">
        <v>1</v>
      </c>
    </row>
    <row r="2482" spans="1:7" x14ac:dyDescent="0.25">
      <c r="A2482" t="s">
        <v>1054</v>
      </c>
      <c r="F2482">
        <v>2</v>
      </c>
      <c r="G2482">
        <v>2</v>
      </c>
    </row>
    <row r="2483" spans="1:7" x14ac:dyDescent="0.25">
      <c r="A2483" t="s">
        <v>291</v>
      </c>
      <c r="F2483">
        <v>1</v>
      </c>
      <c r="G2483">
        <v>1</v>
      </c>
    </row>
    <row r="2484" spans="1:7" x14ac:dyDescent="0.25">
      <c r="A2484" t="s">
        <v>380</v>
      </c>
      <c r="F2484">
        <v>1</v>
      </c>
      <c r="G2484">
        <v>1</v>
      </c>
    </row>
    <row r="2485" spans="1:7" x14ac:dyDescent="0.25">
      <c r="A2485" t="s">
        <v>1055</v>
      </c>
      <c r="F2485">
        <v>2</v>
      </c>
      <c r="G2485">
        <v>2</v>
      </c>
    </row>
    <row r="2486" spans="1:7" x14ac:dyDescent="0.25">
      <c r="A2486" t="s">
        <v>292</v>
      </c>
      <c r="F2486">
        <v>1</v>
      </c>
      <c r="G2486">
        <v>1</v>
      </c>
    </row>
    <row r="2487" spans="1:7" x14ac:dyDescent="0.25">
      <c r="A2487" t="s">
        <v>380</v>
      </c>
      <c r="F2487">
        <v>1</v>
      </c>
      <c r="G2487">
        <v>1</v>
      </c>
    </row>
    <row r="2488" spans="1:7" x14ac:dyDescent="0.25">
      <c r="A2488" t="s">
        <v>1056</v>
      </c>
      <c r="F2488">
        <v>2</v>
      </c>
      <c r="G2488">
        <v>2</v>
      </c>
    </row>
    <row r="2489" spans="1:7" x14ac:dyDescent="0.25">
      <c r="A2489" t="s">
        <v>292</v>
      </c>
      <c r="F2489">
        <v>1</v>
      </c>
      <c r="G2489">
        <v>1</v>
      </c>
    </row>
    <row r="2490" spans="1:7" x14ac:dyDescent="0.25">
      <c r="A2490" t="s">
        <v>380</v>
      </c>
      <c r="F2490">
        <v>1</v>
      </c>
      <c r="G2490">
        <v>1</v>
      </c>
    </row>
    <row r="2491" spans="1:7" x14ac:dyDescent="0.25">
      <c r="A2491" t="s">
        <v>1057</v>
      </c>
      <c r="F2491">
        <v>2</v>
      </c>
      <c r="G2491">
        <v>2</v>
      </c>
    </row>
    <row r="2492" spans="1:7" x14ac:dyDescent="0.25">
      <c r="A2492" t="s">
        <v>292</v>
      </c>
      <c r="F2492">
        <v>1</v>
      </c>
      <c r="G2492">
        <v>1</v>
      </c>
    </row>
    <row r="2493" spans="1:7" x14ac:dyDescent="0.25">
      <c r="A2493" t="s">
        <v>380</v>
      </c>
      <c r="F2493">
        <v>1</v>
      </c>
      <c r="G2493">
        <v>1</v>
      </c>
    </row>
    <row r="2494" spans="1:7" x14ac:dyDescent="0.25">
      <c r="A2494" t="s">
        <v>1058</v>
      </c>
      <c r="F2494">
        <v>2</v>
      </c>
      <c r="G2494">
        <v>2</v>
      </c>
    </row>
    <row r="2495" spans="1:7" x14ac:dyDescent="0.25">
      <c r="A2495" t="s">
        <v>289</v>
      </c>
      <c r="F2495">
        <v>1</v>
      </c>
      <c r="G2495">
        <v>1</v>
      </c>
    </row>
    <row r="2496" spans="1:7" x14ac:dyDescent="0.25">
      <c r="A2496" t="s">
        <v>380</v>
      </c>
      <c r="F2496">
        <v>1</v>
      </c>
      <c r="G2496">
        <v>1</v>
      </c>
    </row>
    <row r="2497" spans="1:7" x14ac:dyDescent="0.25">
      <c r="A2497" t="s">
        <v>1059</v>
      </c>
      <c r="F2497">
        <v>2</v>
      </c>
      <c r="G2497">
        <v>2</v>
      </c>
    </row>
    <row r="2498" spans="1:7" x14ac:dyDescent="0.25">
      <c r="A2498" t="s">
        <v>291</v>
      </c>
      <c r="F2498">
        <v>1</v>
      </c>
      <c r="G2498">
        <v>1</v>
      </c>
    </row>
    <row r="2499" spans="1:7" x14ac:dyDescent="0.25">
      <c r="A2499" t="s">
        <v>380</v>
      </c>
      <c r="F2499">
        <v>1</v>
      </c>
      <c r="G2499">
        <v>1</v>
      </c>
    </row>
    <row r="2500" spans="1:7" x14ac:dyDescent="0.25">
      <c r="A2500" t="s">
        <v>1060</v>
      </c>
      <c r="F2500">
        <v>5</v>
      </c>
      <c r="G2500">
        <v>5</v>
      </c>
    </row>
    <row r="2501" spans="1:7" x14ac:dyDescent="0.25">
      <c r="A2501" t="s">
        <v>377</v>
      </c>
      <c r="F2501">
        <v>1</v>
      </c>
      <c r="G2501">
        <v>1</v>
      </c>
    </row>
    <row r="2502" spans="1:7" x14ac:dyDescent="0.25">
      <c r="A2502" t="s">
        <v>290</v>
      </c>
      <c r="F2502">
        <v>1</v>
      </c>
      <c r="G2502">
        <v>1</v>
      </c>
    </row>
    <row r="2503" spans="1:7" x14ac:dyDescent="0.25">
      <c r="A2503" t="s">
        <v>291</v>
      </c>
      <c r="F2503">
        <v>1</v>
      </c>
      <c r="G2503">
        <v>1</v>
      </c>
    </row>
    <row r="2504" spans="1:7" x14ac:dyDescent="0.25">
      <c r="A2504" t="s">
        <v>288</v>
      </c>
      <c r="F2504">
        <v>1</v>
      </c>
      <c r="G2504">
        <v>1</v>
      </c>
    </row>
    <row r="2505" spans="1:7" x14ac:dyDescent="0.25">
      <c r="A2505" t="s">
        <v>493</v>
      </c>
      <c r="F2505">
        <v>1</v>
      </c>
      <c r="G2505">
        <v>1</v>
      </c>
    </row>
    <row r="2506" spans="1:7" x14ac:dyDescent="0.25">
      <c r="A2506" t="s">
        <v>1061</v>
      </c>
      <c r="F2506">
        <v>5</v>
      </c>
      <c r="G2506">
        <v>5</v>
      </c>
    </row>
    <row r="2507" spans="1:7" x14ac:dyDescent="0.25">
      <c r="A2507" t="s">
        <v>377</v>
      </c>
      <c r="F2507">
        <v>1</v>
      </c>
      <c r="G2507">
        <v>1</v>
      </c>
    </row>
    <row r="2508" spans="1:7" x14ac:dyDescent="0.25">
      <c r="A2508" t="s">
        <v>290</v>
      </c>
      <c r="F2508">
        <v>1</v>
      </c>
      <c r="G2508">
        <v>1</v>
      </c>
    </row>
    <row r="2509" spans="1:7" x14ac:dyDescent="0.25">
      <c r="A2509" t="s">
        <v>291</v>
      </c>
      <c r="F2509">
        <v>1</v>
      </c>
      <c r="G2509">
        <v>1</v>
      </c>
    </row>
    <row r="2510" spans="1:7" x14ac:dyDescent="0.25">
      <c r="A2510" t="s">
        <v>288</v>
      </c>
      <c r="F2510">
        <v>1</v>
      </c>
      <c r="G2510">
        <v>1</v>
      </c>
    </row>
    <row r="2511" spans="1:7" x14ac:dyDescent="0.25">
      <c r="A2511" t="s">
        <v>493</v>
      </c>
      <c r="F2511">
        <v>1</v>
      </c>
      <c r="G2511">
        <v>1</v>
      </c>
    </row>
    <row r="2512" spans="1:7" x14ac:dyDescent="0.25">
      <c r="A2512" t="s">
        <v>1062</v>
      </c>
      <c r="F2512">
        <v>3</v>
      </c>
      <c r="G2512">
        <v>3</v>
      </c>
    </row>
    <row r="2513" spans="1:7" x14ac:dyDescent="0.25">
      <c r="A2513" t="s">
        <v>377</v>
      </c>
      <c r="F2513">
        <v>1</v>
      </c>
      <c r="G2513">
        <v>1</v>
      </c>
    </row>
    <row r="2514" spans="1:7" x14ac:dyDescent="0.25">
      <c r="A2514" t="s">
        <v>288</v>
      </c>
      <c r="F2514">
        <v>1</v>
      </c>
      <c r="G2514">
        <v>1</v>
      </c>
    </row>
    <row r="2515" spans="1:7" x14ac:dyDescent="0.25">
      <c r="A2515" t="s">
        <v>380</v>
      </c>
      <c r="F2515">
        <v>1</v>
      </c>
      <c r="G2515">
        <v>1</v>
      </c>
    </row>
    <row r="2516" spans="1:7" x14ac:dyDescent="0.25">
      <c r="A2516" t="s">
        <v>1063</v>
      </c>
      <c r="F2516">
        <v>2</v>
      </c>
      <c r="G2516">
        <v>2</v>
      </c>
    </row>
    <row r="2517" spans="1:7" x14ac:dyDescent="0.25">
      <c r="A2517" t="s">
        <v>292</v>
      </c>
      <c r="F2517">
        <v>1</v>
      </c>
      <c r="G2517">
        <v>1</v>
      </c>
    </row>
    <row r="2518" spans="1:7" x14ac:dyDescent="0.25">
      <c r="A2518" t="s">
        <v>380</v>
      </c>
      <c r="F2518">
        <v>1</v>
      </c>
      <c r="G2518">
        <v>1</v>
      </c>
    </row>
    <row r="2519" spans="1:7" x14ac:dyDescent="0.25">
      <c r="A2519" t="s">
        <v>1064</v>
      </c>
      <c r="F2519">
        <v>2</v>
      </c>
      <c r="G2519">
        <v>2</v>
      </c>
    </row>
    <row r="2520" spans="1:7" x14ac:dyDescent="0.25">
      <c r="A2520" t="s">
        <v>292</v>
      </c>
      <c r="F2520">
        <v>1</v>
      </c>
      <c r="G2520">
        <v>1</v>
      </c>
    </row>
    <row r="2521" spans="1:7" x14ac:dyDescent="0.25">
      <c r="A2521" t="s">
        <v>380</v>
      </c>
      <c r="F2521">
        <v>1</v>
      </c>
      <c r="G2521">
        <v>1</v>
      </c>
    </row>
    <row r="2522" spans="1:7" x14ac:dyDescent="0.25">
      <c r="A2522" t="s">
        <v>1065</v>
      </c>
      <c r="F2522">
        <v>3</v>
      </c>
      <c r="G2522">
        <v>3</v>
      </c>
    </row>
    <row r="2523" spans="1:7" x14ac:dyDescent="0.25">
      <c r="A2523" t="s">
        <v>377</v>
      </c>
      <c r="F2523">
        <v>1</v>
      </c>
      <c r="G2523">
        <v>1</v>
      </c>
    </row>
    <row r="2524" spans="1:7" x14ac:dyDescent="0.25">
      <c r="A2524" t="s">
        <v>288</v>
      </c>
      <c r="F2524">
        <v>1</v>
      </c>
      <c r="G2524">
        <v>1</v>
      </c>
    </row>
    <row r="2525" spans="1:7" x14ac:dyDescent="0.25">
      <c r="A2525" t="s">
        <v>493</v>
      </c>
      <c r="F2525">
        <v>1</v>
      </c>
      <c r="G2525">
        <v>1</v>
      </c>
    </row>
    <row r="2526" spans="1:7" x14ac:dyDescent="0.25">
      <c r="A2526" t="s">
        <v>1066</v>
      </c>
      <c r="F2526">
        <v>2</v>
      </c>
      <c r="G2526">
        <v>2</v>
      </c>
    </row>
    <row r="2527" spans="1:7" x14ac:dyDescent="0.25">
      <c r="A2527" t="s">
        <v>289</v>
      </c>
      <c r="F2527">
        <v>1</v>
      </c>
      <c r="G2527">
        <v>1</v>
      </c>
    </row>
    <row r="2528" spans="1:7" x14ac:dyDescent="0.25">
      <c r="A2528" t="s">
        <v>493</v>
      </c>
      <c r="F2528">
        <v>1</v>
      </c>
      <c r="G2528">
        <v>1</v>
      </c>
    </row>
    <row r="2529" spans="1:7" x14ac:dyDescent="0.25">
      <c r="A2529" t="s">
        <v>1067</v>
      </c>
      <c r="F2529">
        <v>4</v>
      </c>
      <c r="G2529">
        <v>4</v>
      </c>
    </row>
    <row r="2530" spans="1:7" x14ac:dyDescent="0.25">
      <c r="A2530" t="s">
        <v>289</v>
      </c>
      <c r="F2530">
        <v>1</v>
      </c>
      <c r="G2530">
        <v>1</v>
      </c>
    </row>
    <row r="2531" spans="1:7" x14ac:dyDescent="0.25">
      <c r="A2531" t="s">
        <v>290</v>
      </c>
      <c r="F2531">
        <v>1</v>
      </c>
      <c r="G2531">
        <v>1</v>
      </c>
    </row>
    <row r="2532" spans="1:7" x14ac:dyDescent="0.25">
      <c r="A2532" t="s">
        <v>291</v>
      </c>
      <c r="F2532">
        <v>1</v>
      </c>
      <c r="G2532">
        <v>1</v>
      </c>
    </row>
    <row r="2533" spans="1:7" x14ac:dyDescent="0.25">
      <c r="A2533" t="s">
        <v>493</v>
      </c>
      <c r="F2533">
        <v>1</v>
      </c>
      <c r="G2533">
        <v>1</v>
      </c>
    </row>
    <row r="2534" spans="1:7" x14ac:dyDescent="0.25">
      <c r="A2534" t="s">
        <v>1068</v>
      </c>
      <c r="F2534">
        <v>4</v>
      </c>
      <c r="G2534">
        <v>4</v>
      </c>
    </row>
    <row r="2535" spans="1:7" x14ac:dyDescent="0.25">
      <c r="A2535" t="s">
        <v>289</v>
      </c>
      <c r="F2535">
        <v>1</v>
      </c>
      <c r="G2535">
        <v>1</v>
      </c>
    </row>
    <row r="2536" spans="1:7" x14ac:dyDescent="0.25">
      <c r="A2536" t="s">
        <v>290</v>
      </c>
      <c r="F2536">
        <v>1</v>
      </c>
      <c r="G2536">
        <v>1</v>
      </c>
    </row>
    <row r="2537" spans="1:7" x14ac:dyDescent="0.25">
      <c r="A2537" t="s">
        <v>291</v>
      </c>
      <c r="F2537">
        <v>1</v>
      </c>
      <c r="G2537">
        <v>1</v>
      </c>
    </row>
    <row r="2538" spans="1:7" x14ac:dyDescent="0.25">
      <c r="A2538" t="s">
        <v>493</v>
      </c>
      <c r="F2538">
        <v>1</v>
      </c>
      <c r="G2538">
        <v>1</v>
      </c>
    </row>
    <row r="2539" spans="1:7" x14ac:dyDescent="0.25">
      <c r="A2539" t="s">
        <v>1069</v>
      </c>
      <c r="F2539">
        <v>5</v>
      </c>
      <c r="G2539">
        <v>5</v>
      </c>
    </row>
    <row r="2540" spans="1:7" x14ac:dyDescent="0.25">
      <c r="A2540" t="s">
        <v>289</v>
      </c>
      <c r="F2540">
        <v>1</v>
      </c>
      <c r="G2540">
        <v>1</v>
      </c>
    </row>
    <row r="2541" spans="1:7" x14ac:dyDescent="0.25">
      <c r="A2541" t="s">
        <v>290</v>
      </c>
      <c r="F2541">
        <v>1</v>
      </c>
      <c r="G2541">
        <v>1</v>
      </c>
    </row>
    <row r="2542" spans="1:7" x14ac:dyDescent="0.25">
      <c r="A2542" t="s">
        <v>291</v>
      </c>
      <c r="F2542">
        <v>1</v>
      </c>
      <c r="G2542">
        <v>1</v>
      </c>
    </row>
    <row r="2543" spans="1:7" x14ac:dyDescent="0.25">
      <c r="A2543" t="s">
        <v>288</v>
      </c>
      <c r="F2543">
        <v>1</v>
      </c>
      <c r="G2543">
        <v>1</v>
      </c>
    </row>
    <row r="2544" spans="1:7" x14ac:dyDescent="0.25">
      <c r="A2544" t="s">
        <v>493</v>
      </c>
      <c r="F2544">
        <v>1</v>
      </c>
      <c r="G2544">
        <v>1</v>
      </c>
    </row>
    <row r="2545" spans="1:7" x14ac:dyDescent="0.25">
      <c r="A2545" t="s">
        <v>1070</v>
      </c>
      <c r="F2545">
        <v>4</v>
      </c>
      <c r="G2545">
        <v>4</v>
      </c>
    </row>
    <row r="2546" spans="1:7" x14ac:dyDescent="0.25">
      <c r="A2546" t="s">
        <v>377</v>
      </c>
      <c r="F2546">
        <v>1</v>
      </c>
      <c r="G2546">
        <v>1</v>
      </c>
    </row>
    <row r="2547" spans="1:7" x14ac:dyDescent="0.25">
      <c r="A2547" t="s">
        <v>293</v>
      </c>
      <c r="F2547">
        <v>1</v>
      </c>
      <c r="G2547">
        <v>1</v>
      </c>
    </row>
    <row r="2548" spans="1:7" x14ac:dyDescent="0.25">
      <c r="A2548" t="s">
        <v>297</v>
      </c>
      <c r="F2548">
        <v>1</v>
      </c>
      <c r="G2548">
        <v>1</v>
      </c>
    </row>
    <row r="2549" spans="1:7" x14ac:dyDescent="0.25">
      <c r="A2549" t="s">
        <v>493</v>
      </c>
      <c r="F2549">
        <v>1</v>
      </c>
      <c r="G2549">
        <v>1</v>
      </c>
    </row>
    <row r="2550" spans="1:7" x14ac:dyDescent="0.25">
      <c r="A2550" t="s">
        <v>1071</v>
      </c>
      <c r="F2550">
        <v>4</v>
      </c>
      <c r="G2550">
        <v>4</v>
      </c>
    </row>
    <row r="2551" spans="1:7" x14ac:dyDescent="0.25">
      <c r="A2551" t="s">
        <v>289</v>
      </c>
      <c r="F2551">
        <v>1</v>
      </c>
      <c r="G2551">
        <v>1</v>
      </c>
    </row>
    <row r="2552" spans="1:7" x14ac:dyDescent="0.25">
      <c r="A2552" t="s">
        <v>290</v>
      </c>
      <c r="F2552">
        <v>1</v>
      </c>
      <c r="G2552">
        <v>1</v>
      </c>
    </row>
    <row r="2553" spans="1:7" x14ac:dyDescent="0.25">
      <c r="A2553" t="s">
        <v>291</v>
      </c>
      <c r="F2553">
        <v>1</v>
      </c>
      <c r="G2553">
        <v>1</v>
      </c>
    </row>
    <row r="2554" spans="1:7" x14ac:dyDescent="0.25">
      <c r="A2554" t="s">
        <v>493</v>
      </c>
      <c r="F2554">
        <v>1</v>
      </c>
      <c r="G2554">
        <v>1</v>
      </c>
    </row>
    <row r="2555" spans="1:7" x14ac:dyDescent="0.25">
      <c r="A2555" t="s">
        <v>1072</v>
      </c>
      <c r="F2555">
        <v>2</v>
      </c>
      <c r="G2555">
        <v>2</v>
      </c>
    </row>
    <row r="2556" spans="1:7" x14ac:dyDescent="0.25">
      <c r="A2556" t="s">
        <v>292</v>
      </c>
      <c r="F2556">
        <v>1</v>
      </c>
      <c r="G2556">
        <v>1</v>
      </c>
    </row>
    <row r="2557" spans="1:7" x14ac:dyDescent="0.25">
      <c r="A2557" t="s">
        <v>380</v>
      </c>
      <c r="F2557">
        <v>1</v>
      </c>
      <c r="G2557">
        <v>1</v>
      </c>
    </row>
    <row r="2558" spans="1:7" x14ac:dyDescent="0.25">
      <c r="A2558" t="s">
        <v>1073</v>
      </c>
      <c r="F2558">
        <v>3</v>
      </c>
      <c r="G2558">
        <v>3</v>
      </c>
    </row>
    <row r="2559" spans="1:7" x14ac:dyDescent="0.25">
      <c r="A2559" t="s">
        <v>377</v>
      </c>
      <c r="F2559">
        <v>1</v>
      </c>
      <c r="G2559">
        <v>1</v>
      </c>
    </row>
    <row r="2560" spans="1:7" x14ac:dyDescent="0.25">
      <c r="A2560" t="s">
        <v>288</v>
      </c>
      <c r="F2560">
        <v>1</v>
      </c>
      <c r="G2560">
        <v>1</v>
      </c>
    </row>
    <row r="2561" spans="1:7" x14ac:dyDescent="0.25">
      <c r="A2561" t="s">
        <v>380</v>
      </c>
      <c r="F2561">
        <v>1</v>
      </c>
      <c r="G2561">
        <v>1</v>
      </c>
    </row>
    <row r="2562" spans="1:7" x14ac:dyDescent="0.25">
      <c r="A2562" t="s">
        <v>1074</v>
      </c>
      <c r="F2562">
        <v>3</v>
      </c>
      <c r="G2562">
        <v>3</v>
      </c>
    </row>
    <row r="2563" spans="1:7" x14ac:dyDescent="0.25">
      <c r="A2563" t="s">
        <v>292</v>
      </c>
      <c r="F2563">
        <v>1</v>
      </c>
      <c r="G2563">
        <v>1</v>
      </c>
    </row>
    <row r="2564" spans="1:7" x14ac:dyDescent="0.25">
      <c r="A2564" t="s">
        <v>288</v>
      </c>
      <c r="F2564">
        <v>1</v>
      </c>
      <c r="G2564">
        <v>1</v>
      </c>
    </row>
    <row r="2565" spans="1:7" x14ac:dyDescent="0.25">
      <c r="A2565" t="s">
        <v>380</v>
      </c>
      <c r="F2565">
        <v>1</v>
      </c>
      <c r="G2565">
        <v>1</v>
      </c>
    </row>
    <row r="2566" spans="1:7" x14ac:dyDescent="0.25">
      <c r="A2566" t="s">
        <v>1075</v>
      </c>
      <c r="F2566">
        <v>3</v>
      </c>
      <c r="G2566">
        <v>3</v>
      </c>
    </row>
    <row r="2567" spans="1:7" x14ac:dyDescent="0.25">
      <c r="A2567" t="s">
        <v>377</v>
      </c>
      <c r="F2567">
        <v>1</v>
      </c>
      <c r="G2567">
        <v>1</v>
      </c>
    </row>
    <row r="2568" spans="1:7" x14ac:dyDescent="0.25">
      <c r="A2568" t="s">
        <v>292</v>
      </c>
      <c r="F2568">
        <v>1</v>
      </c>
      <c r="G2568">
        <v>1</v>
      </c>
    </row>
    <row r="2569" spans="1:7" x14ac:dyDescent="0.25">
      <c r="A2569" t="s">
        <v>380</v>
      </c>
      <c r="F2569">
        <v>1</v>
      </c>
      <c r="G2569">
        <v>1</v>
      </c>
    </row>
    <row r="2570" spans="1:7" x14ac:dyDescent="0.25">
      <c r="A2570" t="s">
        <v>1076</v>
      </c>
      <c r="F2570">
        <v>5</v>
      </c>
      <c r="G2570">
        <v>5</v>
      </c>
    </row>
    <row r="2571" spans="1:7" x14ac:dyDescent="0.25">
      <c r="A2571" t="s">
        <v>377</v>
      </c>
      <c r="F2571">
        <v>1</v>
      </c>
      <c r="G2571">
        <v>1</v>
      </c>
    </row>
    <row r="2572" spans="1:7" x14ac:dyDescent="0.25">
      <c r="A2572" t="s">
        <v>289</v>
      </c>
      <c r="F2572">
        <v>1</v>
      </c>
      <c r="G2572">
        <v>1</v>
      </c>
    </row>
    <row r="2573" spans="1:7" x14ac:dyDescent="0.25">
      <c r="A2573" t="s">
        <v>290</v>
      </c>
      <c r="F2573">
        <v>1</v>
      </c>
      <c r="G2573">
        <v>1</v>
      </c>
    </row>
    <row r="2574" spans="1:7" x14ac:dyDescent="0.25">
      <c r="A2574" t="s">
        <v>291</v>
      </c>
      <c r="F2574">
        <v>1</v>
      </c>
      <c r="G2574">
        <v>1</v>
      </c>
    </row>
    <row r="2575" spans="1:7" x14ac:dyDescent="0.25">
      <c r="A2575" t="s">
        <v>493</v>
      </c>
      <c r="F2575">
        <v>1</v>
      </c>
      <c r="G2575">
        <v>1</v>
      </c>
    </row>
    <row r="2576" spans="1:7" x14ac:dyDescent="0.25">
      <c r="A2576" t="s">
        <v>1077</v>
      </c>
      <c r="F2576">
        <v>4</v>
      </c>
      <c r="G2576">
        <v>4</v>
      </c>
    </row>
    <row r="2577" spans="1:7" x14ac:dyDescent="0.25">
      <c r="A2577" t="s">
        <v>377</v>
      </c>
      <c r="F2577">
        <v>1</v>
      </c>
      <c r="G2577">
        <v>1</v>
      </c>
    </row>
    <row r="2578" spans="1:7" x14ac:dyDescent="0.25">
      <c r="A2578" t="s">
        <v>290</v>
      </c>
      <c r="F2578">
        <v>1</v>
      </c>
      <c r="G2578">
        <v>1</v>
      </c>
    </row>
    <row r="2579" spans="1:7" x14ac:dyDescent="0.25">
      <c r="A2579" t="s">
        <v>291</v>
      </c>
      <c r="F2579">
        <v>1</v>
      </c>
      <c r="G2579">
        <v>1</v>
      </c>
    </row>
    <row r="2580" spans="1:7" x14ac:dyDescent="0.25">
      <c r="A2580" t="s">
        <v>493</v>
      </c>
      <c r="F2580">
        <v>1</v>
      </c>
      <c r="G2580">
        <v>1</v>
      </c>
    </row>
    <row r="2581" spans="1:7" x14ac:dyDescent="0.25">
      <c r="A2581" t="s">
        <v>1078</v>
      </c>
      <c r="F2581">
        <v>3</v>
      </c>
      <c r="G2581">
        <v>3</v>
      </c>
    </row>
    <row r="2582" spans="1:7" x14ac:dyDescent="0.25">
      <c r="A2582" t="s">
        <v>377</v>
      </c>
      <c r="F2582">
        <v>1</v>
      </c>
      <c r="G2582">
        <v>1</v>
      </c>
    </row>
    <row r="2583" spans="1:7" x14ac:dyDescent="0.25">
      <c r="A2583" t="s">
        <v>291</v>
      </c>
      <c r="F2583">
        <v>1</v>
      </c>
      <c r="G2583">
        <v>1</v>
      </c>
    </row>
    <row r="2584" spans="1:7" x14ac:dyDescent="0.25">
      <c r="A2584" t="s">
        <v>380</v>
      </c>
      <c r="F2584">
        <v>1</v>
      </c>
      <c r="G2584">
        <v>1</v>
      </c>
    </row>
    <row r="2585" spans="1:7" x14ac:dyDescent="0.25">
      <c r="A2585" t="s">
        <v>1079</v>
      </c>
      <c r="F2585">
        <v>5</v>
      </c>
      <c r="G2585">
        <v>5</v>
      </c>
    </row>
    <row r="2586" spans="1:7" x14ac:dyDescent="0.25">
      <c r="A2586" t="s">
        <v>377</v>
      </c>
      <c r="F2586">
        <v>1</v>
      </c>
      <c r="G2586">
        <v>1</v>
      </c>
    </row>
    <row r="2587" spans="1:7" x14ac:dyDescent="0.25">
      <c r="A2587" t="s">
        <v>289</v>
      </c>
      <c r="F2587">
        <v>1</v>
      </c>
      <c r="G2587">
        <v>1</v>
      </c>
    </row>
    <row r="2588" spans="1:7" x14ac:dyDescent="0.25">
      <c r="A2588" t="s">
        <v>290</v>
      </c>
      <c r="F2588">
        <v>1</v>
      </c>
      <c r="G2588">
        <v>1</v>
      </c>
    </row>
    <row r="2589" spans="1:7" x14ac:dyDescent="0.25">
      <c r="A2589" t="s">
        <v>291</v>
      </c>
      <c r="F2589">
        <v>1</v>
      </c>
      <c r="G2589">
        <v>1</v>
      </c>
    </row>
    <row r="2590" spans="1:7" x14ac:dyDescent="0.25">
      <c r="A2590" t="s">
        <v>493</v>
      </c>
      <c r="F2590">
        <v>1</v>
      </c>
      <c r="G2590">
        <v>1</v>
      </c>
    </row>
    <row r="2591" spans="1:7" x14ac:dyDescent="0.25">
      <c r="A2591" t="s">
        <v>1080</v>
      </c>
      <c r="F2591">
        <v>5</v>
      </c>
      <c r="G2591">
        <v>5</v>
      </c>
    </row>
    <row r="2592" spans="1:7" x14ac:dyDescent="0.25">
      <c r="A2592" t="s">
        <v>377</v>
      </c>
      <c r="F2592">
        <v>1</v>
      </c>
      <c r="G2592">
        <v>1</v>
      </c>
    </row>
    <row r="2593" spans="1:7" x14ac:dyDescent="0.25">
      <c r="A2593" t="s">
        <v>289</v>
      </c>
      <c r="F2593">
        <v>1</v>
      </c>
      <c r="G2593">
        <v>1</v>
      </c>
    </row>
    <row r="2594" spans="1:7" x14ac:dyDescent="0.25">
      <c r="A2594" t="s">
        <v>290</v>
      </c>
      <c r="F2594">
        <v>1</v>
      </c>
      <c r="G2594">
        <v>1</v>
      </c>
    </row>
    <row r="2595" spans="1:7" x14ac:dyDescent="0.25">
      <c r="A2595" t="s">
        <v>291</v>
      </c>
      <c r="F2595">
        <v>1</v>
      </c>
      <c r="G2595">
        <v>1</v>
      </c>
    </row>
    <row r="2596" spans="1:7" x14ac:dyDescent="0.25">
      <c r="A2596" t="s">
        <v>493</v>
      </c>
      <c r="F2596">
        <v>1</v>
      </c>
      <c r="G2596">
        <v>1</v>
      </c>
    </row>
    <row r="2597" spans="1:7" x14ac:dyDescent="0.25">
      <c r="A2597" t="s">
        <v>1081</v>
      </c>
      <c r="F2597">
        <v>2</v>
      </c>
      <c r="G2597">
        <v>2</v>
      </c>
    </row>
    <row r="2598" spans="1:7" x14ac:dyDescent="0.25">
      <c r="A2598" t="s">
        <v>290</v>
      </c>
      <c r="F2598">
        <v>1</v>
      </c>
      <c r="G2598">
        <v>1</v>
      </c>
    </row>
    <row r="2599" spans="1:7" x14ac:dyDescent="0.25">
      <c r="A2599" t="s">
        <v>493</v>
      </c>
      <c r="F2599">
        <v>1</v>
      </c>
      <c r="G2599">
        <v>1</v>
      </c>
    </row>
    <row r="2600" spans="1:7" x14ac:dyDescent="0.25">
      <c r="A2600" t="s">
        <v>1082</v>
      </c>
      <c r="F2600">
        <v>3</v>
      </c>
      <c r="G2600">
        <v>3</v>
      </c>
    </row>
    <row r="2601" spans="1:7" x14ac:dyDescent="0.25">
      <c r="A2601" t="s">
        <v>289</v>
      </c>
      <c r="F2601">
        <v>1</v>
      </c>
      <c r="G2601">
        <v>1</v>
      </c>
    </row>
    <row r="2602" spans="1:7" x14ac:dyDescent="0.25">
      <c r="A2602" t="s">
        <v>290</v>
      </c>
      <c r="F2602">
        <v>1</v>
      </c>
      <c r="G2602">
        <v>1</v>
      </c>
    </row>
    <row r="2603" spans="1:7" x14ac:dyDescent="0.25">
      <c r="A2603" t="s">
        <v>493</v>
      </c>
      <c r="F2603">
        <v>1</v>
      </c>
      <c r="G2603">
        <v>1</v>
      </c>
    </row>
    <row r="2604" spans="1:7" x14ac:dyDescent="0.25">
      <c r="A2604" t="s">
        <v>1083</v>
      </c>
      <c r="F2604">
        <v>4</v>
      </c>
      <c r="G2604">
        <v>4</v>
      </c>
    </row>
    <row r="2605" spans="1:7" x14ac:dyDescent="0.25">
      <c r="A2605" t="s">
        <v>377</v>
      </c>
      <c r="F2605">
        <v>1</v>
      </c>
      <c r="G2605">
        <v>1</v>
      </c>
    </row>
    <row r="2606" spans="1:7" x14ac:dyDescent="0.25">
      <c r="A2606" t="s">
        <v>292</v>
      </c>
      <c r="F2606">
        <v>1</v>
      </c>
      <c r="G2606">
        <v>1</v>
      </c>
    </row>
    <row r="2607" spans="1:7" x14ac:dyDescent="0.25">
      <c r="A2607" t="s">
        <v>288</v>
      </c>
      <c r="F2607">
        <v>1</v>
      </c>
      <c r="G2607">
        <v>1</v>
      </c>
    </row>
    <row r="2608" spans="1:7" x14ac:dyDescent="0.25">
      <c r="A2608" t="s">
        <v>380</v>
      </c>
      <c r="F2608">
        <v>1</v>
      </c>
      <c r="G2608">
        <v>1</v>
      </c>
    </row>
    <row r="2609" spans="1:7" x14ac:dyDescent="0.25">
      <c r="A2609" t="s">
        <v>1084</v>
      </c>
      <c r="F2609">
        <v>2</v>
      </c>
      <c r="G2609">
        <v>2</v>
      </c>
    </row>
    <row r="2610" spans="1:7" x14ac:dyDescent="0.25">
      <c r="A2610" t="s">
        <v>292</v>
      </c>
      <c r="F2610">
        <v>1</v>
      </c>
      <c r="G2610">
        <v>1</v>
      </c>
    </row>
    <row r="2611" spans="1:7" x14ac:dyDescent="0.25">
      <c r="A2611" t="s">
        <v>380</v>
      </c>
      <c r="F2611">
        <v>1</v>
      </c>
      <c r="G2611">
        <v>1</v>
      </c>
    </row>
    <row r="2612" spans="1:7" x14ac:dyDescent="0.25">
      <c r="A2612" t="s">
        <v>1085</v>
      </c>
      <c r="F2612">
        <v>5</v>
      </c>
      <c r="G2612">
        <v>5</v>
      </c>
    </row>
    <row r="2613" spans="1:7" x14ac:dyDescent="0.25">
      <c r="A2613" t="s">
        <v>377</v>
      </c>
      <c r="F2613">
        <v>1</v>
      </c>
      <c r="G2613">
        <v>1</v>
      </c>
    </row>
    <row r="2614" spans="1:7" x14ac:dyDescent="0.25">
      <c r="A2614" t="s">
        <v>290</v>
      </c>
      <c r="F2614">
        <v>1</v>
      </c>
      <c r="G2614">
        <v>1</v>
      </c>
    </row>
    <row r="2615" spans="1:7" x14ac:dyDescent="0.25">
      <c r="A2615" t="s">
        <v>291</v>
      </c>
      <c r="F2615">
        <v>1</v>
      </c>
      <c r="G2615">
        <v>1</v>
      </c>
    </row>
    <row r="2616" spans="1:7" x14ac:dyDescent="0.25">
      <c r="A2616" t="s">
        <v>288</v>
      </c>
      <c r="F2616">
        <v>1</v>
      </c>
      <c r="G2616">
        <v>1</v>
      </c>
    </row>
    <row r="2617" spans="1:7" x14ac:dyDescent="0.25">
      <c r="A2617" t="s">
        <v>493</v>
      </c>
      <c r="F2617">
        <v>1</v>
      </c>
      <c r="G2617">
        <v>1</v>
      </c>
    </row>
    <row r="2618" spans="1:7" x14ac:dyDescent="0.25">
      <c r="A2618" t="s">
        <v>1086</v>
      </c>
      <c r="F2618">
        <v>3</v>
      </c>
      <c r="G2618">
        <v>3</v>
      </c>
    </row>
    <row r="2619" spans="1:7" x14ac:dyDescent="0.25">
      <c r="A2619" t="s">
        <v>377</v>
      </c>
      <c r="F2619">
        <v>1</v>
      </c>
      <c r="G2619">
        <v>1</v>
      </c>
    </row>
    <row r="2620" spans="1:7" x14ac:dyDescent="0.25">
      <c r="A2620" t="s">
        <v>288</v>
      </c>
      <c r="F2620">
        <v>1</v>
      </c>
      <c r="G2620">
        <v>1</v>
      </c>
    </row>
    <row r="2621" spans="1:7" x14ac:dyDescent="0.25">
      <c r="A2621" t="s">
        <v>493</v>
      </c>
      <c r="F2621">
        <v>1</v>
      </c>
      <c r="G2621">
        <v>1</v>
      </c>
    </row>
    <row r="2622" spans="1:7" x14ac:dyDescent="0.25">
      <c r="A2622" t="s">
        <v>1087</v>
      </c>
      <c r="F2622">
        <v>5</v>
      </c>
      <c r="G2622">
        <v>5</v>
      </c>
    </row>
    <row r="2623" spans="1:7" x14ac:dyDescent="0.25">
      <c r="A2623" t="s">
        <v>377</v>
      </c>
      <c r="F2623">
        <v>1</v>
      </c>
      <c r="G2623">
        <v>1</v>
      </c>
    </row>
    <row r="2624" spans="1:7" x14ac:dyDescent="0.25">
      <c r="A2624" t="s">
        <v>289</v>
      </c>
      <c r="F2624">
        <v>1</v>
      </c>
      <c r="G2624">
        <v>1</v>
      </c>
    </row>
    <row r="2625" spans="1:7" x14ac:dyDescent="0.25">
      <c r="A2625" t="s">
        <v>290</v>
      </c>
      <c r="F2625">
        <v>1</v>
      </c>
      <c r="G2625">
        <v>1</v>
      </c>
    </row>
    <row r="2626" spans="1:7" x14ac:dyDescent="0.25">
      <c r="A2626" t="s">
        <v>291</v>
      </c>
      <c r="F2626">
        <v>1</v>
      </c>
      <c r="G2626">
        <v>1</v>
      </c>
    </row>
    <row r="2627" spans="1:7" x14ac:dyDescent="0.25">
      <c r="A2627" t="s">
        <v>493</v>
      </c>
      <c r="F2627">
        <v>1</v>
      </c>
      <c r="G2627">
        <v>1</v>
      </c>
    </row>
    <row r="2628" spans="1:7" x14ac:dyDescent="0.25">
      <c r="A2628" t="s">
        <v>1088</v>
      </c>
      <c r="F2628">
        <v>5</v>
      </c>
      <c r="G2628">
        <v>5</v>
      </c>
    </row>
    <row r="2629" spans="1:7" x14ac:dyDescent="0.25">
      <c r="A2629" t="s">
        <v>377</v>
      </c>
      <c r="F2629">
        <v>1</v>
      </c>
      <c r="G2629">
        <v>1</v>
      </c>
    </row>
    <row r="2630" spans="1:7" x14ac:dyDescent="0.25">
      <c r="A2630" t="s">
        <v>289</v>
      </c>
      <c r="F2630">
        <v>1</v>
      </c>
      <c r="G2630">
        <v>1</v>
      </c>
    </row>
    <row r="2631" spans="1:7" x14ac:dyDescent="0.25">
      <c r="A2631" t="s">
        <v>290</v>
      </c>
      <c r="F2631">
        <v>1</v>
      </c>
      <c r="G2631">
        <v>1</v>
      </c>
    </row>
    <row r="2632" spans="1:7" x14ac:dyDescent="0.25">
      <c r="A2632" t="s">
        <v>291</v>
      </c>
      <c r="F2632">
        <v>1</v>
      </c>
      <c r="G2632">
        <v>1</v>
      </c>
    </row>
    <row r="2633" spans="1:7" x14ac:dyDescent="0.25">
      <c r="A2633" t="s">
        <v>493</v>
      </c>
      <c r="F2633">
        <v>1</v>
      </c>
      <c r="G2633">
        <v>1</v>
      </c>
    </row>
    <row r="2634" spans="1:7" x14ac:dyDescent="0.25">
      <c r="A2634" t="s">
        <v>1089</v>
      </c>
      <c r="F2634">
        <v>2</v>
      </c>
      <c r="G2634">
        <v>2</v>
      </c>
    </row>
    <row r="2635" spans="1:7" x14ac:dyDescent="0.25">
      <c r="A2635" t="s">
        <v>288</v>
      </c>
      <c r="F2635">
        <v>1</v>
      </c>
      <c r="G2635">
        <v>1</v>
      </c>
    </row>
    <row r="2636" spans="1:7" x14ac:dyDescent="0.25">
      <c r="A2636" t="s">
        <v>380</v>
      </c>
      <c r="F2636">
        <v>1</v>
      </c>
      <c r="G2636">
        <v>1</v>
      </c>
    </row>
    <row r="2637" spans="1:7" x14ac:dyDescent="0.25">
      <c r="A2637" t="s">
        <v>1090</v>
      </c>
      <c r="F2637">
        <v>3</v>
      </c>
      <c r="G2637">
        <v>3</v>
      </c>
    </row>
    <row r="2638" spans="1:7" x14ac:dyDescent="0.25">
      <c r="A2638" t="s">
        <v>377</v>
      </c>
      <c r="F2638">
        <v>1</v>
      </c>
      <c r="G2638">
        <v>1</v>
      </c>
    </row>
    <row r="2639" spans="1:7" x14ac:dyDescent="0.25">
      <c r="A2639" t="s">
        <v>288</v>
      </c>
      <c r="F2639">
        <v>1</v>
      </c>
      <c r="G2639">
        <v>1</v>
      </c>
    </row>
    <row r="2640" spans="1:7" x14ac:dyDescent="0.25">
      <c r="A2640" t="s">
        <v>493</v>
      </c>
      <c r="F2640">
        <v>1</v>
      </c>
      <c r="G2640">
        <v>1</v>
      </c>
    </row>
    <row r="2641" spans="1:7" x14ac:dyDescent="0.25">
      <c r="A2641" t="s">
        <v>1091</v>
      </c>
      <c r="F2641">
        <v>3</v>
      </c>
      <c r="G2641">
        <v>3</v>
      </c>
    </row>
    <row r="2642" spans="1:7" x14ac:dyDescent="0.25">
      <c r="A2642" t="s">
        <v>377</v>
      </c>
      <c r="F2642">
        <v>1</v>
      </c>
      <c r="G2642">
        <v>1</v>
      </c>
    </row>
    <row r="2643" spans="1:7" x14ac:dyDescent="0.25">
      <c r="A2643" t="s">
        <v>288</v>
      </c>
      <c r="F2643">
        <v>1</v>
      </c>
      <c r="G2643">
        <v>1</v>
      </c>
    </row>
    <row r="2644" spans="1:7" x14ac:dyDescent="0.25">
      <c r="A2644" t="s">
        <v>380</v>
      </c>
      <c r="F2644">
        <v>1</v>
      </c>
      <c r="G2644">
        <v>1</v>
      </c>
    </row>
    <row r="2645" spans="1:7" x14ac:dyDescent="0.25">
      <c r="A2645" t="s">
        <v>1092</v>
      </c>
      <c r="F2645">
        <v>4</v>
      </c>
      <c r="G2645">
        <v>4</v>
      </c>
    </row>
    <row r="2646" spans="1:7" x14ac:dyDescent="0.25">
      <c r="A2646" t="s">
        <v>289</v>
      </c>
      <c r="F2646">
        <v>1</v>
      </c>
      <c r="G2646">
        <v>1</v>
      </c>
    </row>
    <row r="2647" spans="1:7" x14ac:dyDescent="0.25">
      <c r="A2647" t="s">
        <v>290</v>
      </c>
      <c r="F2647">
        <v>1</v>
      </c>
      <c r="G2647">
        <v>1</v>
      </c>
    </row>
    <row r="2648" spans="1:7" x14ac:dyDescent="0.25">
      <c r="A2648" t="s">
        <v>291</v>
      </c>
      <c r="F2648">
        <v>1</v>
      </c>
      <c r="G2648">
        <v>1</v>
      </c>
    </row>
    <row r="2649" spans="1:7" x14ac:dyDescent="0.25">
      <c r="A2649" t="s">
        <v>493</v>
      </c>
      <c r="F2649">
        <v>1</v>
      </c>
      <c r="G2649">
        <v>1</v>
      </c>
    </row>
    <row r="2650" spans="1:7" x14ac:dyDescent="0.25">
      <c r="A2650" t="s">
        <v>1093</v>
      </c>
      <c r="F2650">
        <v>4</v>
      </c>
      <c r="G2650">
        <v>4</v>
      </c>
    </row>
    <row r="2651" spans="1:7" x14ac:dyDescent="0.25">
      <c r="A2651" t="s">
        <v>377</v>
      </c>
      <c r="F2651">
        <v>1</v>
      </c>
      <c r="G2651">
        <v>1</v>
      </c>
    </row>
    <row r="2652" spans="1:7" x14ac:dyDescent="0.25">
      <c r="A2652" t="s">
        <v>385</v>
      </c>
      <c r="F2652">
        <v>1</v>
      </c>
      <c r="G2652">
        <v>1</v>
      </c>
    </row>
    <row r="2653" spans="1:7" x14ac:dyDescent="0.25">
      <c r="A2653" t="s">
        <v>289</v>
      </c>
      <c r="F2653">
        <v>1</v>
      </c>
      <c r="G2653">
        <v>1</v>
      </c>
    </row>
    <row r="2654" spans="1:7" x14ac:dyDescent="0.25">
      <c r="A2654" t="s">
        <v>380</v>
      </c>
      <c r="F2654">
        <v>1</v>
      </c>
      <c r="G2654">
        <v>1</v>
      </c>
    </row>
    <row r="2655" spans="1:7" x14ac:dyDescent="0.25">
      <c r="A2655" t="s">
        <v>1094</v>
      </c>
      <c r="F2655">
        <v>2</v>
      </c>
      <c r="G2655">
        <v>2</v>
      </c>
    </row>
    <row r="2656" spans="1:7" x14ac:dyDescent="0.25">
      <c r="A2656" t="s">
        <v>289</v>
      </c>
      <c r="F2656">
        <v>1</v>
      </c>
      <c r="G2656">
        <v>1</v>
      </c>
    </row>
    <row r="2657" spans="1:7" x14ac:dyDescent="0.25">
      <c r="A2657" t="s">
        <v>380</v>
      </c>
      <c r="F2657">
        <v>1</v>
      </c>
      <c r="G2657">
        <v>1</v>
      </c>
    </row>
    <row r="2658" spans="1:7" x14ac:dyDescent="0.25">
      <c r="A2658" t="s">
        <v>1095</v>
      </c>
      <c r="F2658">
        <v>5</v>
      </c>
      <c r="G2658">
        <v>5</v>
      </c>
    </row>
    <row r="2659" spans="1:7" x14ac:dyDescent="0.25">
      <c r="A2659" t="s">
        <v>377</v>
      </c>
      <c r="F2659">
        <v>1</v>
      </c>
      <c r="G2659">
        <v>1</v>
      </c>
    </row>
    <row r="2660" spans="1:7" x14ac:dyDescent="0.25">
      <c r="A2660" t="s">
        <v>289</v>
      </c>
      <c r="F2660">
        <v>1</v>
      </c>
      <c r="G2660">
        <v>1</v>
      </c>
    </row>
    <row r="2661" spans="1:7" x14ac:dyDescent="0.25">
      <c r="A2661" t="s">
        <v>290</v>
      </c>
      <c r="F2661">
        <v>1</v>
      </c>
      <c r="G2661">
        <v>1</v>
      </c>
    </row>
    <row r="2662" spans="1:7" x14ac:dyDescent="0.25">
      <c r="A2662" t="s">
        <v>291</v>
      </c>
      <c r="F2662">
        <v>1</v>
      </c>
      <c r="G2662">
        <v>1</v>
      </c>
    </row>
    <row r="2663" spans="1:7" x14ac:dyDescent="0.25">
      <c r="A2663" t="s">
        <v>493</v>
      </c>
      <c r="F2663">
        <v>1</v>
      </c>
      <c r="G2663">
        <v>1</v>
      </c>
    </row>
    <row r="2664" spans="1:7" x14ac:dyDescent="0.25">
      <c r="A2664" t="s">
        <v>1096</v>
      </c>
      <c r="F2664">
        <v>5</v>
      </c>
      <c r="G2664">
        <v>5</v>
      </c>
    </row>
    <row r="2665" spans="1:7" x14ac:dyDescent="0.25">
      <c r="A2665" t="s">
        <v>377</v>
      </c>
      <c r="F2665">
        <v>1</v>
      </c>
      <c r="G2665">
        <v>1</v>
      </c>
    </row>
    <row r="2666" spans="1:7" x14ac:dyDescent="0.25">
      <c r="A2666" t="s">
        <v>289</v>
      </c>
      <c r="F2666">
        <v>1</v>
      </c>
      <c r="G2666">
        <v>1</v>
      </c>
    </row>
    <row r="2667" spans="1:7" x14ac:dyDescent="0.25">
      <c r="A2667" t="s">
        <v>290</v>
      </c>
      <c r="F2667">
        <v>1</v>
      </c>
      <c r="G2667">
        <v>1</v>
      </c>
    </row>
    <row r="2668" spans="1:7" x14ac:dyDescent="0.25">
      <c r="A2668" t="s">
        <v>291</v>
      </c>
      <c r="F2668">
        <v>1</v>
      </c>
      <c r="G2668">
        <v>1</v>
      </c>
    </row>
    <row r="2669" spans="1:7" x14ac:dyDescent="0.25">
      <c r="A2669" t="s">
        <v>493</v>
      </c>
      <c r="F2669">
        <v>1</v>
      </c>
      <c r="G2669">
        <v>1</v>
      </c>
    </row>
    <row r="2670" spans="1:7" x14ac:dyDescent="0.25">
      <c r="A2670" t="s">
        <v>1097</v>
      </c>
      <c r="F2670">
        <v>5</v>
      </c>
      <c r="G2670">
        <v>5</v>
      </c>
    </row>
    <row r="2671" spans="1:7" x14ac:dyDescent="0.25">
      <c r="A2671" t="s">
        <v>377</v>
      </c>
      <c r="F2671">
        <v>1</v>
      </c>
      <c r="G2671">
        <v>1</v>
      </c>
    </row>
    <row r="2672" spans="1:7" x14ac:dyDescent="0.25">
      <c r="A2672" t="s">
        <v>289</v>
      </c>
      <c r="F2672">
        <v>1</v>
      </c>
      <c r="G2672">
        <v>1</v>
      </c>
    </row>
    <row r="2673" spans="1:7" x14ac:dyDescent="0.25">
      <c r="A2673" t="s">
        <v>290</v>
      </c>
      <c r="F2673">
        <v>1</v>
      </c>
      <c r="G2673">
        <v>1</v>
      </c>
    </row>
    <row r="2674" spans="1:7" x14ac:dyDescent="0.25">
      <c r="A2674" t="s">
        <v>291</v>
      </c>
      <c r="F2674">
        <v>1</v>
      </c>
      <c r="G2674">
        <v>1</v>
      </c>
    </row>
    <row r="2675" spans="1:7" x14ac:dyDescent="0.25">
      <c r="A2675" t="s">
        <v>493</v>
      </c>
      <c r="F2675">
        <v>1</v>
      </c>
      <c r="G2675">
        <v>1</v>
      </c>
    </row>
    <row r="2676" spans="1:7" x14ac:dyDescent="0.25">
      <c r="A2676" t="s">
        <v>1098</v>
      </c>
      <c r="F2676">
        <v>5</v>
      </c>
      <c r="G2676">
        <v>5</v>
      </c>
    </row>
    <row r="2677" spans="1:7" x14ac:dyDescent="0.25">
      <c r="A2677" t="s">
        <v>377</v>
      </c>
      <c r="F2677">
        <v>1</v>
      </c>
      <c r="G2677">
        <v>1</v>
      </c>
    </row>
    <row r="2678" spans="1:7" x14ac:dyDescent="0.25">
      <c r="A2678" t="s">
        <v>289</v>
      </c>
      <c r="F2678">
        <v>1</v>
      </c>
      <c r="G2678">
        <v>1</v>
      </c>
    </row>
    <row r="2679" spans="1:7" x14ac:dyDescent="0.25">
      <c r="A2679" t="s">
        <v>290</v>
      </c>
      <c r="F2679">
        <v>1</v>
      </c>
      <c r="G2679">
        <v>1</v>
      </c>
    </row>
    <row r="2680" spans="1:7" x14ac:dyDescent="0.25">
      <c r="A2680" t="s">
        <v>291</v>
      </c>
      <c r="F2680">
        <v>1</v>
      </c>
      <c r="G2680">
        <v>1</v>
      </c>
    </row>
    <row r="2681" spans="1:7" x14ac:dyDescent="0.25">
      <c r="A2681" t="s">
        <v>493</v>
      </c>
      <c r="F2681">
        <v>1</v>
      </c>
      <c r="G2681">
        <v>1</v>
      </c>
    </row>
    <row r="2682" spans="1:7" x14ac:dyDescent="0.25">
      <c r="A2682" t="s">
        <v>1099</v>
      </c>
      <c r="F2682">
        <v>5</v>
      </c>
      <c r="G2682">
        <v>5</v>
      </c>
    </row>
    <row r="2683" spans="1:7" x14ac:dyDescent="0.25">
      <c r="A2683" t="s">
        <v>377</v>
      </c>
      <c r="F2683">
        <v>1</v>
      </c>
      <c r="G2683">
        <v>1</v>
      </c>
    </row>
    <row r="2684" spans="1:7" x14ac:dyDescent="0.25">
      <c r="A2684" t="s">
        <v>289</v>
      </c>
      <c r="F2684">
        <v>1</v>
      </c>
      <c r="G2684">
        <v>1</v>
      </c>
    </row>
    <row r="2685" spans="1:7" x14ac:dyDescent="0.25">
      <c r="A2685" t="s">
        <v>290</v>
      </c>
      <c r="F2685">
        <v>1</v>
      </c>
      <c r="G2685">
        <v>1</v>
      </c>
    </row>
    <row r="2686" spans="1:7" x14ac:dyDescent="0.25">
      <c r="A2686" t="s">
        <v>291</v>
      </c>
      <c r="F2686">
        <v>1</v>
      </c>
      <c r="G2686">
        <v>1</v>
      </c>
    </row>
    <row r="2687" spans="1:7" x14ac:dyDescent="0.25">
      <c r="A2687" t="s">
        <v>493</v>
      </c>
      <c r="F2687">
        <v>1</v>
      </c>
      <c r="G2687">
        <v>1</v>
      </c>
    </row>
    <row r="2688" spans="1:7" x14ac:dyDescent="0.25">
      <c r="A2688" t="s">
        <v>1100</v>
      </c>
      <c r="F2688">
        <v>5</v>
      </c>
      <c r="G2688">
        <v>5</v>
      </c>
    </row>
    <row r="2689" spans="1:7" x14ac:dyDescent="0.25">
      <c r="A2689" t="s">
        <v>289</v>
      </c>
      <c r="F2689">
        <v>1</v>
      </c>
      <c r="G2689">
        <v>1</v>
      </c>
    </row>
    <row r="2690" spans="1:7" x14ac:dyDescent="0.25">
      <c r="A2690" t="s">
        <v>290</v>
      </c>
      <c r="F2690">
        <v>1</v>
      </c>
      <c r="G2690">
        <v>1</v>
      </c>
    </row>
    <row r="2691" spans="1:7" x14ac:dyDescent="0.25">
      <c r="A2691" t="s">
        <v>291</v>
      </c>
      <c r="F2691">
        <v>1</v>
      </c>
      <c r="G2691">
        <v>1</v>
      </c>
    </row>
    <row r="2692" spans="1:7" x14ac:dyDescent="0.25">
      <c r="A2692" t="s">
        <v>288</v>
      </c>
      <c r="F2692">
        <v>1</v>
      </c>
      <c r="G2692">
        <v>1</v>
      </c>
    </row>
    <row r="2693" spans="1:7" x14ac:dyDescent="0.25">
      <c r="A2693" t="s">
        <v>493</v>
      </c>
      <c r="F2693">
        <v>1</v>
      </c>
      <c r="G2693">
        <v>1</v>
      </c>
    </row>
    <row r="2694" spans="1:7" x14ac:dyDescent="0.25">
      <c r="A2694" t="s">
        <v>1101</v>
      </c>
      <c r="F2694">
        <v>5</v>
      </c>
      <c r="G2694">
        <v>5</v>
      </c>
    </row>
    <row r="2695" spans="1:7" x14ac:dyDescent="0.25">
      <c r="A2695" t="s">
        <v>377</v>
      </c>
      <c r="F2695">
        <v>1</v>
      </c>
      <c r="G2695">
        <v>1</v>
      </c>
    </row>
    <row r="2696" spans="1:7" x14ac:dyDescent="0.25">
      <c r="A2696" t="s">
        <v>289</v>
      </c>
      <c r="F2696">
        <v>1</v>
      </c>
      <c r="G2696">
        <v>1</v>
      </c>
    </row>
    <row r="2697" spans="1:7" x14ac:dyDescent="0.25">
      <c r="A2697" t="s">
        <v>290</v>
      </c>
      <c r="F2697">
        <v>1</v>
      </c>
      <c r="G2697">
        <v>1</v>
      </c>
    </row>
    <row r="2698" spans="1:7" x14ac:dyDescent="0.25">
      <c r="A2698" t="s">
        <v>291</v>
      </c>
      <c r="F2698">
        <v>1</v>
      </c>
      <c r="G2698">
        <v>1</v>
      </c>
    </row>
    <row r="2699" spans="1:7" x14ac:dyDescent="0.25">
      <c r="A2699" t="s">
        <v>493</v>
      </c>
      <c r="F2699">
        <v>1</v>
      </c>
      <c r="G2699">
        <v>1</v>
      </c>
    </row>
    <row r="2700" spans="1:7" x14ac:dyDescent="0.25">
      <c r="A2700" t="s">
        <v>1102</v>
      </c>
      <c r="F2700">
        <v>2</v>
      </c>
      <c r="G2700">
        <v>2</v>
      </c>
    </row>
    <row r="2701" spans="1:7" x14ac:dyDescent="0.25">
      <c r="A2701" t="s">
        <v>291</v>
      </c>
      <c r="F2701">
        <v>1</v>
      </c>
      <c r="G2701">
        <v>1</v>
      </c>
    </row>
    <row r="2702" spans="1:7" x14ac:dyDescent="0.25">
      <c r="A2702" t="s">
        <v>380</v>
      </c>
      <c r="F2702">
        <v>1</v>
      </c>
      <c r="G2702">
        <v>1</v>
      </c>
    </row>
    <row r="2703" spans="1:7" x14ac:dyDescent="0.25">
      <c r="A2703" t="s">
        <v>1103</v>
      </c>
      <c r="F2703">
        <v>2</v>
      </c>
      <c r="G2703">
        <v>2</v>
      </c>
    </row>
    <row r="2704" spans="1:7" x14ac:dyDescent="0.25">
      <c r="A2704" t="s">
        <v>290</v>
      </c>
      <c r="F2704">
        <v>1</v>
      </c>
      <c r="G2704">
        <v>1</v>
      </c>
    </row>
    <row r="2705" spans="1:7" x14ac:dyDescent="0.25">
      <c r="A2705" t="s">
        <v>380</v>
      </c>
      <c r="F2705">
        <v>1</v>
      </c>
      <c r="G2705">
        <v>1</v>
      </c>
    </row>
    <row r="2706" spans="1:7" x14ac:dyDescent="0.25">
      <c r="A2706" t="s">
        <v>1104</v>
      </c>
      <c r="F2706">
        <v>2</v>
      </c>
      <c r="G2706">
        <v>2</v>
      </c>
    </row>
    <row r="2707" spans="1:7" x14ac:dyDescent="0.25">
      <c r="A2707" t="s">
        <v>288</v>
      </c>
      <c r="F2707">
        <v>1</v>
      </c>
      <c r="G2707">
        <v>1</v>
      </c>
    </row>
    <row r="2708" spans="1:7" x14ac:dyDescent="0.25">
      <c r="A2708" t="s">
        <v>380</v>
      </c>
      <c r="F2708">
        <v>1</v>
      </c>
      <c r="G2708">
        <v>1</v>
      </c>
    </row>
    <row r="2709" spans="1:7" x14ac:dyDescent="0.25">
      <c r="A2709" t="s">
        <v>1105</v>
      </c>
      <c r="F2709">
        <v>5</v>
      </c>
      <c r="G2709">
        <v>5</v>
      </c>
    </row>
    <row r="2710" spans="1:7" x14ac:dyDescent="0.25">
      <c r="A2710" t="s">
        <v>377</v>
      </c>
      <c r="F2710">
        <v>1</v>
      </c>
      <c r="G2710">
        <v>1</v>
      </c>
    </row>
    <row r="2711" spans="1:7" x14ac:dyDescent="0.25">
      <c r="A2711" t="s">
        <v>289</v>
      </c>
      <c r="F2711">
        <v>1</v>
      </c>
      <c r="G2711">
        <v>1</v>
      </c>
    </row>
    <row r="2712" spans="1:7" x14ac:dyDescent="0.25">
      <c r="A2712" t="s">
        <v>290</v>
      </c>
      <c r="F2712">
        <v>1</v>
      </c>
      <c r="G2712">
        <v>1</v>
      </c>
    </row>
    <row r="2713" spans="1:7" x14ac:dyDescent="0.25">
      <c r="A2713" t="s">
        <v>291</v>
      </c>
      <c r="F2713">
        <v>1</v>
      </c>
      <c r="G2713">
        <v>1</v>
      </c>
    </row>
    <row r="2714" spans="1:7" x14ac:dyDescent="0.25">
      <c r="A2714" t="s">
        <v>493</v>
      </c>
      <c r="F2714">
        <v>1</v>
      </c>
      <c r="G2714">
        <v>1</v>
      </c>
    </row>
    <row r="2715" spans="1:7" x14ac:dyDescent="0.25">
      <c r="A2715" t="s">
        <v>1106</v>
      </c>
      <c r="F2715">
        <v>5</v>
      </c>
      <c r="G2715">
        <v>5</v>
      </c>
    </row>
    <row r="2716" spans="1:7" x14ac:dyDescent="0.25">
      <c r="A2716" t="s">
        <v>377</v>
      </c>
      <c r="F2716">
        <v>1</v>
      </c>
      <c r="G2716">
        <v>1</v>
      </c>
    </row>
    <row r="2717" spans="1:7" x14ac:dyDescent="0.25">
      <c r="A2717" t="s">
        <v>289</v>
      </c>
      <c r="F2717">
        <v>1</v>
      </c>
      <c r="G2717">
        <v>1</v>
      </c>
    </row>
    <row r="2718" spans="1:7" x14ac:dyDescent="0.25">
      <c r="A2718" t="s">
        <v>290</v>
      </c>
      <c r="F2718">
        <v>1</v>
      </c>
      <c r="G2718">
        <v>1</v>
      </c>
    </row>
    <row r="2719" spans="1:7" x14ac:dyDescent="0.25">
      <c r="A2719" t="s">
        <v>291</v>
      </c>
      <c r="F2719">
        <v>1</v>
      </c>
      <c r="G2719">
        <v>1</v>
      </c>
    </row>
    <row r="2720" spans="1:7" x14ac:dyDescent="0.25">
      <c r="A2720" t="s">
        <v>493</v>
      </c>
      <c r="F2720">
        <v>1</v>
      </c>
      <c r="G2720">
        <v>1</v>
      </c>
    </row>
    <row r="2721" spans="1:7" x14ac:dyDescent="0.25">
      <c r="A2721" t="s">
        <v>1107</v>
      </c>
      <c r="F2721">
        <v>5</v>
      </c>
      <c r="G2721">
        <v>5</v>
      </c>
    </row>
    <row r="2722" spans="1:7" x14ac:dyDescent="0.25">
      <c r="A2722" t="s">
        <v>377</v>
      </c>
      <c r="F2722">
        <v>1</v>
      </c>
      <c r="G2722">
        <v>1</v>
      </c>
    </row>
    <row r="2723" spans="1:7" x14ac:dyDescent="0.25">
      <c r="A2723" t="s">
        <v>289</v>
      </c>
      <c r="F2723">
        <v>1</v>
      </c>
      <c r="G2723">
        <v>1</v>
      </c>
    </row>
    <row r="2724" spans="1:7" x14ac:dyDescent="0.25">
      <c r="A2724" t="s">
        <v>290</v>
      </c>
      <c r="F2724">
        <v>1</v>
      </c>
      <c r="G2724">
        <v>1</v>
      </c>
    </row>
    <row r="2725" spans="1:7" x14ac:dyDescent="0.25">
      <c r="A2725" t="s">
        <v>291</v>
      </c>
      <c r="F2725">
        <v>1</v>
      </c>
      <c r="G2725">
        <v>1</v>
      </c>
    </row>
    <row r="2726" spans="1:7" x14ac:dyDescent="0.25">
      <c r="A2726" t="s">
        <v>493</v>
      </c>
      <c r="F2726">
        <v>1</v>
      </c>
      <c r="G2726">
        <v>1</v>
      </c>
    </row>
    <row r="2727" spans="1:7" x14ac:dyDescent="0.25">
      <c r="A2727" t="s">
        <v>1108</v>
      </c>
      <c r="F2727">
        <v>2</v>
      </c>
      <c r="G2727">
        <v>2</v>
      </c>
    </row>
    <row r="2728" spans="1:7" x14ac:dyDescent="0.25">
      <c r="A2728" t="s">
        <v>288</v>
      </c>
      <c r="F2728">
        <v>1</v>
      </c>
      <c r="G2728">
        <v>1</v>
      </c>
    </row>
    <row r="2729" spans="1:7" x14ac:dyDescent="0.25">
      <c r="A2729" t="s">
        <v>380</v>
      </c>
      <c r="F2729">
        <v>1</v>
      </c>
      <c r="G2729">
        <v>1</v>
      </c>
    </row>
    <row r="2730" spans="1:7" x14ac:dyDescent="0.25">
      <c r="A2730" t="s">
        <v>1109</v>
      </c>
      <c r="F2730">
        <v>4</v>
      </c>
      <c r="G2730">
        <v>4</v>
      </c>
    </row>
    <row r="2731" spans="1:7" x14ac:dyDescent="0.25">
      <c r="A2731" t="s">
        <v>377</v>
      </c>
      <c r="F2731">
        <v>1</v>
      </c>
      <c r="G2731">
        <v>1</v>
      </c>
    </row>
    <row r="2732" spans="1:7" x14ac:dyDescent="0.25">
      <c r="A2732" t="s">
        <v>289</v>
      </c>
      <c r="F2732">
        <v>1</v>
      </c>
      <c r="G2732">
        <v>1</v>
      </c>
    </row>
    <row r="2733" spans="1:7" x14ac:dyDescent="0.25">
      <c r="A2733" t="s">
        <v>291</v>
      </c>
      <c r="F2733">
        <v>1</v>
      </c>
      <c r="G2733">
        <v>1</v>
      </c>
    </row>
    <row r="2734" spans="1:7" x14ac:dyDescent="0.25">
      <c r="A2734" t="s">
        <v>380</v>
      </c>
      <c r="F2734">
        <v>1</v>
      </c>
      <c r="G2734">
        <v>1</v>
      </c>
    </row>
    <row r="2735" spans="1:7" x14ac:dyDescent="0.25">
      <c r="A2735" t="s">
        <v>1110</v>
      </c>
      <c r="F2735">
        <v>4</v>
      </c>
      <c r="G2735">
        <v>4</v>
      </c>
    </row>
    <row r="2736" spans="1:7" x14ac:dyDescent="0.25">
      <c r="A2736" t="s">
        <v>377</v>
      </c>
      <c r="F2736">
        <v>1</v>
      </c>
      <c r="G2736">
        <v>1</v>
      </c>
    </row>
    <row r="2737" spans="1:7" x14ac:dyDescent="0.25">
      <c r="A2737" t="s">
        <v>385</v>
      </c>
      <c r="F2737">
        <v>1</v>
      </c>
      <c r="G2737">
        <v>1</v>
      </c>
    </row>
    <row r="2738" spans="1:7" x14ac:dyDescent="0.25">
      <c r="A2738" t="s">
        <v>288</v>
      </c>
      <c r="F2738">
        <v>1</v>
      </c>
      <c r="G2738">
        <v>1</v>
      </c>
    </row>
    <row r="2739" spans="1:7" x14ac:dyDescent="0.25">
      <c r="A2739" t="s">
        <v>380</v>
      </c>
      <c r="F2739">
        <v>1</v>
      </c>
      <c r="G2739">
        <v>1</v>
      </c>
    </row>
    <row r="2740" spans="1:7" x14ac:dyDescent="0.25">
      <c r="A2740" t="s">
        <v>1111</v>
      </c>
      <c r="F2740">
        <v>3</v>
      </c>
      <c r="G2740">
        <v>3</v>
      </c>
    </row>
    <row r="2741" spans="1:7" x14ac:dyDescent="0.25">
      <c r="A2741" t="s">
        <v>377</v>
      </c>
      <c r="F2741">
        <v>1</v>
      </c>
      <c r="G2741">
        <v>1</v>
      </c>
    </row>
    <row r="2742" spans="1:7" x14ac:dyDescent="0.25">
      <c r="A2742" t="s">
        <v>292</v>
      </c>
      <c r="F2742">
        <v>1</v>
      </c>
      <c r="G2742">
        <v>1</v>
      </c>
    </row>
    <row r="2743" spans="1:7" x14ac:dyDescent="0.25">
      <c r="A2743" t="s">
        <v>380</v>
      </c>
      <c r="F2743">
        <v>1</v>
      </c>
      <c r="G2743">
        <v>1</v>
      </c>
    </row>
    <row r="2744" spans="1:7" x14ac:dyDescent="0.25">
      <c r="A2744" t="s">
        <v>1112</v>
      </c>
      <c r="F2744">
        <v>2</v>
      </c>
      <c r="G2744">
        <v>2</v>
      </c>
    </row>
    <row r="2745" spans="1:7" x14ac:dyDescent="0.25">
      <c r="A2745" t="s">
        <v>288</v>
      </c>
      <c r="F2745">
        <v>1</v>
      </c>
      <c r="G2745">
        <v>1</v>
      </c>
    </row>
    <row r="2746" spans="1:7" x14ac:dyDescent="0.25">
      <c r="A2746" t="s">
        <v>380</v>
      </c>
      <c r="F2746">
        <v>1</v>
      </c>
      <c r="G2746">
        <v>1</v>
      </c>
    </row>
    <row r="2747" spans="1:7" x14ac:dyDescent="0.25">
      <c r="A2747" t="s">
        <v>1113</v>
      </c>
      <c r="F2747">
        <v>2</v>
      </c>
      <c r="G2747">
        <v>2</v>
      </c>
    </row>
    <row r="2748" spans="1:7" x14ac:dyDescent="0.25">
      <c r="A2748" t="s">
        <v>288</v>
      </c>
      <c r="F2748">
        <v>1</v>
      </c>
      <c r="G2748">
        <v>1</v>
      </c>
    </row>
    <row r="2749" spans="1:7" x14ac:dyDescent="0.25">
      <c r="A2749" t="s">
        <v>380</v>
      </c>
      <c r="F2749">
        <v>1</v>
      </c>
      <c r="G2749">
        <v>1</v>
      </c>
    </row>
    <row r="2750" spans="1:7" x14ac:dyDescent="0.25">
      <c r="A2750" t="s">
        <v>1114</v>
      </c>
      <c r="F2750">
        <v>3</v>
      </c>
      <c r="G2750">
        <v>3</v>
      </c>
    </row>
    <row r="2751" spans="1:7" x14ac:dyDescent="0.25">
      <c r="A2751" t="s">
        <v>377</v>
      </c>
      <c r="F2751">
        <v>1</v>
      </c>
      <c r="G2751">
        <v>1</v>
      </c>
    </row>
    <row r="2752" spans="1:7" x14ac:dyDescent="0.25">
      <c r="A2752" t="s">
        <v>288</v>
      </c>
      <c r="F2752">
        <v>1</v>
      </c>
      <c r="G2752">
        <v>1</v>
      </c>
    </row>
    <row r="2753" spans="1:7" x14ac:dyDescent="0.25">
      <c r="A2753" t="s">
        <v>493</v>
      </c>
      <c r="F2753">
        <v>1</v>
      </c>
      <c r="G2753">
        <v>1</v>
      </c>
    </row>
    <row r="2754" spans="1:7" x14ac:dyDescent="0.25">
      <c r="A2754" t="s">
        <v>1115</v>
      </c>
      <c r="F2754">
        <v>2</v>
      </c>
      <c r="G2754">
        <v>2</v>
      </c>
    </row>
    <row r="2755" spans="1:7" x14ac:dyDescent="0.25">
      <c r="A2755" t="s">
        <v>288</v>
      </c>
      <c r="F2755">
        <v>1</v>
      </c>
      <c r="G2755">
        <v>1</v>
      </c>
    </row>
    <row r="2756" spans="1:7" x14ac:dyDescent="0.25">
      <c r="A2756" t="s">
        <v>493</v>
      </c>
      <c r="F2756">
        <v>1</v>
      </c>
      <c r="G2756">
        <v>1</v>
      </c>
    </row>
    <row r="2757" spans="1:7" x14ac:dyDescent="0.25">
      <c r="A2757" t="s">
        <v>1116</v>
      </c>
      <c r="F2757">
        <v>5</v>
      </c>
      <c r="G2757">
        <v>5</v>
      </c>
    </row>
    <row r="2758" spans="1:7" x14ac:dyDescent="0.25">
      <c r="A2758" t="s">
        <v>377</v>
      </c>
      <c r="F2758">
        <v>1</v>
      </c>
      <c r="G2758">
        <v>1</v>
      </c>
    </row>
    <row r="2759" spans="1:7" x14ac:dyDescent="0.25">
      <c r="A2759" t="s">
        <v>289</v>
      </c>
      <c r="F2759">
        <v>1</v>
      </c>
      <c r="G2759">
        <v>1</v>
      </c>
    </row>
    <row r="2760" spans="1:7" x14ac:dyDescent="0.25">
      <c r="A2760" t="s">
        <v>290</v>
      </c>
      <c r="F2760">
        <v>1</v>
      </c>
      <c r="G2760">
        <v>1</v>
      </c>
    </row>
    <row r="2761" spans="1:7" x14ac:dyDescent="0.25">
      <c r="A2761" t="s">
        <v>291</v>
      </c>
      <c r="F2761">
        <v>1</v>
      </c>
      <c r="G2761">
        <v>1</v>
      </c>
    </row>
    <row r="2762" spans="1:7" x14ac:dyDescent="0.25">
      <c r="A2762" t="s">
        <v>493</v>
      </c>
      <c r="F2762">
        <v>1</v>
      </c>
      <c r="G2762">
        <v>1</v>
      </c>
    </row>
    <row r="2763" spans="1:7" x14ac:dyDescent="0.25">
      <c r="A2763" t="s">
        <v>1117</v>
      </c>
      <c r="F2763">
        <v>2</v>
      </c>
      <c r="G2763">
        <v>2</v>
      </c>
    </row>
    <row r="2764" spans="1:7" x14ac:dyDescent="0.25">
      <c r="A2764" t="s">
        <v>289</v>
      </c>
      <c r="F2764">
        <v>1</v>
      </c>
      <c r="G2764">
        <v>1</v>
      </c>
    </row>
    <row r="2765" spans="1:7" x14ac:dyDescent="0.25">
      <c r="A2765" t="s">
        <v>380</v>
      </c>
      <c r="F2765">
        <v>1</v>
      </c>
      <c r="G2765">
        <v>1</v>
      </c>
    </row>
    <row r="2766" spans="1:7" x14ac:dyDescent="0.25">
      <c r="A2766" t="s">
        <v>1118</v>
      </c>
      <c r="F2766">
        <v>2</v>
      </c>
      <c r="G2766">
        <v>2</v>
      </c>
    </row>
    <row r="2767" spans="1:7" x14ac:dyDescent="0.25">
      <c r="A2767" t="s">
        <v>292</v>
      </c>
      <c r="F2767">
        <v>1</v>
      </c>
      <c r="G2767">
        <v>1</v>
      </c>
    </row>
    <row r="2768" spans="1:7" x14ac:dyDescent="0.25">
      <c r="A2768" t="s">
        <v>380</v>
      </c>
      <c r="F2768">
        <v>1</v>
      </c>
      <c r="G2768">
        <v>1</v>
      </c>
    </row>
    <row r="2769" spans="1:7" x14ac:dyDescent="0.25">
      <c r="A2769" t="s">
        <v>1119</v>
      </c>
      <c r="F2769">
        <v>2</v>
      </c>
      <c r="G2769">
        <v>2</v>
      </c>
    </row>
    <row r="2770" spans="1:7" x14ac:dyDescent="0.25">
      <c r="A2770" t="s">
        <v>367</v>
      </c>
      <c r="F2770">
        <v>1</v>
      </c>
      <c r="G2770">
        <v>1</v>
      </c>
    </row>
    <row r="2771" spans="1:7" x14ac:dyDescent="0.25">
      <c r="A2771" t="s">
        <v>935</v>
      </c>
      <c r="F2771">
        <v>1</v>
      </c>
      <c r="G2771">
        <v>1</v>
      </c>
    </row>
    <row r="2772" spans="1:7" x14ac:dyDescent="0.25">
      <c r="A2772" t="s">
        <v>1120</v>
      </c>
      <c r="F2772">
        <v>2</v>
      </c>
      <c r="G2772">
        <v>2</v>
      </c>
    </row>
    <row r="2773" spans="1:7" x14ac:dyDescent="0.25">
      <c r="A2773" t="s">
        <v>367</v>
      </c>
      <c r="F2773">
        <v>1</v>
      </c>
      <c r="G2773">
        <v>1</v>
      </c>
    </row>
    <row r="2774" spans="1:7" x14ac:dyDescent="0.25">
      <c r="A2774" t="s">
        <v>935</v>
      </c>
      <c r="F2774">
        <v>1</v>
      </c>
      <c r="G2774">
        <v>1</v>
      </c>
    </row>
    <row r="2775" spans="1:7" x14ac:dyDescent="0.25">
      <c r="A2775" t="s">
        <v>1121</v>
      </c>
      <c r="F2775">
        <v>3</v>
      </c>
      <c r="G2775">
        <v>3</v>
      </c>
    </row>
    <row r="2776" spans="1:7" x14ac:dyDescent="0.25">
      <c r="A2776" t="s">
        <v>377</v>
      </c>
      <c r="F2776">
        <v>1</v>
      </c>
      <c r="G2776">
        <v>1</v>
      </c>
    </row>
    <row r="2777" spans="1:7" x14ac:dyDescent="0.25">
      <c r="A2777" t="s">
        <v>292</v>
      </c>
      <c r="F2777">
        <v>1</v>
      </c>
      <c r="G2777">
        <v>1</v>
      </c>
    </row>
    <row r="2778" spans="1:7" x14ac:dyDescent="0.25">
      <c r="A2778" t="s">
        <v>380</v>
      </c>
      <c r="F2778">
        <v>1</v>
      </c>
      <c r="G2778">
        <v>1</v>
      </c>
    </row>
    <row r="2779" spans="1:7" x14ac:dyDescent="0.25">
      <c r="A2779" t="s">
        <v>1122</v>
      </c>
      <c r="F2779">
        <v>4</v>
      </c>
      <c r="G2779">
        <v>4</v>
      </c>
    </row>
    <row r="2780" spans="1:7" x14ac:dyDescent="0.25">
      <c r="A2780" t="s">
        <v>289</v>
      </c>
      <c r="F2780">
        <v>1</v>
      </c>
      <c r="G2780">
        <v>1</v>
      </c>
    </row>
    <row r="2781" spans="1:7" x14ac:dyDescent="0.25">
      <c r="A2781" t="s">
        <v>290</v>
      </c>
      <c r="F2781">
        <v>1</v>
      </c>
      <c r="G2781">
        <v>1</v>
      </c>
    </row>
    <row r="2782" spans="1:7" x14ac:dyDescent="0.25">
      <c r="A2782" t="s">
        <v>291</v>
      </c>
      <c r="F2782">
        <v>1</v>
      </c>
      <c r="G2782">
        <v>1</v>
      </c>
    </row>
    <row r="2783" spans="1:7" x14ac:dyDescent="0.25">
      <c r="A2783" t="s">
        <v>493</v>
      </c>
      <c r="F2783">
        <v>1</v>
      </c>
      <c r="G2783">
        <v>1</v>
      </c>
    </row>
    <row r="2784" spans="1:7" x14ac:dyDescent="0.25">
      <c r="A2784" t="s">
        <v>1123</v>
      </c>
      <c r="F2784">
        <v>5</v>
      </c>
      <c r="G2784">
        <v>5</v>
      </c>
    </row>
    <row r="2785" spans="1:7" x14ac:dyDescent="0.25">
      <c r="A2785" t="s">
        <v>377</v>
      </c>
      <c r="F2785">
        <v>1</v>
      </c>
      <c r="G2785">
        <v>1</v>
      </c>
    </row>
    <row r="2786" spans="1:7" x14ac:dyDescent="0.25">
      <c r="A2786" t="s">
        <v>293</v>
      </c>
      <c r="F2786">
        <v>1</v>
      </c>
      <c r="G2786">
        <v>1</v>
      </c>
    </row>
    <row r="2787" spans="1:7" x14ac:dyDescent="0.25">
      <c r="A2787" t="s">
        <v>295</v>
      </c>
      <c r="F2787">
        <v>1</v>
      </c>
      <c r="G2787">
        <v>1</v>
      </c>
    </row>
    <row r="2788" spans="1:7" x14ac:dyDescent="0.25">
      <c r="A2788" t="s">
        <v>297</v>
      </c>
      <c r="F2788">
        <v>1</v>
      </c>
      <c r="G2788">
        <v>1</v>
      </c>
    </row>
    <row r="2789" spans="1:7" x14ac:dyDescent="0.25">
      <c r="A2789" t="s">
        <v>493</v>
      </c>
      <c r="F2789">
        <v>1</v>
      </c>
      <c r="G2789">
        <v>1</v>
      </c>
    </row>
    <row r="2790" spans="1:7" x14ac:dyDescent="0.25">
      <c r="A2790" t="s">
        <v>1124</v>
      </c>
      <c r="F2790">
        <v>5</v>
      </c>
      <c r="G2790">
        <v>5</v>
      </c>
    </row>
    <row r="2791" spans="1:7" x14ac:dyDescent="0.25">
      <c r="A2791" t="s">
        <v>377</v>
      </c>
      <c r="F2791">
        <v>1</v>
      </c>
      <c r="G2791">
        <v>1</v>
      </c>
    </row>
    <row r="2792" spans="1:7" x14ac:dyDescent="0.25">
      <c r="A2792" t="s">
        <v>293</v>
      </c>
      <c r="F2792">
        <v>1</v>
      </c>
      <c r="G2792">
        <v>1</v>
      </c>
    </row>
    <row r="2793" spans="1:7" x14ac:dyDescent="0.25">
      <c r="A2793" t="s">
        <v>295</v>
      </c>
      <c r="F2793">
        <v>1</v>
      </c>
      <c r="G2793">
        <v>1</v>
      </c>
    </row>
    <row r="2794" spans="1:7" x14ac:dyDescent="0.25">
      <c r="A2794" t="s">
        <v>297</v>
      </c>
      <c r="F2794">
        <v>1</v>
      </c>
      <c r="G2794">
        <v>1</v>
      </c>
    </row>
    <row r="2795" spans="1:7" x14ac:dyDescent="0.25">
      <c r="A2795" t="s">
        <v>493</v>
      </c>
      <c r="F2795">
        <v>1</v>
      </c>
      <c r="G2795">
        <v>1</v>
      </c>
    </row>
    <row r="2796" spans="1:7" x14ac:dyDescent="0.25">
      <c r="A2796" t="s">
        <v>1125</v>
      </c>
      <c r="F2796">
        <v>3</v>
      </c>
      <c r="G2796">
        <v>3</v>
      </c>
    </row>
    <row r="2797" spans="1:7" x14ac:dyDescent="0.25">
      <c r="A2797" t="s">
        <v>377</v>
      </c>
      <c r="F2797">
        <v>1</v>
      </c>
      <c r="G2797">
        <v>1</v>
      </c>
    </row>
    <row r="2798" spans="1:7" x14ac:dyDescent="0.25">
      <c r="A2798" t="s">
        <v>288</v>
      </c>
      <c r="F2798">
        <v>1</v>
      </c>
      <c r="G2798">
        <v>1</v>
      </c>
    </row>
    <row r="2799" spans="1:7" x14ac:dyDescent="0.25">
      <c r="A2799" t="s">
        <v>493</v>
      </c>
      <c r="F2799">
        <v>1</v>
      </c>
      <c r="G2799">
        <v>1</v>
      </c>
    </row>
    <row r="2800" spans="1:7" x14ac:dyDescent="0.25">
      <c r="A2800" t="s">
        <v>1126</v>
      </c>
      <c r="F2800">
        <v>3</v>
      </c>
      <c r="G2800">
        <v>3</v>
      </c>
    </row>
    <row r="2801" spans="1:7" x14ac:dyDescent="0.25">
      <c r="A2801" t="s">
        <v>377</v>
      </c>
      <c r="F2801">
        <v>1</v>
      </c>
      <c r="G2801">
        <v>1</v>
      </c>
    </row>
    <row r="2802" spans="1:7" x14ac:dyDescent="0.25">
      <c r="A2802" t="s">
        <v>288</v>
      </c>
      <c r="F2802">
        <v>1</v>
      </c>
      <c r="G2802">
        <v>1</v>
      </c>
    </row>
    <row r="2803" spans="1:7" x14ac:dyDescent="0.25">
      <c r="A2803" t="s">
        <v>493</v>
      </c>
      <c r="F2803">
        <v>1</v>
      </c>
      <c r="G2803">
        <v>1</v>
      </c>
    </row>
    <row r="2804" spans="1:7" x14ac:dyDescent="0.25">
      <c r="A2804" t="s">
        <v>1127</v>
      </c>
      <c r="F2804">
        <v>5</v>
      </c>
      <c r="G2804">
        <v>5</v>
      </c>
    </row>
    <row r="2805" spans="1:7" x14ac:dyDescent="0.25">
      <c r="A2805" t="s">
        <v>377</v>
      </c>
      <c r="F2805">
        <v>1</v>
      </c>
      <c r="G2805">
        <v>1</v>
      </c>
    </row>
    <row r="2806" spans="1:7" x14ac:dyDescent="0.25">
      <c r="A2806" t="s">
        <v>293</v>
      </c>
      <c r="F2806">
        <v>1</v>
      </c>
      <c r="G2806">
        <v>1</v>
      </c>
    </row>
    <row r="2807" spans="1:7" x14ac:dyDescent="0.25">
      <c r="A2807" t="s">
        <v>295</v>
      </c>
      <c r="F2807">
        <v>1</v>
      </c>
      <c r="G2807">
        <v>1</v>
      </c>
    </row>
    <row r="2808" spans="1:7" x14ac:dyDescent="0.25">
      <c r="A2808" t="s">
        <v>297</v>
      </c>
      <c r="F2808">
        <v>1</v>
      </c>
      <c r="G2808">
        <v>1</v>
      </c>
    </row>
    <row r="2809" spans="1:7" x14ac:dyDescent="0.25">
      <c r="A2809" t="s">
        <v>493</v>
      </c>
      <c r="F2809">
        <v>1</v>
      </c>
      <c r="G2809">
        <v>1</v>
      </c>
    </row>
    <row r="2810" spans="1:7" x14ac:dyDescent="0.25">
      <c r="A2810" t="s">
        <v>1128</v>
      </c>
      <c r="F2810">
        <v>3</v>
      </c>
      <c r="G2810">
        <v>3</v>
      </c>
    </row>
    <row r="2811" spans="1:7" x14ac:dyDescent="0.25">
      <c r="A2811" t="s">
        <v>377</v>
      </c>
      <c r="F2811">
        <v>1</v>
      </c>
      <c r="G2811">
        <v>1</v>
      </c>
    </row>
    <row r="2812" spans="1:7" x14ac:dyDescent="0.25">
      <c r="A2812" t="s">
        <v>289</v>
      </c>
      <c r="F2812">
        <v>1</v>
      </c>
      <c r="G2812">
        <v>1</v>
      </c>
    </row>
    <row r="2813" spans="1:7" x14ac:dyDescent="0.25">
      <c r="A2813" t="s">
        <v>380</v>
      </c>
      <c r="F2813">
        <v>1</v>
      </c>
      <c r="G2813">
        <v>1</v>
      </c>
    </row>
    <row r="2814" spans="1:7" x14ac:dyDescent="0.25">
      <c r="A2814" t="s">
        <v>1129</v>
      </c>
      <c r="F2814">
        <v>5</v>
      </c>
      <c r="G2814">
        <v>5</v>
      </c>
    </row>
    <row r="2815" spans="1:7" x14ac:dyDescent="0.25">
      <c r="A2815" t="s">
        <v>377</v>
      </c>
      <c r="F2815">
        <v>1</v>
      </c>
      <c r="G2815">
        <v>1</v>
      </c>
    </row>
    <row r="2816" spans="1:7" x14ac:dyDescent="0.25">
      <c r="A2816" t="s">
        <v>289</v>
      </c>
      <c r="F2816">
        <v>1</v>
      </c>
      <c r="G2816">
        <v>1</v>
      </c>
    </row>
    <row r="2817" spans="1:7" x14ac:dyDescent="0.25">
      <c r="A2817" t="s">
        <v>290</v>
      </c>
      <c r="F2817">
        <v>1</v>
      </c>
      <c r="G2817">
        <v>1</v>
      </c>
    </row>
    <row r="2818" spans="1:7" x14ac:dyDescent="0.25">
      <c r="A2818" t="s">
        <v>291</v>
      </c>
      <c r="F2818">
        <v>1</v>
      </c>
      <c r="G2818">
        <v>1</v>
      </c>
    </row>
    <row r="2819" spans="1:7" x14ac:dyDescent="0.25">
      <c r="A2819" t="s">
        <v>493</v>
      </c>
      <c r="F2819">
        <v>1</v>
      </c>
      <c r="G2819">
        <v>1</v>
      </c>
    </row>
    <row r="2820" spans="1:7" x14ac:dyDescent="0.25">
      <c r="A2820" t="s">
        <v>1130</v>
      </c>
      <c r="F2820">
        <v>5</v>
      </c>
      <c r="G2820">
        <v>5</v>
      </c>
    </row>
    <row r="2821" spans="1:7" x14ac:dyDescent="0.25">
      <c r="A2821" t="s">
        <v>377</v>
      </c>
      <c r="F2821">
        <v>1</v>
      </c>
      <c r="G2821">
        <v>1</v>
      </c>
    </row>
    <row r="2822" spans="1:7" x14ac:dyDescent="0.25">
      <c r="A2822" t="s">
        <v>293</v>
      </c>
      <c r="F2822">
        <v>1</v>
      </c>
      <c r="G2822">
        <v>1</v>
      </c>
    </row>
    <row r="2823" spans="1:7" x14ac:dyDescent="0.25">
      <c r="A2823" t="s">
        <v>295</v>
      </c>
      <c r="F2823">
        <v>1</v>
      </c>
      <c r="G2823">
        <v>1</v>
      </c>
    </row>
    <row r="2824" spans="1:7" x14ac:dyDescent="0.25">
      <c r="A2824" t="s">
        <v>297</v>
      </c>
      <c r="F2824">
        <v>1</v>
      </c>
      <c r="G2824">
        <v>1</v>
      </c>
    </row>
    <row r="2825" spans="1:7" x14ac:dyDescent="0.25">
      <c r="A2825" t="s">
        <v>493</v>
      </c>
      <c r="F2825">
        <v>1</v>
      </c>
      <c r="G2825">
        <v>1</v>
      </c>
    </row>
    <row r="2826" spans="1:7" x14ac:dyDescent="0.25">
      <c r="A2826" t="s">
        <v>1131</v>
      </c>
      <c r="F2826">
        <v>3</v>
      </c>
      <c r="G2826">
        <v>3</v>
      </c>
    </row>
    <row r="2827" spans="1:7" x14ac:dyDescent="0.25">
      <c r="A2827" t="s">
        <v>377</v>
      </c>
      <c r="F2827">
        <v>1</v>
      </c>
      <c r="G2827">
        <v>1</v>
      </c>
    </row>
    <row r="2828" spans="1:7" x14ac:dyDescent="0.25">
      <c r="A2828" t="s">
        <v>288</v>
      </c>
      <c r="F2828">
        <v>1</v>
      </c>
      <c r="G2828">
        <v>1</v>
      </c>
    </row>
    <row r="2829" spans="1:7" x14ac:dyDescent="0.25">
      <c r="A2829" t="s">
        <v>493</v>
      </c>
      <c r="F2829">
        <v>1</v>
      </c>
      <c r="G2829">
        <v>1</v>
      </c>
    </row>
    <row r="2830" spans="1:7" x14ac:dyDescent="0.25">
      <c r="A2830" t="s">
        <v>1132</v>
      </c>
      <c r="F2830">
        <v>2</v>
      </c>
      <c r="G2830">
        <v>2</v>
      </c>
    </row>
    <row r="2831" spans="1:7" x14ac:dyDescent="0.25">
      <c r="A2831" t="s">
        <v>288</v>
      </c>
      <c r="F2831">
        <v>1</v>
      </c>
      <c r="G2831">
        <v>1</v>
      </c>
    </row>
    <row r="2832" spans="1:7" x14ac:dyDescent="0.25">
      <c r="A2832" t="s">
        <v>380</v>
      </c>
      <c r="F2832">
        <v>1</v>
      </c>
      <c r="G2832">
        <v>1</v>
      </c>
    </row>
    <row r="2833" spans="1:7" x14ac:dyDescent="0.25">
      <c r="A2833" t="s">
        <v>1133</v>
      </c>
      <c r="F2833">
        <v>2</v>
      </c>
      <c r="G2833">
        <v>2</v>
      </c>
    </row>
    <row r="2834" spans="1:7" x14ac:dyDescent="0.25">
      <c r="A2834" t="s">
        <v>288</v>
      </c>
      <c r="F2834">
        <v>1</v>
      </c>
      <c r="G2834">
        <v>1</v>
      </c>
    </row>
    <row r="2835" spans="1:7" x14ac:dyDescent="0.25">
      <c r="A2835" t="s">
        <v>380</v>
      </c>
      <c r="F2835">
        <v>1</v>
      </c>
      <c r="G2835">
        <v>1</v>
      </c>
    </row>
    <row r="2836" spans="1:7" x14ac:dyDescent="0.25">
      <c r="A2836" t="s">
        <v>1134</v>
      </c>
      <c r="F2836">
        <v>2</v>
      </c>
      <c r="G2836">
        <v>2</v>
      </c>
    </row>
    <row r="2837" spans="1:7" x14ac:dyDescent="0.25">
      <c r="A2837" t="s">
        <v>292</v>
      </c>
      <c r="F2837">
        <v>1</v>
      </c>
      <c r="G2837">
        <v>1</v>
      </c>
    </row>
    <row r="2838" spans="1:7" x14ac:dyDescent="0.25">
      <c r="A2838" t="s">
        <v>380</v>
      </c>
      <c r="F2838">
        <v>1</v>
      </c>
      <c r="G2838">
        <v>1</v>
      </c>
    </row>
    <row r="2839" spans="1:7" x14ac:dyDescent="0.25">
      <c r="A2839" t="s">
        <v>1135</v>
      </c>
      <c r="F2839">
        <v>2</v>
      </c>
      <c r="G2839">
        <v>2</v>
      </c>
    </row>
    <row r="2840" spans="1:7" x14ac:dyDescent="0.25">
      <c r="A2840" t="s">
        <v>367</v>
      </c>
      <c r="F2840">
        <v>1</v>
      </c>
      <c r="G2840">
        <v>1</v>
      </c>
    </row>
    <row r="2841" spans="1:7" x14ac:dyDescent="0.25">
      <c r="A2841" t="s">
        <v>935</v>
      </c>
      <c r="F2841">
        <v>1</v>
      </c>
      <c r="G2841">
        <v>1</v>
      </c>
    </row>
    <row r="2842" spans="1:7" x14ac:dyDescent="0.25">
      <c r="A2842" t="s">
        <v>1136</v>
      </c>
      <c r="F2842">
        <v>4</v>
      </c>
      <c r="G2842">
        <v>4</v>
      </c>
    </row>
    <row r="2843" spans="1:7" x14ac:dyDescent="0.25">
      <c r="A2843" t="s">
        <v>377</v>
      </c>
      <c r="F2843">
        <v>1</v>
      </c>
      <c r="G2843">
        <v>1</v>
      </c>
    </row>
    <row r="2844" spans="1:7" x14ac:dyDescent="0.25">
      <c r="A2844" t="s">
        <v>290</v>
      </c>
      <c r="F2844">
        <v>1</v>
      </c>
      <c r="G2844">
        <v>1</v>
      </c>
    </row>
    <row r="2845" spans="1:7" x14ac:dyDescent="0.25">
      <c r="A2845" t="s">
        <v>291</v>
      </c>
      <c r="F2845">
        <v>1</v>
      </c>
      <c r="G2845">
        <v>1</v>
      </c>
    </row>
    <row r="2846" spans="1:7" x14ac:dyDescent="0.25">
      <c r="A2846" t="s">
        <v>380</v>
      </c>
      <c r="F2846">
        <v>1</v>
      </c>
      <c r="G2846">
        <v>1</v>
      </c>
    </row>
    <row r="2847" spans="1:7" x14ac:dyDescent="0.25">
      <c r="A2847" t="s">
        <v>1137</v>
      </c>
      <c r="F2847">
        <v>2</v>
      </c>
      <c r="G2847">
        <v>2</v>
      </c>
    </row>
    <row r="2848" spans="1:7" x14ac:dyDescent="0.25">
      <c r="A2848" t="s">
        <v>288</v>
      </c>
      <c r="F2848">
        <v>1</v>
      </c>
      <c r="G2848">
        <v>1</v>
      </c>
    </row>
    <row r="2849" spans="1:7" x14ac:dyDescent="0.25">
      <c r="A2849" t="s">
        <v>380</v>
      </c>
      <c r="F2849">
        <v>1</v>
      </c>
      <c r="G2849">
        <v>1</v>
      </c>
    </row>
    <row r="2850" spans="1:7" x14ac:dyDescent="0.25">
      <c r="A2850" t="s">
        <v>1138</v>
      </c>
      <c r="F2850">
        <v>3</v>
      </c>
      <c r="G2850">
        <v>3</v>
      </c>
    </row>
    <row r="2851" spans="1:7" x14ac:dyDescent="0.25">
      <c r="A2851" t="s">
        <v>289</v>
      </c>
      <c r="F2851">
        <v>1</v>
      </c>
      <c r="G2851">
        <v>1</v>
      </c>
    </row>
    <row r="2852" spans="1:7" x14ac:dyDescent="0.25">
      <c r="A2852" t="s">
        <v>291</v>
      </c>
      <c r="F2852">
        <v>1</v>
      </c>
      <c r="G2852">
        <v>1</v>
      </c>
    </row>
    <row r="2853" spans="1:7" x14ac:dyDescent="0.25">
      <c r="A2853" t="s">
        <v>380</v>
      </c>
      <c r="F2853">
        <v>1</v>
      </c>
      <c r="G2853">
        <v>1</v>
      </c>
    </row>
    <row r="2854" spans="1:7" x14ac:dyDescent="0.25">
      <c r="A2854" t="s">
        <v>1139</v>
      </c>
      <c r="F2854">
        <v>2</v>
      </c>
      <c r="G2854">
        <v>2</v>
      </c>
    </row>
    <row r="2855" spans="1:7" x14ac:dyDescent="0.25">
      <c r="A2855" t="s">
        <v>288</v>
      </c>
      <c r="F2855">
        <v>1</v>
      </c>
      <c r="G2855">
        <v>1</v>
      </c>
    </row>
    <row r="2856" spans="1:7" x14ac:dyDescent="0.25">
      <c r="A2856" t="s">
        <v>380</v>
      </c>
      <c r="F2856">
        <v>1</v>
      </c>
      <c r="G2856">
        <v>1</v>
      </c>
    </row>
    <row r="2857" spans="1:7" x14ac:dyDescent="0.25">
      <c r="A2857" t="s">
        <v>1140</v>
      </c>
      <c r="F2857">
        <v>2</v>
      </c>
      <c r="G2857">
        <v>2</v>
      </c>
    </row>
    <row r="2858" spans="1:7" x14ac:dyDescent="0.25">
      <c r="A2858" t="s">
        <v>288</v>
      </c>
      <c r="F2858">
        <v>1</v>
      </c>
      <c r="G2858">
        <v>1</v>
      </c>
    </row>
    <row r="2859" spans="1:7" x14ac:dyDescent="0.25">
      <c r="A2859" t="s">
        <v>380</v>
      </c>
      <c r="F2859">
        <v>1</v>
      </c>
      <c r="G2859">
        <v>1</v>
      </c>
    </row>
    <row r="2860" spans="1:7" x14ac:dyDescent="0.25">
      <c r="A2860" t="s">
        <v>1141</v>
      </c>
      <c r="F2860">
        <v>2</v>
      </c>
      <c r="G2860">
        <v>2</v>
      </c>
    </row>
    <row r="2861" spans="1:7" x14ac:dyDescent="0.25">
      <c r="A2861" t="s">
        <v>291</v>
      </c>
      <c r="F2861">
        <v>1</v>
      </c>
      <c r="G2861">
        <v>1</v>
      </c>
    </row>
    <row r="2862" spans="1:7" x14ac:dyDescent="0.25">
      <c r="A2862" t="s">
        <v>380</v>
      </c>
      <c r="F2862">
        <v>1</v>
      </c>
      <c r="G2862">
        <v>1</v>
      </c>
    </row>
    <row r="2863" spans="1:7" x14ac:dyDescent="0.25">
      <c r="A2863" t="s">
        <v>1142</v>
      </c>
      <c r="F2863">
        <v>2</v>
      </c>
      <c r="G2863">
        <v>2</v>
      </c>
    </row>
    <row r="2864" spans="1:7" x14ac:dyDescent="0.25">
      <c r="A2864" t="s">
        <v>291</v>
      </c>
      <c r="F2864">
        <v>1</v>
      </c>
      <c r="G2864">
        <v>1</v>
      </c>
    </row>
    <row r="2865" spans="1:7" x14ac:dyDescent="0.25">
      <c r="A2865" t="s">
        <v>380</v>
      </c>
      <c r="F2865">
        <v>1</v>
      </c>
      <c r="G2865">
        <v>1</v>
      </c>
    </row>
    <row r="2866" spans="1:7" x14ac:dyDescent="0.25">
      <c r="A2866" t="s">
        <v>1143</v>
      </c>
      <c r="F2866">
        <v>2</v>
      </c>
      <c r="G2866">
        <v>2</v>
      </c>
    </row>
    <row r="2867" spans="1:7" x14ac:dyDescent="0.25">
      <c r="A2867" t="s">
        <v>292</v>
      </c>
      <c r="F2867">
        <v>1</v>
      </c>
      <c r="G2867">
        <v>1</v>
      </c>
    </row>
    <row r="2868" spans="1:7" x14ac:dyDescent="0.25">
      <c r="A2868" t="s">
        <v>380</v>
      </c>
      <c r="F2868">
        <v>1</v>
      </c>
      <c r="G2868">
        <v>1</v>
      </c>
    </row>
    <row r="2869" spans="1:7" x14ac:dyDescent="0.25">
      <c r="A2869" t="s">
        <v>1144</v>
      </c>
      <c r="F2869">
        <v>2</v>
      </c>
      <c r="G2869">
        <v>2</v>
      </c>
    </row>
    <row r="2870" spans="1:7" x14ac:dyDescent="0.25">
      <c r="A2870" t="s">
        <v>367</v>
      </c>
      <c r="F2870">
        <v>1</v>
      </c>
      <c r="G2870">
        <v>1</v>
      </c>
    </row>
    <row r="2871" spans="1:7" x14ac:dyDescent="0.25">
      <c r="A2871" t="s">
        <v>935</v>
      </c>
      <c r="F2871">
        <v>1</v>
      </c>
      <c r="G2871">
        <v>1</v>
      </c>
    </row>
    <row r="2872" spans="1:7" x14ac:dyDescent="0.25">
      <c r="A2872" t="s">
        <v>1145</v>
      </c>
      <c r="F2872">
        <v>2</v>
      </c>
      <c r="G2872">
        <v>2</v>
      </c>
    </row>
    <row r="2873" spans="1:7" x14ac:dyDescent="0.25">
      <c r="A2873" t="s">
        <v>288</v>
      </c>
      <c r="F2873">
        <v>1</v>
      </c>
      <c r="G2873">
        <v>1</v>
      </c>
    </row>
    <row r="2874" spans="1:7" x14ac:dyDescent="0.25">
      <c r="A2874" t="s">
        <v>380</v>
      </c>
      <c r="F2874">
        <v>1</v>
      </c>
      <c r="G2874">
        <v>1</v>
      </c>
    </row>
    <row r="2875" spans="1:7" x14ac:dyDescent="0.25">
      <c r="A2875" t="s">
        <v>1146</v>
      </c>
      <c r="F2875">
        <v>3</v>
      </c>
      <c r="G2875">
        <v>3</v>
      </c>
    </row>
    <row r="2876" spans="1:7" x14ac:dyDescent="0.25">
      <c r="A2876" t="s">
        <v>377</v>
      </c>
      <c r="F2876">
        <v>1</v>
      </c>
      <c r="G2876">
        <v>1</v>
      </c>
    </row>
    <row r="2877" spans="1:7" x14ac:dyDescent="0.25">
      <c r="A2877" t="s">
        <v>288</v>
      </c>
      <c r="F2877">
        <v>1</v>
      </c>
      <c r="G2877">
        <v>1</v>
      </c>
    </row>
    <row r="2878" spans="1:7" x14ac:dyDescent="0.25">
      <c r="A2878" t="s">
        <v>380</v>
      </c>
      <c r="F2878">
        <v>1</v>
      </c>
      <c r="G2878">
        <v>1</v>
      </c>
    </row>
    <row r="2879" spans="1:7" x14ac:dyDescent="0.25">
      <c r="A2879" t="s">
        <v>1147</v>
      </c>
      <c r="F2879">
        <v>3</v>
      </c>
      <c r="G2879">
        <v>3</v>
      </c>
    </row>
    <row r="2880" spans="1:7" x14ac:dyDescent="0.25">
      <c r="A2880" t="s">
        <v>377</v>
      </c>
      <c r="F2880">
        <v>1</v>
      </c>
      <c r="G2880">
        <v>1</v>
      </c>
    </row>
    <row r="2881" spans="1:7" x14ac:dyDescent="0.25">
      <c r="A2881" t="s">
        <v>288</v>
      </c>
      <c r="F2881">
        <v>1</v>
      </c>
      <c r="G2881">
        <v>1</v>
      </c>
    </row>
    <row r="2882" spans="1:7" x14ac:dyDescent="0.25">
      <c r="A2882" t="s">
        <v>380</v>
      </c>
      <c r="F2882">
        <v>1</v>
      </c>
      <c r="G2882">
        <v>1</v>
      </c>
    </row>
    <row r="2883" spans="1:7" x14ac:dyDescent="0.25">
      <c r="A2883" t="s">
        <v>1148</v>
      </c>
      <c r="F2883">
        <v>5</v>
      </c>
      <c r="G2883">
        <v>5</v>
      </c>
    </row>
    <row r="2884" spans="1:7" x14ac:dyDescent="0.25">
      <c r="A2884" t="s">
        <v>377</v>
      </c>
      <c r="F2884">
        <v>1</v>
      </c>
      <c r="G2884">
        <v>1</v>
      </c>
    </row>
    <row r="2885" spans="1:7" x14ac:dyDescent="0.25">
      <c r="A2885" t="s">
        <v>289</v>
      </c>
      <c r="F2885">
        <v>1</v>
      </c>
      <c r="G2885">
        <v>1</v>
      </c>
    </row>
    <row r="2886" spans="1:7" x14ac:dyDescent="0.25">
      <c r="A2886" t="s">
        <v>290</v>
      </c>
      <c r="F2886">
        <v>1</v>
      </c>
      <c r="G2886">
        <v>1</v>
      </c>
    </row>
    <row r="2887" spans="1:7" x14ac:dyDescent="0.25">
      <c r="A2887" t="s">
        <v>291</v>
      </c>
      <c r="F2887">
        <v>1</v>
      </c>
      <c r="G2887">
        <v>1</v>
      </c>
    </row>
    <row r="2888" spans="1:7" x14ac:dyDescent="0.25">
      <c r="A2888" t="s">
        <v>493</v>
      </c>
      <c r="F2888">
        <v>1</v>
      </c>
      <c r="G2888">
        <v>1</v>
      </c>
    </row>
    <row r="2889" spans="1:7" x14ac:dyDescent="0.25">
      <c r="A2889" t="s">
        <v>1149</v>
      </c>
      <c r="F2889">
        <v>3</v>
      </c>
      <c r="G2889">
        <v>3</v>
      </c>
    </row>
    <row r="2890" spans="1:7" x14ac:dyDescent="0.25">
      <c r="A2890" t="s">
        <v>377</v>
      </c>
      <c r="F2890">
        <v>1</v>
      </c>
      <c r="G2890">
        <v>1</v>
      </c>
    </row>
    <row r="2891" spans="1:7" x14ac:dyDescent="0.25">
      <c r="A2891" t="s">
        <v>288</v>
      </c>
      <c r="F2891">
        <v>1</v>
      </c>
      <c r="G2891">
        <v>1</v>
      </c>
    </row>
    <row r="2892" spans="1:7" x14ac:dyDescent="0.25">
      <c r="A2892" t="s">
        <v>493</v>
      </c>
      <c r="F2892">
        <v>1</v>
      </c>
      <c r="G2892">
        <v>1</v>
      </c>
    </row>
    <row r="2893" spans="1:7" x14ac:dyDescent="0.25">
      <c r="A2893" t="s">
        <v>1150</v>
      </c>
      <c r="F2893">
        <v>5</v>
      </c>
      <c r="G2893">
        <v>5</v>
      </c>
    </row>
    <row r="2894" spans="1:7" x14ac:dyDescent="0.25">
      <c r="A2894" t="s">
        <v>377</v>
      </c>
      <c r="F2894">
        <v>1</v>
      </c>
      <c r="G2894">
        <v>1</v>
      </c>
    </row>
    <row r="2895" spans="1:7" x14ac:dyDescent="0.25">
      <c r="A2895" t="s">
        <v>289</v>
      </c>
      <c r="F2895">
        <v>1</v>
      </c>
      <c r="G2895">
        <v>1</v>
      </c>
    </row>
    <row r="2896" spans="1:7" x14ac:dyDescent="0.25">
      <c r="A2896" t="s">
        <v>290</v>
      </c>
      <c r="F2896">
        <v>1</v>
      </c>
      <c r="G2896">
        <v>1</v>
      </c>
    </row>
    <row r="2897" spans="1:7" x14ac:dyDescent="0.25">
      <c r="A2897" t="s">
        <v>291</v>
      </c>
      <c r="F2897">
        <v>1</v>
      </c>
      <c r="G2897">
        <v>1</v>
      </c>
    </row>
    <row r="2898" spans="1:7" x14ac:dyDescent="0.25">
      <c r="A2898" t="s">
        <v>493</v>
      </c>
      <c r="F2898">
        <v>1</v>
      </c>
      <c r="G2898">
        <v>1</v>
      </c>
    </row>
    <row r="2899" spans="1:7" x14ac:dyDescent="0.25">
      <c r="A2899" t="s">
        <v>1151</v>
      </c>
      <c r="F2899">
        <v>2</v>
      </c>
      <c r="G2899">
        <v>2</v>
      </c>
    </row>
    <row r="2900" spans="1:7" x14ac:dyDescent="0.25">
      <c r="A2900" t="s">
        <v>367</v>
      </c>
      <c r="F2900">
        <v>1</v>
      </c>
      <c r="G2900">
        <v>1</v>
      </c>
    </row>
    <row r="2901" spans="1:7" x14ac:dyDescent="0.25">
      <c r="A2901" t="s">
        <v>935</v>
      </c>
      <c r="F2901">
        <v>1</v>
      </c>
      <c r="G2901">
        <v>1</v>
      </c>
    </row>
    <row r="2902" spans="1:7" x14ac:dyDescent="0.25">
      <c r="A2902" t="s">
        <v>1152</v>
      </c>
      <c r="F2902">
        <v>3</v>
      </c>
      <c r="G2902">
        <v>3</v>
      </c>
    </row>
    <row r="2903" spans="1:7" x14ac:dyDescent="0.25">
      <c r="A2903" t="s">
        <v>377</v>
      </c>
      <c r="F2903">
        <v>1</v>
      </c>
      <c r="G2903">
        <v>1</v>
      </c>
    </row>
    <row r="2904" spans="1:7" x14ac:dyDescent="0.25">
      <c r="A2904" t="s">
        <v>288</v>
      </c>
      <c r="F2904">
        <v>1</v>
      </c>
      <c r="G2904">
        <v>1</v>
      </c>
    </row>
    <row r="2905" spans="1:7" x14ac:dyDescent="0.25">
      <c r="A2905" t="s">
        <v>493</v>
      </c>
      <c r="F2905">
        <v>1</v>
      </c>
      <c r="G2905">
        <v>1</v>
      </c>
    </row>
    <row r="2906" spans="1:7" x14ac:dyDescent="0.25">
      <c r="A2906" t="s">
        <v>1153</v>
      </c>
      <c r="F2906">
        <v>5</v>
      </c>
      <c r="G2906">
        <v>5</v>
      </c>
    </row>
    <row r="2907" spans="1:7" x14ac:dyDescent="0.25">
      <c r="A2907" t="s">
        <v>377</v>
      </c>
      <c r="F2907">
        <v>1</v>
      </c>
      <c r="G2907">
        <v>1</v>
      </c>
    </row>
    <row r="2908" spans="1:7" x14ac:dyDescent="0.25">
      <c r="A2908" t="s">
        <v>289</v>
      </c>
      <c r="F2908">
        <v>1</v>
      </c>
      <c r="G2908">
        <v>1</v>
      </c>
    </row>
    <row r="2909" spans="1:7" x14ac:dyDescent="0.25">
      <c r="A2909" t="s">
        <v>290</v>
      </c>
      <c r="F2909">
        <v>1</v>
      </c>
      <c r="G2909">
        <v>1</v>
      </c>
    </row>
    <row r="2910" spans="1:7" x14ac:dyDescent="0.25">
      <c r="A2910" t="s">
        <v>291</v>
      </c>
      <c r="F2910">
        <v>1</v>
      </c>
      <c r="G2910">
        <v>1</v>
      </c>
    </row>
    <row r="2911" spans="1:7" x14ac:dyDescent="0.25">
      <c r="A2911" t="s">
        <v>493</v>
      </c>
      <c r="F2911">
        <v>1</v>
      </c>
      <c r="G2911">
        <v>1</v>
      </c>
    </row>
    <row r="2912" spans="1:7" x14ac:dyDescent="0.25">
      <c r="A2912" t="s">
        <v>1154</v>
      </c>
      <c r="F2912">
        <v>4</v>
      </c>
      <c r="G2912">
        <v>4</v>
      </c>
    </row>
    <row r="2913" spans="1:7" x14ac:dyDescent="0.25">
      <c r="A2913" t="s">
        <v>289</v>
      </c>
      <c r="F2913">
        <v>1</v>
      </c>
      <c r="G2913">
        <v>1</v>
      </c>
    </row>
    <row r="2914" spans="1:7" x14ac:dyDescent="0.25">
      <c r="A2914" t="s">
        <v>290</v>
      </c>
      <c r="F2914">
        <v>1</v>
      </c>
      <c r="G2914">
        <v>1</v>
      </c>
    </row>
    <row r="2915" spans="1:7" x14ac:dyDescent="0.25">
      <c r="A2915" t="s">
        <v>291</v>
      </c>
      <c r="F2915">
        <v>1</v>
      </c>
      <c r="G2915">
        <v>1</v>
      </c>
    </row>
    <row r="2916" spans="1:7" x14ac:dyDescent="0.25">
      <c r="A2916" t="s">
        <v>493</v>
      </c>
      <c r="F2916">
        <v>1</v>
      </c>
      <c r="G2916">
        <v>1</v>
      </c>
    </row>
    <row r="2917" spans="1:7" x14ac:dyDescent="0.25">
      <c r="A2917" t="s">
        <v>1155</v>
      </c>
      <c r="F2917">
        <v>5</v>
      </c>
      <c r="G2917">
        <v>5</v>
      </c>
    </row>
    <row r="2918" spans="1:7" x14ac:dyDescent="0.25">
      <c r="A2918" t="s">
        <v>377</v>
      </c>
      <c r="F2918">
        <v>1</v>
      </c>
      <c r="G2918">
        <v>1</v>
      </c>
    </row>
    <row r="2919" spans="1:7" x14ac:dyDescent="0.25">
      <c r="A2919" t="s">
        <v>289</v>
      </c>
      <c r="F2919">
        <v>1</v>
      </c>
      <c r="G2919">
        <v>1</v>
      </c>
    </row>
    <row r="2920" spans="1:7" x14ac:dyDescent="0.25">
      <c r="A2920" t="s">
        <v>290</v>
      </c>
      <c r="F2920">
        <v>1</v>
      </c>
      <c r="G2920">
        <v>1</v>
      </c>
    </row>
    <row r="2921" spans="1:7" x14ac:dyDescent="0.25">
      <c r="A2921" t="s">
        <v>291</v>
      </c>
      <c r="F2921">
        <v>1</v>
      </c>
      <c r="G2921">
        <v>1</v>
      </c>
    </row>
    <row r="2922" spans="1:7" x14ac:dyDescent="0.25">
      <c r="A2922" t="s">
        <v>493</v>
      </c>
      <c r="F2922">
        <v>1</v>
      </c>
      <c r="G2922">
        <v>1</v>
      </c>
    </row>
    <row r="2923" spans="1:7" x14ac:dyDescent="0.25">
      <c r="A2923" t="s">
        <v>1156</v>
      </c>
      <c r="F2923">
        <v>3</v>
      </c>
      <c r="G2923">
        <v>3</v>
      </c>
    </row>
    <row r="2924" spans="1:7" x14ac:dyDescent="0.25">
      <c r="A2924" t="s">
        <v>377</v>
      </c>
      <c r="F2924">
        <v>1</v>
      </c>
      <c r="G2924">
        <v>1</v>
      </c>
    </row>
    <row r="2925" spans="1:7" x14ac:dyDescent="0.25">
      <c r="A2925" t="s">
        <v>288</v>
      </c>
      <c r="F2925">
        <v>1</v>
      </c>
      <c r="G2925">
        <v>1</v>
      </c>
    </row>
    <row r="2926" spans="1:7" x14ac:dyDescent="0.25">
      <c r="A2926" t="s">
        <v>493</v>
      </c>
      <c r="F2926">
        <v>1</v>
      </c>
      <c r="G2926">
        <v>1</v>
      </c>
    </row>
    <row r="2927" spans="1:7" x14ac:dyDescent="0.25">
      <c r="A2927" t="s">
        <v>1157</v>
      </c>
      <c r="F2927">
        <v>2</v>
      </c>
      <c r="G2927">
        <v>2</v>
      </c>
    </row>
    <row r="2928" spans="1:7" x14ac:dyDescent="0.25">
      <c r="A2928" t="s">
        <v>291</v>
      </c>
      <c r="F2928">
        <v>1</v>
      </c>
      <c r="G2928">
        <v>1</v>
      </c>
    </row>
    <row r="2929" spans="1:7" x14ac:dyDescent="0.25">
      <c r="A2929" t="s">
        <v>493</v>
      </c>
      <c r="F2929">
        <v>1</v>
      </c>
      <c r="G2929">
        <v>1</v>
      </c>
    </row>
    <row r="2930" spans="1:7" x14ac:dyDescent="0.25">
      <c r="A2930" t="s">
        <v>1158</v>
      </c>
      <c r="F2930">
        <v>3</v>
      </c>
      <c r="G2930">
        <v>3</v>
      </c>
    </row>
    <row r="2931" spans="1:7" x14ac:dyDescent="0.25">
      <c r="A2931" t="s">
        <v>377</v>
      </c>
      <c r="F2931">
        <v>1</v>
      </c>
      <c r="G2931">
        <v>1</v>
      </c>
    </row>
    <row r="2932" spans="1:7" x14ac:dyDescent="0.25">
      <c r="A2932" t="s">
        <v>288</v>
      </c>
      <c r="F2932">
        <v>1</v>
      </c>
      <c r="G2932">
        <v>1</v>
      </c>
    </row>
    <row r="2933" spans="1:7" x14ac:dyDescent="0.25">
      <c r="A2933" t="s">
        <v>493</v>
      </c>
      <c r="F2933">
        <v>1</v>
      </c>
      <c r="G2933">
        <v>1</v>
      </c>
    </row>
    <row r="2934" spans="1:7" x14ac:dyDescent="0.25">
      <c r="A2934" t="s">
        <v>1159</v>
      </c>
      <c r="F2934">
        <v>3</v>
      </c>
      <c r="G2934">
        <v>3</v>
      </c>
    </row>
    <row r="2935" spans="1:7" x14ac:dyDescent="0.25">
      <c r="A2935" t="s">
        <v>377</v>
      </c>
      <c r="F2935">
        <v>1</v>
      </c>
      <c r="G2935">
        <v>1</v>
      </c>
    </row>
    <row r="2936" spans="1:7" x14ac:dyDescent="0.25">
      <c r="A2936" t="s">
        <v>288</v>
      </c>
      <c r="F2936">
        <v>1</v>
      </c>
      <c r="G2936">
        <v>1</v>
      </c>
    </row>
    <row r="2937" spans="1:7" x14ac:dyDescent="0.25">
      <c r="A2937" t="s">
        <v>493</v>
      </c>
      <c r="F2937">
        <v>1</v>
      </c>
      <c r="G2937">
        <v>1</v>
      </c>
    </row>
    <row r="2938" spans="1:7" x14ac:dyDescent="0.25">
      <c r="A2938" t="s">
        <v>1160</v>
      </c>
      <c r="F2938">
        <v>3</v>
      </c>
      <c r="G2938">
        <v>3</v>
      </c>
    </row>
    <row r="2939" spans="1:7" x14ac:dyDescent="0.25">
      <c r="A2939" t="s">
        <v>377</v>
      </c>
      <c r="F2939">
        <v>1</v>
      </c>
      <c r="G2939">
        <v>1</v>
      </c>
    </row>
    <row r="2940" spans="1:7" x14ac:dyDescent="0.25">
      <c r="A2940" t="s">
        <v>288</v>
      </c>
      <c r="F2940">
        <v>1</v>
      </c>
      <c r="G2940">
        <v>1</v>
      </c>
    </row>
    <row r="2941" spans="1:7" x14ac:dyDescent="0.25">
      <c r="A2941" t="s">
        <v>493</v>
      </c>
      <c r="F2941">
        <v>1</v>
      </c>
      <c r="G2941">
        <v>1</v>
      </c>
    </row>
    <row r="2942" spans="1:7" x14ac:dyDescent="0.25">
      <c r="A2942" t="s">
        <v>1161</v>
      </c>
      <c r="F2942">
        <v>2</v>
      </c>
      <c r="G2942">
        <v>2</v>
      </c>
    </row>
    <row r="2943" spans="1:7" x14ac:dyDescent="0.25">
      <c r="A2943" t="s">
        <v>291</v>
      </c>
      <c r="F2943">
        <v>1</v>
      </c>
      <c r="G2943">
        <v>1</v>
      </c>
    </row>
    <row r="2944" spans="1:7" x14ac:dyDescent="0.25">
      <c r="A2944" t="s">
        <v>380</v>
      </c>
      <c r="F2944">
        <v>1</v>
      </c>
      <c r="G2944">
        <v>1</v>
      </c>
    </row>
    <row r="2945" spans="1:7" x14ac:dyDescent="0.25">
      <c r="A2945" t="s">
        <v>1162</v>
      </c>
      <c r="F2945">
        <v>3</v>
      </c>
      <c r="G2945">
        <v>3</v>
      </c>
    </row>
    <row r="2946" spans="1:7" x14ac:dyDescent="0.25">
      <c r="A2946" t="s">
        <v>291</v>
      </c>
      <c r="F2946">
        <v>1</v>
      </c>
      <c r="G2946">
        <v>1</v>
      </c>
    </row>
    <row r="2947" spans="1:7" x14ac:dyDescent="0.25">
      <c r="A2947" t="s">
        <v>288</v>
      </c>
      <c r="F2947">
        <v>1</v>
      </c>
      <c r="G2947">
        <v>1</v>
      </c>
    </row>
    <row r="2948" spans="1:7" x14ac:dyDescent="0.25">
      <c r="A2948" t="s">
        <v>380</v>
      </c>
      <c r="F2948">
        <v>1</v>
      </c>
      <c r="G2948">
        <v>1</v>
      </c>
    </row>
    <row r="2949" spans="1:7" x14ac:dyDescent="0.25">
      <c r="A2949" t="s">
        <v>1163</v>
      </c>
      <c r="F2949">
        <v>3</v>
      </c>
      <c r="G2949">
        <v>3</v>
      </c>
    </row>
    <row r="2950" spans="1:7" x14ac:dyDescent="0.25">
      <c r="A2950" t="s">
        <v>292</v>
      </c>
      <c r="F2950">
        <v>1</v>
      </c>
      <c r="G2950">
        <v>1</v>
      </c>
    </row>
    <row r="2951" spans="1:7" x14ac:dyDescent="0.25">
      <c r="A2951" t="s">
        <v>288</v>
      </c>
      <c r="F2951">
        <v>1</v>
      </c>
      <c r="G2951">
        <v>1</v>
      </c>
    </row>
    <row r="2952" spans="1:7" x14ac:dyDescent="0.25">
      <c r="A2952" t="s">
        <v>380</v>
      </c>
      <c r="F2952">
        <v>1</v>
      </c>
      <c r="G2952">
        <v>1</v>
      </c>
    </row>
    <row r="2953" spans="1:7" x14ac:dyDescent="0.25">
      <c r="A2953" t="s">
        <v>1164</v>
      </c>
      <c r="F2953">
        <v>2</v>
      </c>
      <c r="G2953">
        <v>2</v>
      </c>
    </row>
    <row r="2954" spans="1:7" x14ac:dyDescent="0.25">
      <c r="A2954" t="s">
        <v>292</v>
      </c>
      <c r="F2954">
        <v>1</v>
      </c>
      <c r="G2954">
        <v>1</v>
      </c>
    </row>
    <row r="2955" spans="1:7" x14ac:dyDescent="0.25">
      <c r="A2955" t="s">
        <v>380</v>
      </c>
      <c r="F2955">
        <v>1</v>
      </c>
      <c r="G2955">
        <v>1</v>
      </c>
    </row>
    <row r="2956" spans="1:7" x14ac:dyDescent="0.25">
      <c r="A2956" t="s">
        <v>1165</v>
      </c>
      <c r="F2956">
        <v>2</v>
      </c>
      <c r="G2956">
        <v>2</v>
      </c>
    </row>
    <row r="2957" spans="1:7" x14ac:dyDescent="0.25">
      <c r="A2957" t="s">
        <v>288</v>
      </c>
      <c r="F2957">
        <v>1</v>
      </c>
      <c r="G2957">
        <v>1</v>
      </c>
    </row>
    <row r="2958" spans="1:7" x14ac:dyDescent="0.25">
      <c r="A2958" t="s">
        <v>380</v>
      </c>
      <c r="F2958">
        <v>1</v>
      </c>
      <c r="G2958">
        <v>1</v>
      </c>
    </row>
    <row r="2959" spans="1:7" x14ac:dyDescent="0.25">
      <c r="A2959" t="s">
        <v>1166</v>
      </c>
      <c r="F2959">
        <v>2</v>
      </c>
      <c r="G2959">
        <v>2</v>
      </c>
    </row>
    <row r="2960" spans="1:7" x14ac:dyDescent="0.25">
      <c r="A2960" t="s">
        <v>288</v>
      </c>
      <c r="F2960">
        <v>1</v>
      </c>
      <c r="G2960">
        <v>1</v>
      </c>
    </row>
    <row r="2961" spans="1:7" x14ac:dyDescent="0.25">
      <c r="A2961" t="s">
        <v>380</v>
      </c>
      <c r="F2961">
        <v>1</v>
      </c>
      <c r="G2961">
        <v>1</v>
      </c>
    </row>
    <row r="2962" spans="1:7" x14ac:dyDescent="0.25">
      <c r="A2962" t="s">
        <v>1167</v>
      </c>
      <c r="F2962">
        <v>2</v>
      </c>
      <c r="G2962">
        <v>2</v>
      </c>
    </row>
    <row r="2963" spans="1:7" x14ac:dyDescent="0.25">
      <c r="A2963" t="s">
        <v>288</v>
      </c>
      <c r="F2963">
        <v>1</v>
      </c>
      <c r="G2963">
        <v>1</v>
      </c>
    </row>
    <row r="2964" spans="1:7" x14ac:dyDescent="0.25">
      <c r="A2964" t="s">
        <v>380</v>
      </c>
      <c r="F2964">
        <v>1</v>
      </c>
      <c r="G2964">
        <v>1</v>
      </c>
    </row>
    <row r="2965" spans="1:7" x14ac:dyDescent="0.25">
      <c r="A2965" t="s">
        <v>1168</v>
      </c>
      <c r="F2965">
        <v>2</v>
      </c>
      <c r="G2965">
        <v>2</v>
      </c>
    </row>
    <row r="2966" spans="1:7" x14ac:dyDescent="0.25">
      <c r="A2966" t="s">
        <v>288</v>
      </c>
      <c r="F2966">
        <v>1</v>
      </c>
      <c r="G2966">
        <v>1</v>
      </c>
    </row>
    <row r="2967" spans="1:7" x14ac:dyDescent="0.25">
      <c r="A2967" t="s">
        <v>380</v>
      </c>
      <c r="F2967">
        <v>1</v>
      </c>
      <c r="G2967">
        <v>1</v>
      </c>
    </row>
    <row r="2968" spans="1:7" x14ac:dyDescent="0.25">
      <c r="A2968" t="s">
        <v>1169</v>
      </c>
      <c r="F2968">
        <v>2</v>
      </c>
      <c r="G2968">
        <v>2</v>
      </c>
    </row>
    <row r="2969" spans="1:7" x14ac:dyDescent="0.25">
      <c r="A2969" t="s">
        <v>288</v>
      </c>
      <c r="F2969">
        <v>1</v>
      </c>
      <c r="G2969">
        <v>1</v>
      </c>
    </row>
    <row r="2970" spans="1:7" x14ac:dyDescent="0.25">
      <c r="A2970" t="s">
        <v>380</v>
      </c>
      <c r="F2970">
        <v>1</v>
      </c>
      <c r="G2970">
        <v>1</v>
      </c>
    </row>
    <row r="2971" spans="1:7" x14ac:dyDescent="0.25">
      <c r="A2971" t="s">
        <v>1170</v>
      </c>
      <c r="F2971">
        <v>3</v>
      </c>
      <c r="G2971">
        <v>3</v>
      </c>
    </row>
    <row r="2972" spans="1:7" x14ac:dyDescent="0.25">
      <c r="A2972" t="s">
        <v>290</v>
      </c>
      <c r="F2972">
        <v>1</v>
      </c>
      <c r="G2972">
        <v>1</v>
      </c>
    </row>
    <row r="2973" spans="1:7" x14ac:dyDescent="0.25">
      <c r="A2973" t="s">
        <v>291</v>
      </c>
      <c r="F2973">
        <v>1</v>
      </c>
      <c r="G2973">
        <v>1</v>
      </c>
    </row>
    <row r="2974" spans="1:7" x14ac:dyDescent="0.25">
      <c r="A2974" t="s">
        <v>380</v>
      </c>
      <c r="F2974">
        <v>1</v>
      </c>
      <c r="G2974">
        <v>1</v>
      </c>
    </row>
    <row r="2975" spans="1:7" x14ac:dyDescent="0.25">
      <c r="A2975" t="s">
        <v>1171</v>
      </c>
      <c r="F2975">
        <v>5</v>
      </c>
      <c r="G2975">
        <v>5</v>
      </c>
    </row>
    <row r="2976" spans="1:7" x14ac:dyDescent="0.25">
      <c r="A2976" t="s">
        <v>377</v>
      </c>
      <c r="F2976">
        <v>1</v>
      </c>
      <c r="G2976">
        <v>1</v>
      </c>
    </row>
    <row r="2977" spans="1:7" x14ac:dyDescent="0.25">
      <c r="A2977" t="s">
        <v>385</v>
      </c>
      <c r="F2977">
        <v>1</v>
      </c>
      <c r="G2977">
        <v>1</v>
      </c>
    </row>
    <row r="2978" spans="1:7" x14ac:dyDescent="0.25">
      <c r="A2978" t="s">
        <v>289</v>
      </c>
      <c r="F2978">
        <v>1</v>
      </c>
      <c r="G2978">
        <v>1</v>
      </c>
    </row>
    <row r="2979" spans="1:7" x14ac:dyDescent="0.25">
      <c r="A2979" t="s">
        <v>291</v>
      </c>
      <c r="F2979">
        <v>1</v>
      </c>
      <c r="G2979">
        <v>1</v>
      </c>
    </row>
    <row r="2980" spans="1:7" x14ac:dyDescent="0.25">
      <c r="A2980" t="s">
        <v>380</v>
      </c>
      <c r="F2980">
        <v>1</v>
      </c>
      <c r="G2980">
        <v>1</v>
      </c>
    </row>
    <row r="2981" spans="1:7" x14ac:dyDescent="0.25">
      <c r="A2981" t="s">
        <v>1172</v>
      </c>
      <c r="F2981">
        <v>2</v>
      </c>
      <c r="G2981">
        <v>2</v>
      </c>
    </row>
    <row r="2982" spans="1:7" x14ac:dyDescent="0.25">
      <c r="A2982" t="s">
        <v>292</v>
      </c>
      <c r="F2982">
        <v>1</v>
      </c>
      <c r="G2982">
        <v>1</v>
      </c>
    </row>
    <row r="2983" spans="1:7" x14ac:dyDescent="0.25">
      <c r="A2983" t="s">
        <v>380</v>
      </c>
      <c r="F2983">
        <v>1</v>
      </c>
      <c r="G2983">
        <v>1</v>
      </c>
    </row>
    <row r="2984" spans="1:7" x14ac:dyDescent="0.25">
      <c r="A2984" t="s">
        <v>1173</v>
      </c>
      <c r="F2984">
        <v>3</v>
      </c>
      <c r="G2984">
        <v>3</v>
      </c>
    </row>
    <row r="2985" spans="1:7" x14ac:dyDescent="0.25">
      <c r="A2985" t="s">
        <v>377</v>
      </c>
      <c r="F2985">
        <v>1</v>
      </c>
      <c r="G2985">
        <v>1</v>
      </c>
    </row>
    <row r="2986" spans="1:7" x14ac:dyDescent="0.25">
      <c r="A2986" t="s">
        <v>288</v>
      </c>
      <c r="F2986">
        <v>1</v>
      </c>
      <c r="G2986">
        <v>1</v>
      </c>
    </row>
    <row r="2987" spans="1:7" x14ac:dyDescent="0.25">
      <c r="A2987" t="s">
        <v>493</v>
      </c>
      <c r="F2987">
        <v>1</v>
      </c>
      <c r="G2987">
        <v>1</v>
      </c>
    </row>
    <row r="2988" spans="1:7" x14ac:dyDescent="0.25">
      <c r="A2988" t="s">
        <v>1174</v>
      </c>
      <c r="F2988">
        <v>2</v>
      </c>
      <c r="G2988">
        <v>2</v>
      </c>
    </row>
    <row r="2989" spans="1:7" x14ac:dyDescent="0.25">
      <c r="A2989" t="s">
        <v>292</v>
      </c>
      <c r="F2989">
        <v>1</v>
      </c>
      <c r="G2989">
        <v>1</v>
      </c>
    </row>
    <row r="2990" spans="1:7" x14ac:dyDescent="0.25">
      <c r="A2990" t="s">
        <v>380</v>
      </c>
      <c r="F2990">
        <v>1</v>
      </c>
      <c r="G2990">
        <v>1</v>
      </c>
    </row>
    <row r="2991" spans="1:7" x14ac:dyDescent="0.25">
      <c r="A2991" t="s">
        <v>1175</v>
      </c>
      <c r="F2991">
        <v>3</v>
      </c>
      <c r="G2991">
        <v>3</v>
      </c>
    </row>
    <row r="2992" spans="1:7" x14ac:dyDescent="0.25">
      <c r="A2992" t="s">
        <v>377</v>
      </c>
      <c r="F2992">
        <v>1</v>
      </c>
      <c r="G2992">
        <v>1</v>
      </c>
    </row>
    <row r="2993" spans="1:7" x14ac:dyDescent="0.25">
      <c r="A2993" t="s">
        <v>292</v>
      </c>
      <c r="F2993">
        <v>1</v>
      </c>
      <c r="G2993">
        <v>1</v>
      </c>
    </row>
    <row r="2994" spans="1:7" x14ac:dyDescent="0.25">
      <c r="A2994" t="s">
        <v>380</v>
      </c>
      <c r="F2994">
        <v>1</v>
      </c>
      <c r="G2994">
        <v>1</v>
      </c>
    </row>
    <row r="2995" spans="1:7" x14ac:dyDescent="0.25">
      <c r="A2995" t="s">
        <v>1176</v>
      </c>
      <c r="F2995">
        <v>3</v>
      </c>
      <c r="G2995">
        <v>3</v>
      </c>
    </row>
    <row r="2996" spans="1:7" x14ac:dyDescent="0.25">
      <c r="A2996" t="s">
        <v>377</v>
      </c>
      <c r="F2996">
        <v>1</v>
      </c>
      <c r="G2996">
        <v>1</v>
      </c>
    </row>
    <row r="2997" spans="1:7" x14ac:dyDescent="0.25">
      <c r="A2997" t="s">
        <v>292</v>
      </c>
      <c r="F2997">
        <v>1</v>
      </c>
      <c r="G2997">
        <v>1</v>
      </c>
    </row>
    <row r="2998" spans="1:7" x14ac:dyDescent="0.25">
      <c r="A2998" t="s">
        <v>659</v>
      </c>
      <c r="F2998">
        <v>1</v>
      </c>
      <c r="G2998">
        <v>1</v>
      </c>
    </row>
    <row r="2999" spans="1:7" x14ac:dyDescent="0.25">
      <c r="A2999" t="s">
        <v>1177</v>
      </c>
      <c r="F2999">
        <v>2</v>
      </c>
      <c r="G2999">
        <v>2</v>
      </c>
    </row>
    <row r="3000" spans="1:7" x14ac:dyDescent="0.25">
      <c r="A3000" t="s">
        <v>288</v>
      </c>
      <c r="F3000">
        <v>1</v>
      </c>
      <c r="G3000">
        <v>1</v>
      </c>
    </row>
    <row r="3001" spans="1:7" x14ac:dyDescent="0.25">
      <c r="A3001" t="s">
        <v>380</v>
      </c>
      <c r="F3001">
        <v>1</v>
      </c>
      <c r="G3001">
        <v>1</v>
      </c>
    </row>
    <row r="3002" spans="1:7" x14ac:dyDescent="0.25">
      <c r="A3002" t="s">
        <v>1178</v>
      </c>
      <c r="F3002">
        <v>2</v>
      </c>
      <c r="G3002">
        <v>2</v>
      </c>
    </row>
    <row r="3003" spans="1:7" x14ac:dyDescent="0.25">
      <c r="A3003" t="s">
        <v>292</v>
      </c>
      <c r="F3003">
        <v>1</v>
      </c>
      <c r="G3003">
        <v>1</v>
      </c>
    </row>
    <row r="3004" spans="1:7" x14ac:dyDescent="0.25">
      <c r="A3004" t="s">
        <v>380</v>
      </c>
      <c r="F3004">
        <v>1</v>
      </c>
      <c r="G3004">
        <v>1</v>
      </c>
    </row>
    <row r="3005" spans="1:7" x14ac:dyDescent="0.25">
      <c r="A3005" t="s">
        <v>1179</v>
      </c>
      <c r="F3005">
        <v>5</v>
      </c>
      <c r="G3005">
        <v>5</v>
      </c>
    </row>
    <row r="3006" spans="1:7" x14ac:dyDescent="0.25">
      <c r="A3006" t="s">
        <v>377</v>
      </c>
      <c r="F3006">
        <v>1</v>
      </c>
      <c r="G3006">
        <v>1</v>
      </c>
    </row>
    <row r="3007" spans="1:7" x14ac:dyDescent="0.25">
      <c r="A3007" t="s">
        <v>289</v>
      </c>
      <c r="F3007">
        <v>1</v>
      </c>
      <c r="G3007">
        <v>1</v>
      </c>
    </row>
    <row r="3008" spans="1:7" x14ac:dyDescent="0.25">
      <c r="A3008" t="s">
        <v>290</v>
      </c>
      <c r="F3008">
        <v>1</v>
      </c>
      <c r="G3008">
        <v>1</v>
      </c>
    </row>
    <row r="3009" spans="1:7" x14ac:dyDescent="0.25">
      <c r="A3009" t="s">
        <v>291</v>
      </c>
      <c r="F3009">
        <v>1</v>
      </c>
      <c r="G3009">
        <v>1</v>
      </c>
    </row>
    <row r="3010" spans="1:7" x14ac:dyDescent="0.25">
      <c r="A3010" t="s">
        <v>493</v>
      </c>
      <c r="F3010">
        <v>1</v>
      </c>
      <c r="G3010">
        <v>1</v>
      </c>
    </row>
    <row r="3011" spans="1:7" x14ac:dyDescent="0.25">
      <c r="A3011" t="s">
        <v>1180</v>
      </c>
      <c r="F3011">
        <v>5</v>
      </c>
      <c r="G3011">
        <v>5</v>
      </c>
    </row>
    <row r="3012" spans="1:7" x14ac:dyDescent="0.25">
      <c r="A3012" t="s">
        <v>377</v>
      </c>
      <c r="F3012">
        <v>1</v>
      </c>
      <c r="G3012">
        <v>1</v>
      </c>
    </row>
    <row r="3013" spans="1:7" x14ac:dyDescent="0.25">
      <c r="A3013" t="s">
        <v>289</v>
      </c>
      <c r="F3013">
        <v>1</v>
      </c>
      <c r="G3013">
        <v>1</v>
      </c>
    </row>
    <row r="3014" spans="1:7" x14ac:dyDescent="0.25">
      <c r="A3014" t="s">
        <v>290</v>
      </c>
      <c r="F3014">
        <v>1</v>
      </c>
      <c r="G3014">
        <v>1</v>
      </c>
    </row>
    <row r="3015" spans="1:7" x14ac:dyDescent="0.25">
      <c r="A3015" t="s">
        <v>291</v>
      </c>
      <c r="F3015">
        <v>1</v>
      </c>
      <c r="G3015">
        <v>1</v>
      </c>
    </row>
    <row r="3016" spans="1:7" x14ac:dyDescent="0.25">
      <c r="A3016" t="s">
        <v>493</v>
      </c>
      <c r="F3016">
        <v>1</v>
      </c>
      <c r="G3016">
        <v>1</v>
      </c>
    </row>
    <row r="3017" spans="1:7" x14ac:dyDescent="0.25">
      <c r="A3017" t="s">
        <v>1181</v>
      </c>
      <c r="F3017">
        <v>3</v>
      </c>
      <c r="G3017">
        <v>3</v>
      </c>
    </row>
    <row r="3018" spans="1:7" x14ac:dyDescent="0.25">
      <c r="A3018" t="s">
        <v>377</v>
      </c>
      <c r="F3018">
        <v>1</v>
      </c>
      <c r="G3018">
        <v>1</v>
      </c>
    </row>
    <row r="3019" spans="1:7" x14ac:dyDescent="0.25">
      <c r="A3019" t="s">
        <v>288</v>
      </c>
      <c r="F3019">
        <v>1</v>
      </c>
      <c r="G3019">
        <v>1</v>
      </c>
    </row>
    <row r="3020" spans="1:7" x14ac:dyDescent="0.25">
      <c r="A3020" t="s">
        <v>493</v>
      </c>
      <c r="F3020">
        <v>1</v>
      </c>
      <c r="G3020">
        <v>1</v>
      </c>
    </row>
    <row r="3021" spans="1:7" x14ac:dyDescent="0.25">
      <c r="A3021" t="s">
        <v>1182</v>
      </c>
      <c r="F3021">
        <v>5</v>
      </c>
      <c r="G3021">
        <v>5</v>
      </c>
    </row>
    <row r="3022" spans="1:7" x14ac:dyDescent="0.25">
      <c r="A3022" t="s">
        <v>377</v>
      </c>
      <c r="F3022">
        <v>1</v>
      </c>
      <c r="G3022">
        <v>1</v>
      </c>
    </row>
    <row r="3023" spans="1:7" x14ac:dyDescent="0.25">
      <c r="A3023" t="s">
        <v>289</v>
      </c>
      <c r="F3023">
        <v>1</v>
      </c>
      <c r="G3023">
        <v>1</v>
      </c>
    </row>
    <row r="3024" spans="1:7" x14ac:dyDescent="0.25">
      <c r="A3024" t="s">
        <v>290</v>
      </c>
      <c r="F3024">
        <v>1</v>
      </c>
      <c r="G3024">
        <v>1</v>
      </c>
    </row>
    <row r="3025" spans="1:7" x14ac:dyDescent="0.25">
      <c r="A3025" t="s">
        <v>291</v>
      </c>
      <c r="F3025">
        <v>1</v>
      </c>
      <c r="G3025">
        <v>1</v>
      </c>
    </row>
    <row r="3026" spans="1:7" x14ac:dyDescent="0.25">
      <c r="A3026" t="s">
        <v>493</v>
      </c>
      <c r="F3026">
        <v>1</v>
      </c>
      <c r="G3026">
        <v>1</v>
      </c>
    </row>
    <row r="3027" spans="1:7" x14ac:dyDescent="0.25">
      <c r="A3027" t="s">
        <v>1183</v>
      </c>
      <c r="F3027">
        <v>5</v>
      </c>
      <c r="G3027">
        <v>5</v>
      </c>
    </row>
    <row r="3028" spans="1:7" x14ac:dyDescent="0.25">
      <c r="A3028" t="s">
        <v>377</v>
      </c>
      <c r="F3028">
        <v>1</v>
      </c>
      <c r="G3028">
        <v>1</v>
      </c>
    </row>
    <row r="3029" spans="1:7" x14ac:dyDescent="0.25">
      <c r="A3029" t="s">
        <v>289</v>
      </c>
      <c r="F3029">
        <v>1</v>
      </c>
      <c r="G3029">
        <v>1</v>
      </c>
    </row>
    <row r="3030" spans="1:7" x14ac:dyDescent="0.25">
      <c r="A3030" t="s">
        <v>290</v>
      </c>
      <c r="F3030">
        <v>1</v>
      </c>
      <c r="G3030">
        <v>1</v>
      </c>
    </row>
    <row r="3031" spans="1:7" x14ac:dyDescent="0.25">
      <c r="A3031" t="s">
        <v>291</v>
      </c>
      <c r="F3031">
        <v>1</v>
      </c>
      <c r="G3031">
        <v>1</v>
      </c>
    </row>
    <row r="3032" spans="1:7" x14ac:dyDescent="0.25">
      <c r="A3032" t="s">
        <v>493</v>
      </c>
      <c r="F3032">
        <v>1</v>
      </c>
      <c r="G3032">
        <v>1</v>
      </c>
    </row>
    <row r="3033" spans="1:7" x14ac:dyDescent="0.25">
      <c r="A3033" t="s">
        <v>1184</v>
      </c>
      <c r="F3033">
        <v>5</v>
      </c>
      <c r="G3033">
        <v>5</v>
      </c>
    </row>
    <row r="3034" spans="1:7" x14ac:dyDescent="0.25">
      <c r="A3034" t="s">
        <v>377</v>
      </c>
      <c r="F3034">
        <v>1</v>
      </c>
      <c r="G3034">
        <v>1</v>
      </c>
    </row>
    <row r="3035" spans="1:7" x14ac:dyDescent="0.25">
      <c r="A3035" t="s">
        <v>289</v>
      </c>
      <c r="F3035">
        <v>1</v>
      </c>
      <c r="G3035">
        <v>1</v>
      </c>
    </row>
    <row r="3036" spans="1:7" x14ac:dyDescent="0.25">
      <c r="A3036" t="s">
        <v>290</v>
      </c>
      <c r="F3036">
        <v>1</v>
      </c>
      <c r="G3036">
        <v>1</v>
      </c>
    </row>
    <row r="3037" spans="1:7" x14ac:dyDescent="0.25">
      <c r="A3037" t="s">
        <v>291</v>
      </c>
      <c r="F3037">
        <v>1</v>
      </c>
      <c r="G3037">
        <v>1</v>
      </c>
    </row>
    <row r="3038" spans="1:7" x14ac:dyDescent="0.25">
      <c r="A3038" t="s">
        <v>493</v>
      </c>
      <c r="F3038">
        <v>1</v>
      </c>
      <c r="G3038">
        <v>1</v>
      </c>
    </row>
    <row r="3039" spans="1:7" x14ac:dyDescent="0.25">
      <c r="A3039" t="s">
        <v>1185</v>
      </c>
      <c r="F3039">
        <v>5</v>
      </c>
      <c r="G3039">
        <v>5</v>
      </c>
    </row>
    <row r="3040" spans="1:7" x14ac:dyDescent="0.25">
      <c r="A3040" t="s">
        <v>377</v>
      </c>
      <c r="F3040">
        <v>1</v>
      </c>
      <c r="G3040">
        <v>1</v>
      </c>
    </row>
    <row r="3041" spans="1:7" x14ac:dyDescent="0.25">
      <c r="A3041" t="s">
        <v>289</v>
      </c>
      <c r="F3041">
        <v>1</v>
      </c>
      <c r="G3041">
        <v>1</v>
      </c>
    </row>
    <row r="3042" spans="1:7" x14ac:dyDescent="0.25">
      <c r="A3042" t="s">
        <v>290</v>
      </c>
      <c r="F3042">
        <v>1</v>
      </c>
      <c r="G3042">
        <v>1</v>
      </c>
    </row>
    <row r="3043" spans="1:7" x14ac:dyDescent="0.25">
      <c r="A3043" t="s">
        <v>291</v>
      </c>
      <c r="F3043">
        <v>1</v>
      </c>
      <c r="G3043">
        <v>1</v>
      </c>
    </row>
    <row r="3044" spans="1:7" x14ac:dyDescent="0.25">
      <c r="A3044" t="s">
        <v>493</v>
      </c>
      <c r="F3044">
        <v>1</v>
      </c>
      <c r="G3044">
        <v>1</v>
      </c>
    </row>
    <row r="3045" spans="1:7" x14ac:dyDescent="0.25">
      <c r="A3045" t="s">
        <v>1186</v>
      </c>
      <c r="F3045">
        <v>5</v>
      </c>
      <c r="G3045">
        <v>5</v>
      </c>
    </row>
    <row r="3046" spans="1:7" x14ac:dyDescent="0.25">
      <c r="A3046" t="s">
        <v>377</v>
      </c>
      <c r="F3046">
        <v>1</v>
      </c>
      <c r="G3046">
        <v>1</v>
      </c>
    </row>
    <row r="3047" spans="1:7" x14ac:dyDescent="0.25">
      <c r="A3047" t="s">
        <v>289</v>
      </c>
      <c r="F3047">
        <v>1</v>
      </c>
      <c r="G3047">
        <v>1</v>
      </c>
    </row>
    <row r="3048" spans="1:7" x14ac:dyDescent="0.25">
      <c r="A3048" t="s">
        <v>290</v>
      </c>
      <c r="F3048">
        <v>1</v>
      </c>
      <c r="G3048">
        <v>1</v>
      </c>
    </row>
    <row r="3049" spans="1:7" x14ac:dyDescent="0.25">
      <c r="A3049" t="s">
        <v>291</v>
      </c>
      <c r="F3049">
        <v>1</v>
      </c>
      <c r="G3049">
        <v>1</v>
      </c>
    </row>
    <row r="3050" spans="1:7" x14ac:dyDescent="0.25">
      <c r="A3050" t="s">
        <v>493</v>
      </c>
      <c r="F3050">
        <v>1</v>
      </c>
      <c r="G3050">
        <v>1</v>
      </c>
    </row>
    <row r="3051" spans="1:7" x14ac:dyDescent="0.25">
      <c r="A3051" t="s">
        <v>1187</v>
      </c>
      <c r="F3051">
        <v>2</v>
      </c>
      <c r="G3051">
        <v>2</v>
      </c>
    </row>
    <row r="3052" spans="1:7" x14ac:dyDescent="0.25">
      <c r="A3052" t="s">
        <v>288</v>
      </c>
      <c r="F3052">
        <v>1</v>
      </c>
      <c r="G3052">
        <v>1</v>
      </c>
    </row>
    <row r="3053" spans="1:7" x14ac:dyDescent="0.25">
      <c r="A3053" t="s">
        <v>380</v>
      </c>
      <c r="F3053">
        <v>1</v>
      </c>
      <c r="G3053">
        <v>1</v>
      </c>
    </row>
    <row r="3054" spans="1:7" x14ac:dyDescent="0.25">
      <c r="A3054" t="s">
        <v>1188</v>
      </c>
      <c r="F3054">
        <v>2</v>
      </c>
      <c r="G3054">
        <v>2</v>
      </c>
    </row>
    <row r="3055" spans="1:7" x14ac:dyDescent="0.25">
      <c r="A3055" t="s">
        <v>288</v>
      </c>
      <c r="F3055">
        <v>1</v>
      </c>
      <c r="G3055">
        <v>1</v>
      </c>
    </row>
    <row r="3056" spans="1:7" x14ac:dyDescent="0.25">
      <c r="A3056" t="s">
        <v>380</v>
      </c>
      <c r="F3056">
        <v>1</v>
      </c>
      <c r="G3056">
        <v>1</v>
      </c>
    </row>
    <row r="3057" spans="1:7" x14ac:dyDescent="0.25">
      <c r="A3057" t="s">
        <v>1189</v>
      </c>
      <c r="F3057">
        <v>2</v>
      </c>
      <c r="G3057">
        <v>2</v>
      </c>
    </row>
    <row r="3058" spans="1:7" x14ac:dyDescent="0.25">
      <c r="A3058" t="s">
        <v>288</v>
      </c>
      <c r="F3058">
        <v>1</v>
      </c>
      <c r="G3058">
        <v>1</v>
      </c>
    </row>
    <row r="3059" spans="1:7" x14ac:dyDescent="0.25">
      <c r="A3059" t="s">
        <v>380</v>
      </c>
      <c r="F3059">
        <v>1</v>
      </c>
      <c r="G3059">
        <v>1</v>
      </c>
    </row>
    <row r="3060" spans="1:7" x14ac:dyDescent="0.25">
      <c r="A3060" t="s">
        <v>1190</v>
      </c>
      <c r="F3060">
        <v>5</v>
      </c>
      <c r="G3060">
        <v>5</v>
      </c>
    </row>
    <row r="3061" spans="1:7" x14ac:dyDescent="0.25">
      <c r="A3061" t="s">
        <v>377</v>
      </c>
      <c r="F3061">
        <v>1</v>
      </c>
      <c r="G3061">
        <v>1</v>
      </c>
    </row>
    <row r="3062" spans="1:7" x14ac:dyDescent="0.25">
      <c r="A3062" t="s">
        <v>289</v>
      </c>
      <c r="F3062">
        <v>1</v>
      </c>
      <c r="G3062">
        <v>1</v>
      </c>
    </row>
    <row r="3063" spans="1:7" x14ac:dyDescent="0.25">
      <c r="A3063" t="s">
        <v>290</v>
      </c>
      <c r="F3063">
        <v>1</v>
      </c>
      <c r="G3063">
        <v>1</v>
      </c>
    </row>
    <row r="3064" spans="1:7" x14ac:dyDescent="0.25">
      <c r="A3064" t="s">
        <v>291</v>
      </c>
      <c r="F3064">
        <v>1</v>
      </c>
      <c r="G3064">
        <v>1</v>
      </c>
    </row>
    <row r="3065" spans="1:7" x14ac:dyDescent="0.25">
      <c r="A3065" t="s">
        <v>493</v>
      </c>
      <c r="F3065">
        <v>1</v>
      </c>
      <c r="G3065">
        <v>1</v>
      </c>
    </row>
    <row r="3066" spans="1:7" x14ac:dyDescent="0.25">
      <c r="A3066" t="s">
        <v>1191</v>
      </c>
      <c r="F3066">
        <v>2</v>
      </c>
      <c r="G3066">
        <v>2</v>
      </c>
    </row>
    <row r="3067" spans="1:7" x14ac:dyDescent="0.25">
      <c r="A3067" t="s">
        <v>292</v>
      </c>
      <c r="F3067">
        <v>1</v>
      </c>
      <c r="G3067">
        <v>1</v>
      </c>
    </row>
    <row r="3068" spans="1:7" x14ac:dyDescent="0.25">
      <c r="A3068" t="s">
        <v>367</v>
      </c>
      <c r="F3068">
        <v>1</v>
      </c>
      <c r="G3068">
        <v>1</v>
      </c>
    </row>
    <row r="3069" spans="1:7" x14ac:dyDescent="0.25">
      <c r="A3069" t="s">
        <v>1192</v>
      </c>
      <c r="F3069">
        <v>2</v>
      </c>
      <c r="G3069">
        <v>2</v>
      </c>
    </row>
    <row r="3070" spans="1:7" x14ac:dyDescent="0.25">
      <c r="A3070" t="s">
        <v>288</v>
      </c>
      <c r="F3070">
        <v>1</v>
      </c>
      <c r="G3070">
        <v>1</v>
      </c>
    </row>
    <row r="3071" spans="1:7" x14ac:dyDescent="0.25">
      <c r="A3071" t="s">
        <v>380</v>
      </c>
      <c r="F3071">
        <v>1</v>
      </c>
      <c r="G3071">
        <v>1</v>
      </c>
    </row>
    <row r="3072" spans="1:7" x14ac:dyDescent="0.25">
      <c r="A3072" t="s">
        <v>1193</v>
      </c>
      <c r="F3072">
        <v>2</v>
      </c>
      <c r="G3072">
        <v>2</v>
      </c>
    </row>
    <row r="3073" spans="1:7" x14ac:dyDescent="0.25">
      <c r="A3073" t="s">
        <v>288</v>
      </c>
      <c r="F3073">
        <v>1</v>
      </c>
      <c r="G3073">
        <v>1</v>
      </c>
    </row>
    <row r="3074" spans="1:7" x14ac:dyDescent="0.25">
      <c r="A3074" t="s">
        <v>380</v>
      </c>
      <c r="F3074">
        <v>1</v>
      </c>
      <c r="G3074">
        <v>1</v>
      </c>
    </row>
    <row r="3075" spans="1:7" x14ac:dyDescent="0.25">
      <c r="A3075" t="s">
        <v>1194</v>
      </c>
      <c r="F3075">
        <v>5</v>
      </c>
      <c r="G3075">
        <v>5</v>
      </c>
    </row>
    <row r="3076" spans="1:7" x14ac:dyDescent="0.25">
      <c r="A3076" t="s">
        <v>377</v>
      </c>
      <c r="F3076">
        <v>1</v>
      </c>
      <c r="G3076">
        <v>1</v>
      </c>
    </row>
    <row r="3077" spans="1:7" x14ac:dyDescent="0.25">
      <c r="A3077" t="s">
        <v>289</v>
      </c>
      <c r="F3077">
        <v>1</v>
      </c>
      <c r="G3077">
        <v>1</v>
      </c>
    </row>
    <row r="3078" spans="1:7" x14ac:dyDescent="0.25">
      <c r="A3078" t="s">
        <v>290</v>
      </c>
      <c r="F3078">
        <v>1</v>
      </c>
      <c r="G3078">
        <v>1</v>
      </c>
    </row>
    <row r="3079" spans="1:7" x14ac:dyDescent="0.25">
      <c r="A3079" t="s">
        <v>291</v>
      </c>
      <c r="F3079">
        <v>1</v>
      </c>
      <c r="G3079">
        <v>1</v>
      </c>
    </row>
    <row r="3080" spans="1:7" x14ac:dyDescent="0.25">
      <c r="A3080" t="s">
        <v>493</v>
      </c>
      <c r="F3080">
        <v>1</v>
      </c>
      <c r="G3080">
        <v>1</v>
      </c>
    </row>
    <row r="3081" spans="1:7" x14ac:dyDescent="0.25">
      <c r="A3081" t="s">
        <v>1195</v>
      </c>
      <c r="F3081">
        <v>3</v>
      </c>
      <c r="G3081">
        <v>3</v>
      </c>
    </row>
    <row r="3082" spans="1:7" x14ac:dyDescent="0.25">
      <c r="A3082" t="s">
        <v>377</v>
      </c>
      <c r="F3082">
        <v>1</v>
      </c>
      <c r="G3082">
        <v>1</v>
      </c>
    </row>
    <row r="3083" spans="1:7" x14ac:dyDescent="0.25">
      <c r="A3083" t="s">
        <v>288</v>
      </c>
      <c r="F3083">
        <v>1</v>
      </c>
      <c r="G3083">
        <v>1</v>
      </c>
    </row>
    <row r="3084" spans="1:7" x14ac:dyDescent="0.25">
      <c r="A3084" t="s">
        <v>493</v>
      </c>
      <c r="F3084">
        <v>1</v>
      </c>
      <c r="G3084">
        <v>1</v>
      </c>
    </row>
    <row r="3085" spans="1:7" x14ac:dyDescent="0.25">
      <c r="A3085" t="s">
        <v>1196</v>
      </c>
      <c r="F3085">
        <v>5</v>
      </c>
      <c r="G3085">
        <v>5</v>
      </c>
    </row>
    <row r="3086" spans="1:7" x14ac:dyDescent="0.25">
      <c r="A3086" t="s">
        <v>377</v>
      </c>
      <c r="F3086">
        <v>1</v>
      </c>
      <c r="G3086">
        <v>1</v>
      </c>
    </row>
    <row r="3087" spans="1:7" x14ac:dyDescent="0.25">
      <c r="A3087" t="s">
        <v>289</v>
      </c>
      <c r="F3087">
        <v>1</v>
      </c>
      <c r="G3087">
        <v>1</v>
      </c>
    </row>
    <row r="3088" spans="1:7" x14ac:dyDescent="0.25">
      <c r="A3088" t="s">
        <v>290</v>
      </c>
      <c r="F3088">
        <v>1</v>
      </c>
      <c r="G3088">
        <v>1</v>
      </c>
    </row>
    <row r="3089" spans="1:7" x14ac:dyDescent="0.25">
      <c r="A3089" t="s">
        <v>291</v>
      </c>
      <c r="F3089">
        <v>1</v>
      </c>
      <c r="G3089">
        <v>1</v>
      </c>
    </row>
    <row r="3090" spans="1:7" x14ac:dyDescent="0.25">
      <c r="A3090" t="s">
        <v>493</v>
      </c>
      <c r="F3090">
        <v>1</v>
      </c>
      <c r="G3090">
        <v>1</v>
      </c>
    </row>
    <row r="3091" spans="1:7" x14ac:dyDescent="0.25">
      <c r="A3091" t="s">
        <v>1197</v>
      </c>
      <c r="F3091">
        <v>2</v>
      </c>
      <c r="G3091">
        <v>2</v>
      </c>
    </row>
    <row r="3092" spans="1:7" x14ac:dyDescent="0.25">
      <c r="A3092" t="s">
        <v>288</v>
      </c>
      <c r="F3092">
        <v>1</v>
      </c>
      <c r="G3092">
        <v>1</v>
      </c>
    </row>
    <row r="3093" spans="1:7" x14ac:dyDescent="0.25">
      <c r="A3093" t="s">
        <v>380</v>
      </c>
      <c r="F3093">
        <v>1</v>
      </c>
      <c r="G3093">
        <v>1</v>
      </c>
    </row>
    <row r="3094" spans="1:7" x14ac:dyDescent="0.25">
      <c r="A3094" t="s">
        <v>1198</v>
      </c>
      <c r="F3094">
        <v>5</v>
      </c>
      <c r="G3094">
        <v>5</v>
      </c>
    </row>
    <row r="3095" spans="1:7" x14ac:dyDescent="0.25">
      <c r="A3095" t="s">
        <v>377</v>
      </c>
      <c r="F3095">
        <v>1</v>
      </c>
      <c r="G3095">
        <v>1</v>
      </c>
    </row>
    <row r="3096" spans="1:7" x14ac:dyDescent="0.25">
      <c r="A3096" t="s">
        <v>289</v>
      </c>
      <c r="F3096">
        <v>1</v>
      </c>
      <c r="G3096">
        <v>1</v>
      </c>
    </row>
    <row r="3097" spans="1:7" x14ac:dyDescent="0.25">
      <c r="A3097" t="s">
        <v>290</v>
      </c>
      <c r="F3097">
        <v>1</v>
      </c>
      <c r="G3097">
        <v>1</v>
      </c>
    </row>
    <row r="3098" spans="1:7" x14ac:dyDescent="0.25">
      <c r="A3098" t="s">
        <v>291</v>
      </c>
      <c r="F3098">
        <v>1</v>
      </c>
      <c r="G3098">
        <v>1</v>
      </c>
    </row>
    <row r="3099" spans="1:7" x14ac:dyDescent="0.25">
      <c r="A3099" t="s">
        <v>493</v>
      </c>
      <c r="F3099">
        <v>1</v>
      </c>
      <c r="G3099">
        <v>1</v>
      </c>
    </row>
    <row r="3100" spans="1:7" x14ac:dyDescent="0.25">
      <c r="A3100" t="s">
        <v>1199</v>
      </c>
      <c r="F3100">
        <v>2</v>
      </c>
      <c r="G3100">
        <v>2</v>
      </c>
    </row>
    <row r="3101" spans="1:7" x14ac:dyDescent="0.25">
      <c r="A3101" t="s">
        <v>290</v>
      </c>
      <c r="F3101">
        <v>1</v>
      </c>
      <c r="G3101">
        <v>1</v>
      </c>
    </row>
    <row r="3102" spans="1:7" x14ac:dyDescent="0.25">
      <c r="A3102" t="s">
        <v>493</v>
      </c>
      <c r="F3102">
        <v>1</v>
      </c>
      <c r="G3102">
        <v>1</v>
      </c>
    </row>
    <row r="3103" spans="1:7" x14ac:dyDescent="0.25">
      <c r="A3103" t="s">
        <v>1200</v>
      </c>
      <c r="F3103">
        <v>5</v>
      </c>
      <c r="G3103">
        <v>5</v>
      </c>
    </row>
    <row r="3104" spans="1:7" x14ac:dyDescent="0.25">
      <c r="A3104" t="s">
        <v>377</v>
      </c>
      <c r="F3104">
        <v>1</v>
      </c>
      <c r="G3104">
        <v>1</v>
      </c>
    </row>
    <row r="3105" spans="1:7" x14ac:dyDescent="0.25">
      <c r="A3105" t="s">
        <v>289</v>
      </c>
      <c r="F3105">
        <v>1</v>
      </c>
      <c r="G3105">
        <v>1</v>
      </c>
    </row>
    <row r="3106" spans="1:7" x14ac:dyDescent="0.25">
      <c r="A3106" t="s">
        <v>290</v>
      </c>
      <c r="F3106">
        <v>1</v>
      </c>
      <c r="G3106">
        <v>1</v>
      </c>
    </row>
    <row r="3107" spans="1:7" x14ac:dyDescent="0.25">
      <c r="A3107" t="s">
        <v>291</v>
      </c>
      <c r="F3107">
        <v>1</v>
      </c>
      <c r="G3107">
        <v>1</v>
      </c>
    </row>
    <row r="3108" spans="1:7" x14ac:dyDescent="0.25">
      <c r="A3108" t="s">
        <v>493</v>
      </c>
      <c r="F3108">
        <v>1</v>
      </c>
      <c r="G3108">
        <v>1</v>
      </c>
    </row>
    <row r="3109" spans="1:7" x14ac:dyDescent="0.25">
      <c r="A3109" t="s">
        <v>1201</v>
      </c>
      <c r="F3109">
        <v>2</v>
      </c>
      <c r="G3109">
        <v>2</v>
      </c>
    </row>
    <row r="3110" spans="1:7" x14ac:dyDescent="0.25">
      <c r="A3110" t="s">
        <v>291</v>
      </c>
      <c r="F3110">
        <v>1</v>
      </c>
      <c r="G3110">
        <v>1</v>
      </c>
    </row>
    <row r="3111" spans="1:7" x14ac:dyDescent="0.25">
      <c r="A3111" t="s">
        <v>380</v>
      </c>
      <c r="F3111">
        <v>1</v>
      </c>
      <c r="G3111">
        <v>1</v>
      </c>
    </row>
    <row r="3112" spans="1:7" x14ac:dyDescent="0.25">
      <c r="A3112" t="s">
        <v>1202</v>
      </c>
      <c r="F3112">
        <v>5</v>
      </c>
      <c r="G3112">
        <v>5</v>
      </c>
    </row>
    <row r="3113" spans="1:7" x14ac:dyDescent="0.25">
      <c r="A3113" t="s">
        <v>377</v>
      </c>
      <c r="F3113">
        <v>1</v>
      </c>
      <c r="G3113">
        <v>1</v>
      </c>
    </row>
    <row r="3114" spans="1:7" x14ac:dyDescent="0.25">
      <c r="A3114" t="s">
        <v>289</v>
      </c>
      <c r="F3114">
        <v>1</v>
      </c>
      <c r="G3114">
        <v>1</v>
      </c>
    </row>
    <row r="3115" spans="1:7" x14ac:dyDescent="0.25">
      <c r="A3115" t="s">
        <v>290</v>
      </c>
      <c r="F3115">
        <v>1</v>
      </c>
      <c r="G3115">
        <v>1</v>
      </c>
    </row>
    <row r="3116" spans="1:7" x14ac:dyDescent="0.25">
      <c r="A3116" t="s">
        <v>291</v>
      </c>
      <c r="F3116">
        <v>1</v>
      </c>
      <c r="G3116">
        <v>1</v>
      </c>
    </row>
    <row r="3117" spans="1:7" x14ac:dyDescent="0.25">
      <c r="A3117" t="s">
        <v>493</v>
      </c>
      <c r="F3117">
        <v>1</v>
      </c>
      <c r="G3117">
        <v>1</v>
      </c>
    </row>
    <row r="3118" spans="1:7" x14ac:dyDescent="0.25">
      <c r="A3118" t="s">
        <v>1203</v>
      </c>
      <c r="F3118">
        <v>5</v>
      </c>
      <c r="G3118">
        <v>5</v>
      </c>
    </row>
    <row r="3119" spans="1:7" x14ac:dyDescent="0.25">
      <c r="A3119" t="s">
        <v>377</v>
      </c>
      <c r="F3119">
        <v>1</v>
      </c>
      <c r="G3119">
        <v>1</v>
      </c>
    </row>
    <row r="3120" spans="1:7" x14ac:dyDescent="0.25">
      <c r="A3120" t="s">
        <v>289</v>
      </c>
      <c r="F3120">
        <v>1</v>
      </c>
      <c r="G3120">
        <v>1</v>
      </c>
    </row>
    <row r="3121" spans="1:7" x14ac:dyDescent="0.25">
      <c r="A3121" t="s">
        <v>290</v>
      </c>
      <c r="F3121">
        <v>1</v>
      </c>
      <c r="G3121">
        <v>1</v>
      </c>
    </row>
    <row r="3122" spans="1:7" x14ac:dyDescent="0.25">
      <c r="A3122" t="s">
        <v>291</v>
      </c>
      <c r="F3122">
        <v>1</v>
      </c>
      <c r="G3122">
        <v>1</v>
      </c>
    </row>
    <row r="3123" spans="1:7" x14ac:dyDescent="0.25">
      <c r="A3123" t="s">
        <v>493</v>
      </c>
      <c r="F3123">
        <v>1</v>
      </c>
      <c r="G3123">
        <v>1</v>
      </c>
    </row>
    <row r="3124" spans="1:7" x14ac:dyDescent="0.25">
      <c r="A3124" t="s">
        <v>1204</v>
      </c>
      <c r="F3124">
        <v>2</v>
      </c>
      <c r="G3124">
        <v>2</v>
      </c>
    </row>
    <row r="3125" spans="1:7" x14ac:dyDescent="0.25">
      <c r="A3125" t="s">
        <v>292</v>
      </c>
      <c r="F3125">
        <v>1</v>
      </c>
      <c r="G3125">
        <v>1</v>
      </c>
    </row>
    <row r="3126" spans="1:7" x14ac:dyDescent="0.25">
      <c r="A3126" t="s">
        <v>380</v>
      </c>
      <c r="F3126">
        <v>1</v>
      </c>
      <c r="G3126">
        <v>1</v>
      </c>
    </row>
    <row r="3127" spans="1:7" x14ac:dyDescent="0.25">
      <c r="A3127" t="s">
        <v>1205</v>
      </c>
      <c r="F3127">
        <v>2</v>
      </c>
      <c r="G3127">
        <v>2</v>
      </c>
    </row>
    <row r="3128" spans="1:7" x14ac:dyDescent="0.25">
      <c r="A3128" t="s">
        <v>292</v>
      </c>
      <c r="F3128">
        <v>1</v>
      </c>
      <c r="G3128">
        <v>1</v>
      </c>
    </row>
    <row r="3129" spans="1:7" x14ac:dyDescent="0.25">
      <c r="A3129" t="s">
        <v>380</v>
      </c>
      <c r="F3129">
        <v>1</v>
      </c>
      <c r="G3129">
        <v>1</v>
      </c>
    </row>
    <row r="3130" spans="1:7" x14ac:dyDescent="0.25">
      <c r="A3130" t="s">
        <v>1206</v>
      </c>
      <c r="F3130">
        <v>2</v>
      </c>
      <c r="G3130">
        <v>2</v>
      </c>
    </row>
    <row r="3131" spans="1:7" x14ac:dyDescent="0.25">
      <c r="A3131" t="s">
        <v>291</v>
      </c>
      <c r="F3131">
        <v>1</v>
      </c>
      <c r="G3131">
        <v>1</v>
      </c>
    </row>
    <row r="3132" spans="1:7" x14ac:dyDescent="0.25">
      <c r="A3132" t="s">
        <v>380</v>
      </c>
      <c r="F3132">
        <v>1</v>
      </c>
      <c r="G3132">
        <v>1</v>
      </c>
    </row>
    <row r="3133" spans="1:7" x14ac:dyDescent="0.25">
      <c r="A3133" t="s">
        <v>1207</v>
      </c>
      <c r="F3133">
        <v>2</v>
      </c>
      <c r="G3133">
        <v>2</v>
      </c>
    </row>
    <row r="3134" spans="1:7" x14ac:dyDescent="0.25">
      <c r="A3134" t="s">
        <v>292</v>
      </c>
      <c r="F3134">
        <v>1</v>
      </c>
      <c r="G3134">
        <v>1</v>
      </c>
    </row>
    <row r="3135" spans="1:7" x14ac:dyDescent="0.25">
      <c r="A3135" t="s">
        <v>367</v>
      </c>
      <c r="F3135">
        <v>1</v>
      </c>
      <c r="G3135">
        <v>1</v>
      </c>
    </row>
    <row r="3136" spans="1:7" x14ac:dyDescent="0.25">
      <c r="A3136" t="s">
        <v>1208</v>
      </c>
      <c r="F3136">
        <v>2</v>
      </c>
      <c r="G3136">
        <v>2</v>
      </c>
    </row>
    <row r="3137" spans="1:7" x14ac:dyDescent="0.25">
      <c r="A3137" t="s">
        <v>288</v>
      </c>
      <c r="F3137">
        <v>1</v>
      </c>
      <c r="G3137">
        <v>1</v>
      </c>
    </row>
    <row r="3138" spans="1:7" x14ac:dyDescent="0.25">
      <c r="A3138" t="s">
        <v>380</v>
      </c>
      <c r="F3138">
        <v>1</v>
      </c>
      <c r="G3138">
        <v>1</v>
      </c>
    </row>
    <row r="3139" spans="1:7" x14ac:dyDescent="0.25">
      <c r="A3139" t="s">
        <v>1209</v>
      </c>
      <c r="F3139">
        <v>2</v>
      </c>
      <c r="G3139">
        <v>2</v>
      </c>
    </row>
    <row r="3140" spans="1:7" x14ac:dyDescent="0.25">
      <c r="A3140" t="s">
        <v>288</v>
      </c>
      <c r="F3140">
        <v>1</v>
      </c>
      <c r="G3140">
        <v>1</v>
      </c>
    </row>
    <row r="3141" spans="1:7" x14ac:dyDescent="0.25">
      <c r="A3141" t="s">
        <v>380</v>
      </c>
      <c r="F3141">
        <v>1</v>
      </c>
      <c r="G3141">
        <v>1</v>
      </c>
    </row>
    <row r="3142" spans="1:7" x14ac:dyDescent="0.25">
      <c r="A3142" t="s">
        <v>1210</v>
      </c>
      <c r="F3142">
        <v>2</v>
      </c>
      <c r="G3142">
        <v>2</v>
      </c>
    </row>
    <row r="3143" spans="1:7" x14ac:dyDescent="0.25">
      <c r="A3143" t="s">
        <v>288</v>
      </c>
      <c r="F3143">
        <v>1</v>
      </c>
      <c r="G3143">
        <v>1</v>
      </c>
    </row>
    <row r="3144" spans="1:7" x14ac:dyDescent="0.25">
      <c r="A3144" t="s">
        <v>367</v>
      </c>
      <c r="F3144">
        <v>1</v>
      </c>
      <c r="G3144">
        <v>1</v>
      </c>
    </row>
    <row r="3145" spans="1:7" x14ac:dyDescent="0.25">
      <c r="A3145" t="s">
        <v>1211</v>
      </c>
      <c r="F3145">
        <v>2</v>
      </c>
      <c r="G3145">
        <v>2</v>
      </c>
    </row>
    <row r="3146" spans="1:7" x14ac:dyDescent="0.25">
      <c r="A3146" t="s">
        <v>288</v>
      </c>
      <c r="F3146">
        <v>1</v>
      </c>
      <c r="G3146">
        <v>1</v>
      </c>
    </row>
    <row r="3147" spans="1:7" x14ac:dyDescent="0.25">
      <c r="A3147" t="s">
        <v>367</v>
      </c>
      <c r="F3147">
        <v>1</v>
      </c>
      <c r="G3147">
        <v>1</v>
      </c>
    </row>
    <row r="3148" spans="1:7" x14ac:dyDescent="0.25">
      <c r="A3148" t="s">
        <v>1212</v>
      </c>
      <c r="F3148">
        <v>3</v>
      </c>
      <c r="G3148">
        <v>3</v>
      </c>
    </row>
    <row r="3149" spans="1:7" x14ac:dyDescent="0.25">
      <c r="A3149" t="s">
        <v>377</v>
      </c>
      <c r="F3149">
        <v>1</v>
      </c>
      <c r="G3149">
        <v>1</v>
      </c>
    </row>
    <row r="3150" spans="1:7" x14ac:dyDescent="0.25">
      <c r="A3150" t="s">
        <v>288</v>
      </c>
      <c r="F3150">
        <v>1</v>
      </c>
      <c r="G3150">
        <v>1</v>
      </c>
    </row>
    <row r="3151" spans="1:7" x14ac:dyDescent="0.25">
      <c r="A3151" t="s">
        <v>380</v>
      </c>
      <c r="F3151">
        <v>1</v>
      </c>
      <c r="G3151">
        <v>1</v>
      </c>
    </row>
    <row r="3152" spans="1:7" x14ac:dyDescent="0.25">
      <c r="A3152" t="s">
        <v>1213</v>
      </c>
      <c r="F3152">
        <v>3</v>
      </c>
      <c r="G3152">
        <v>3</v>
      </c>
    </row>
    <row r="3153" spans="1:7" x14ac:dyDescent="0.25">
      <c r="A3153" t="s">
        <v>377</v>
      </c>
      <c r="F3153">
        <v>1</v>
      </c>
      <c r="G3153">
        <v>1</v>
      </c>
    </row>
    <row r="3154" spans="1:7" x14ac:dyDescent="0.25">
      <c r="A3154" t="s">
        <v>291</v>
      </c>
      <c r="F3154">
        <v>1</v>
      </c>
      <c r="G3154">
        <v>1</v>
      </c>
    </row>
    <row r="3155" spans="1:7" x14ac:dyDescent="0.25">
      <c r="A3155" t="s">
        <v>493</v>
      </c>
      <c r="F3155">
        <v>1</v>
      </c>
      <c r="G3155">
        <v>1</v>
      </c>
    </row>
    <row r="3156" spans="1:7" x14ac:dyDescent="0.25">
      <c r="A3156" t="s">
        <v>1214</v>
      </c>
      <c r="F3156">
        <v>5</v>
      </c>
      <c r="G3156">
        <v>5</v>
      </c>
    </row>
    <row r="3157" spans="1:7" x14ac:dyDescent="0.25">
      <c r="A3157" t="s">
        <v>377</v>
      </c>
      <c r="F3157">
        <v>1</v>
      </c>
      <c r="G3157">
        <v>1</v>
      </c>
    </row>
    <row r="3158" spans="1:7" x14ac:dyDescent="0.25">
      <c r="A3158" t="s">
        <v>289</v>
      </c>
      <c r="F3158">
        <v>1</v>
      </c>
      <c r="G3158">
        <v>1</v>
      </c>
    </row>
    <row r="3159" spans="1:7" x14ac:dyDescent="0.25">
      <c r="A3159" t="s">
        <v>290</v>
      </c>
      <c r="F3159">
        <v>1</v>
      </c>
      <c r="G3159">
        <v>1</v>
      </c>
    </row>
    <row r="3160" spans="1:7" x14ac:dyDescent="0.25">
      <c r="A3160" t="s">
        <v>291</v>
      </c>
      <c r="F3160">
        <v>1</v>
      </c>
      <c r="G3160">
        <v>1</v>
      </c>
    </row>
    <row r="3161" spans="1:7" x14ac:dyDescent="0.25">
      <c r="A3161" t="s">
        <v>493</v>
      </c>
      <c r="F3161">
        <v>1</v>
      </c>
      <c r="G3161">
        <v>1</v>
      </c>
    </row>
    <row r="3162" spans="1:7" x14ac:dyDescent="0.25">
      <c r="A3162" t="s">
        <v>1215</v>
      </c>
      <c r="F3162">
        <v>2</v>
      </c>
      <c r="G3162">
        <v>2</v>
      </c>
    </row>
    <row r="3163" spans="1:7" x14ac:dyDescent="0.25">
      <c r="A3163" t="s">
        <v>291</v>
      </c>
      <c r="F3163">
        <v>1</v>
      </c>
      <c r="G3163">
        <v>1</v>
      </c>
    </row>
    <row r="3164" spans="1:7" x14ac:dyDescent="0.25">
      <c r="A3164" t="s">
        <v>493</v>
      </c>
      <c r="F3164">
        <v>1</v>
      </c>
      <c r="G3164">
        <v>1</v>
      </c>
    </row>
    <row r="3165" spans="1:7" x14ac:dyDescent="0.25">
      <c r="A3165" t="s">
        <v>1216</v>
      </c>
      <c r="F3165">
        <v>3</v>
      </c>
      <c r="G3165">
        <v>3</v>
      </c>
    </row>
    <row r="3166" spans="1:7" x14ac:dyDescent="0.25">
      <c r="A3166" t="s">
        <v>377</v>
      </c>
      <c r="F3166">
        <v>1</v>
      </c>
      <c r="G3166">
        <v>1</v>
      </c>
    </row>
    <row r="3167" spans="1:7" x14ac:dyDescent="0.25">
      <c r="A3167" t="s">
        <v>288</v>
      </c>
      <c r="F3167">
        <v>1</v>
      </c>
      <c r="G3167">
        <v>1</v>
      </c>
    </row>
    <row r="3168" spans="1:7" x14ac:dyDescent="0.25">
      <c r="A3168" t="s">
        <v>493</v>
      </c>
      <c r="F3168">
        <v>1</v>
      </c>
      <c r="G3168">
        <v>1</v>
      </c>
    </row>
    <row r="3169" spans="1:7" x14ac:dyDescent="0.25">
      <c r="A3169" t="s">
        <v>1217</v>
      </c>
      <c r="F3169">
        <v>5</v>
      </c>
      <c r="G3169">
        <v>5</v>
      </c>
    </row>
    <row r="3170" spans="1:7" x14ac:dyDescent="0.25">
      <c r="A3170" t="s">
        <v>377</v>
      </c>
      <c r="F3170">
        <v>1</v>
      </c>
      <c r="G3170">
        <v>1</v>
      </c>
    </row>
    <row r="3171" spans="1:7" x14ac:dyDescent="0.25">
      <c r="A3171" t="s">
        <v>289</v>
      </c>
      <c r="F3171">
        <v>1</v>
      </c>
      <c r="G3171">
        <v>1</v>
      </c>
    </row>
    <row r="3172" spans="1:7" x14ac:dyDescent="0.25">
      <c r="A3172" t="s">
        <v>290</v>
      </c>
      <c r="F3172">
        <v>1</v>
      </c>
      <c r="G3172">
        <v>1</v>
      </c>
    </row>
    <row r="3173" spans="1:7" x14ac:dyDescent="0.25">
      <c r="A3173" t="s">
        <v>291</v>
      </c>
      <c r="F3173">
        <v>1</v>
      </c>
      <c r="G3173">
        <v>1</v>
      </c>
    </row>
    <row r="3174" spans="1:7" x14ac:dyDescent="0.25">
      <c r="A3174" t="s">
        <v>493</v>
      </c>
      <c r="F3174">
        <v>1</v>
      </c>
      <c r="G3174">
        <v>1</v>
      </c>
    </row>
    <row r="3175" spans="1:7" x14ac:dyDescent="0.25">
      <c r="A3175" t="s">
        <v>1218</v>
      </c>
      <c r="F3175">
        <v>5</v>
      </c>
      <c r="G3175">
        <v>5</v>
      </c>
    </row>
    <row r="3176" spans="1:7" x14ac:dyDescent="0.25">
      <c r="A3176" t="s">
        <v>377</v>
      </c>
      <c r="F3176">
        <v>1</v>
      </c>
      <c r="G3176">
        <v>1</v>
      </c>
    </row>
    <row r="3177" spans="1:7" x14ac:dyDescent="0.25">
      <c r="A3177" t="s">
        <v>289</v>
      </c>
      <c r="F3177">
        <v>1</v>
      </c>
      <c r="G3177">
        <v>1</v>
      </c>
    </row>
    <row r="3178" spans="1:7" x14ac:dyDescent="0.25">
      <c r="A3178" t="s">
        <v>290</v>
      </c>
      <c r="F3178">
        <v>1</v>
      </c>
      <c r="G3178">
        <v>1</v>
      </c>
    </row>
    <row r="3179" spans="1:7" x14ac:dyDescent="0.25">
      <c r="A3179" t="s">
        <v>291</v>
      </c>
      <c r="F3179">
        <v>1</v>
      </c>
      <c r="G3179">
        <v>1</v>
      </c>
    </row>
    <row r="3180" spans="1:7" x14ac:dyDescent="0.25">
      <c r="A3180" t="s">
        <v>493</v>
      </c>
      <c r="F3180">
        <v>1</v>
      </c>
      <c r="G3180">
        <v>1</v>
      </c>
    </row>
    <row r="3181" spans="1:7" x14ac:dyDescent="0.25">
      <c r="A3181" t="s">
        <v>1219</v>
      </c>
      <c r="F3181">
        <v>3</v>
      </c>
      <c r="G3181">
        <v>3</v>
      </c>
    </row>
    <row r="3182" spans="1:7" x14ac:dyDescent="0.25">
      <c r="A3182" t="s">
        <v>377</v>
      </c>
      <c r="F3182">
        <v>1</v>
      </c>
      <c r="G3182">
        <v>1</v>
      </c>
    </row>
    <row r="3183" spans="1:7" x14ac:dyDescent="0.25">
      <c r="A3183" t="s">
        <v>292</v>
      </c>
      <c r="F3183">
        <v>1</v>
      </c>
      <c r="G3183">
        <v>1</v>
      </c>
    </row>
    <row r="3184" spans="1:7" x14ac:dyDescent="0.25">
      <c r="A3184" t="s">
        <v>380</v>
      </c>
      <c r="F3184">
        <v>1</v>
      </c>
      <c r="G3184">
        <v>1</v>
      </c>
    </row>
    <row r="3185" spans="1:7" x14ac:dyDescent="0.25">
      <c r="A3185" t="s">
        <v>1220</v>
      </c>
      <c r="F3185">
        <v>2</v>
      </c>
      <c r="G3185">
        <v>2</v>
      </c>
    </row>
    <row r="3186" spans="1:7" x14ac:dyDescent="0.25">
      <c r="A3186" t="s">
        <v>288</v>
      </c>
      <c r="F3186">
        <v>1</v>
      </c>
      <c r="G3186">
        <v>1</v>
      </c>
    </row>
    <row r="3187" spans="1:7" x14ac:dyDescent="0.25">
      <c r="A3187" t="s">
        <v>367</v>
      </c>
      <c r="F3187">
        <v>1</v>
      </c>
      <c r="G3187">
        <v>1</v>
      </c>
    </row>
    <row r="3188" spans="1:7" x14ac:dyDescent="0.25">
      <c r="A3188" t="s">
        <v>1221</v>
      </c>
      <c r="F3188">
        <v>2</v>
      </c>
      <c r="G3188">
        <v>2</v>
      </c>
    </row>
    <row r="3189" spans="1:7" x14ac:dyDescent="0.25">
      <c r="A3189" t="s">
        <v>291</v>
      </c>
      <c r="F3189">
        <v>1</v>
      </c>
      <c r="G3189">
        <v>1</v>
      </c>
    </row>
    <row r="3190" spans="1:7" x14ac:dyDescent="0.25">
      <c r="A3190" t="s">
        <v>367</v>
      </c>
      <c r="F3190">
        <v>1</v>
      </c>
      <c r="G3190">
        <v>1</v>
      </c>
    </row>
    <row r="3191" spans="1:7" x14ac:dyDescent="0.25">
      <c r="A3191" t="s">
        <v>1222</v>
      </c>
      <c r="F3191">
        <v>2</v>
      </c>
      <c r="G3191">
        <v>2</v>
      </c>
    </row>
    <row r="3192" spans="1:7" x14ac:dyDescent="0.25">
      <c r="A3192" t="s">
        <v>288</v>
      </c>
      <c r="F3192">
        <v>1</v>
      </c>
      <c r="G3192">
        <v>1</v>
      </c>
    </row>
    <row r="3193" spans="1:7" x14ac:dyDescent="0.25">
      <c r="A3193" t="s">
        <v>380</v>
      </c>
      <c r="F3193">
        <v>1</v>
      </c>
      <c r="G3193">
        <v>1</v>
      </c>
    </row>
    <row r="3194" spans="1:7" x14ac:dyDescent="0.25">
      <c r="A3194" t="s">
        <v>1223</v>
      </c>
      <c r="F3194">
        <v>2</v>
      </c>
      <c r="G3194">
        <v>2</v>
      </c>
    </row>
    <row r="3195" spans="1:7" x14ac:dyDescent="0.25">
      <c r="A3195" t="s">
        <v>288</v>
      </c>
      <c r="F3195">
        <v>1</v>
      </c>
      <c r="G3195">
        <v>1</v>
      </c>
    </row>
    <row r="3196" spans="1:7" x14ac:dyDescent="0.25">
      <c r="A3196" t="s">
        <v>367</v>
      </c>
      <c r="F3196">
        <v>1</v>
      </c>
      <c r="G3196">
        <v>1</v>
      </c>
    </row>
    <row r="3197" spans="1:7" x14ac:dyDescent="0.25">
      <c r="A3197" t="s">
        <v>1224</v>
      </c>
      <c r="F3197">
        <v>2</v>
      </c>
      <c r="G3197">
        <v>2</v>
      </c>
    </row>
    <row r="3198" spans="1:7" x14ac:dyDescent="0.25">
      <c r="A3198" t="s">
        <v>292</v>
      </c>
      <c r="F3198">
        <v>1</v>
      </c>
      <c r="G3198">
        <v>1</v>
      </c>
    </row>
    <row r="3199" spans="1:7" x14ac:dyDescent="0.25">
      <c r="A3199" t="s">
        <v>380</v>
      </c>
      <c r="F3199">
        <v>1</v>
      </c>
      <c r="G3199">
        <v>1</v>
      </c>
    </row>
    <row r="3200" spans="1:7" x14ac:dyDescent="0.25">
      <c r="A3200" t="s">
        <v>1225</v>
      </c>
      <c r="F3200">
        <v>2</v>
      </c>
      <c r="G3200">
        <v>2</v>
      </c>
    </row>
    <row r="3201" spans="1:7" x14ac:dyDescent="0.25">
      <c r="A3201" t="s">
        <v>288</v>
      </c>
      <c r="F3201">
        <v>1</v>
      </c>
      <c r="G3201">
        <v>1</v>
      </c>
    </row>
    <row r="3202" spans="1:7" x14ac:dyDescent="0.25">
      <c r="A3202" t="s">
        <v>367</v>
      </c>
      <c r="F3202">
        <v>1</v>
      </c>
      <c r="G3202">
        <v>1</v>
      </c>
    </row>
    <row r="3203" spans="1:7" x14ac:dyDescent="0.25">
      <c r="A3203" t="s">
        <v>1226</v>
      </c>
      <c r="F3203">
        <v>2</v>
      </c>
      <c r="G3203">
        <v>2</v>
      </c>
    </row>
    <row r="3204" spans="1:7" x14ac:dyDescent="0.25">
      <c r="A3204" t="s">
        <v>288</v>
      </c>
      <c r="F3204">
        <v>1</v>
      </c>
      <c r="G3204">
        <v>1</v>
      </c>
    </row>
    <row r="3205" spans="1:7" x14ac:dyDescent="0.25">
      <c r="A3205" t="s">
        <v>380</v>
      </c>
      <c r="F3205">
        <v>1</v>
      </c>
      <c r="G3205">
        <v>1</v>
      </c>
    </row>
    <row r="3206" spans="1:7" x14ac:dyDescent="0.25">
      <c r="A3206" t="s">
        <v>1227</v>
      </c>
      <c r="F3206">
        <v>3</v>
      </c>
      <c r="G3206">
        <v>3</v>
      </c>
    </row>
    <row r="3207" spans="1:7" x14ac:dyDescent="0.25">
      <c r="A3207" t="s">
        <v>289</v>
      </c>
      <c r="F3207">
        <v>1</v>
      </c>
      <c r="G3207">
        <v>1</v>
      </c>
    </row>
    <row r="3208" spans="1:7" x14ac:dyDescent="0.25">
      <c r="A3208" t="s">
        <v>288</v>
      </c>
      <c r="F3208">
        <v>1</v>
      </c>
      <c r="G3208">
        <v>1</v>
      </c>
    </row>
    <row r="3209" spans="1:7" x14ac:dyDescent="0.25">
      <c r="A3209" t="s">
        <v>380</v>
      </c>
      <c r="F3209">
        <v>1</v>
      </c>
      <c r="G3209">
        <v>1</v>
      </c>
    </row>
    <row r="3210" spans="1:7" x14ac:dyDescent="0.25">
      <c r="A3210" t="s">
        <v>1228</v>
      </c>
      <c r="F3210">
        <v>2</v>
      </c>
      <c r="G3210">
        <v>2</v>
      </c>
    </row>
    <row r="3211" spans="1:7" x14ac:dyDescent="0.25">
      <c r="A3211" t="s">
        <v>288</v>
      </c>
      <c r="F3211">
        <v>1</v>
      </c>
      <c r="G3211">
        <v>1</v>
      </c>
    </row>
    <row r="3212" spans="1:7" x14ac:dyDescent="0.25">
      <c r="A3212" t="s">
        <v>367</v>
      </c>
      <c r="F3212">
        <v>1</v>
      </c>
      <c r="G3212">
        <v>1</v>
      </c>
    </row>
    <row r="3213" spans="1:7" x14ac:dyDescent="0.25">
      <c r="A3213" t="s">
        <v>1229</v>
      </c>
      <c r="F3213">
        <v>2</v>
      </c>
      <c r="G3213">
        <v>2</v>
      </c>
    </row>
    <row r="3214" spans="1:7" x14ac:dyDescent="0.25">
      <c r="A3214" t="s">
        <v>288</v>
      </c>
      <c r="F3214">
        <v>1</v>
      </c>
      <c r="G3214">
        <v>1</v>
      </c>
    </row>
    <row r="3215" spans="1:7" x14ac:dyDescent="0.25">
      <c r="A3215" t="s">
        <v>380</v>
      </c>
      <c r="F3215">
        <v>1</v>
      </c>
      <c r="G3215">
        <v>1</v>
      </c>
    </row>
    <row r="3216" spans="1:7" x14ac:dyDescent="0.25">
      <c r="A3216" t="s">
        <v>1230</v>
      </c>
      <c r="F3216">
        <v>3</v>
      </c>
      <c r="G3216">
        <v>3</v>
      </c>
    </row>
    <row r="3217" spans="1:7" x14ac:dyDescent="0.25">
      <c r="A3217" t="s">
        <v>377</v>
      </c>
      <c r="F3217">
        <v>1</v>
      </c>
      <c r="G3217">
        <v>1</v>
      </c>
    </row>
    <row r="3218" spans="1:7" x14ac:dyDescent="0.25">
      <c r="A3218" t="s">
        <v>288</v>
      </c>
      <c r="F3218">
        <v>1</v>
      </c>
      <c r="G3218">
        <v>1</v>
      </c>
    </row>
    <row r="3219" spans="1:7" x14ac:dyDescent="0.25">
      <c r="A3219" t="s">
        <v>380</v>
      </c>
      <c r="F3219">
        <v>1</v>
      </c>
      <c r="G3219">
        <v>1</v>
      </c>
    </row>
    <row r="3220" spans="1:7" x14ac:dyDescent="0.25">
      <c r="A3220" t="s">
        <v>1231</v>
      </c>
      <c r="F3220">
        <v>5</v>
      </c>
      <c r="G3220">
        <v>5</v>
      </c>
    </row>
    <row r="3221" spans="1:7" x14ac:dyDescent="0.25">
      <c r="A3221" t="s">
        <v>377</v>
      </c>
      <c r="F3221">
        <v>1</v>
      </c>
      <c r="G3221">
        <v>1</v>
      </c>
    </row>
    <row r="3222" spans="1:7" x14ac:dyDescent="0.25">
      <c r="A3222" t="s">
        <v>289</v>
      </c>
      <c r="F3222">
        <v>1</v>
      </c>
      <c r="G3222">
        <v>1</v>
      </c>
    </row>
    <row r="3223" spans="1:7" x14ac:dyDescent="0.25">
      <c r="A3223" t="s">
        <v>290</v>
      </c>
      <c r="F3223">
        <v>1</v>
      </c>
      <c r="G3223">
        <v>1</v>
      </c>
    </row>
    <row r="3224" spans="1:7" x14ac:dyDescent="0.25">
      <c r="A3224" t="s">
        <v>291</v>
      </c>
      <c r="F3224">
        <v>1</v>
      </c>
      <c r="G3224">
        <v>1</v>
      </c>
    </row>
    <row r="3225" spans="1:7" x14ac:dyDescent="0.25">
      <c r="A3225" t="s">
        <v>493</v>
      </c>
      <c r="F3225">
        <v>1</v>
      </c>
      <c r="G3225">
        <v>1</v>
      </c>
    </row>
    <row r="3226" spans="1:7" x14ac:dyDescent="0.25">
      <c r="A3226" t="s">
        <v>1232</v>
      </c>
      <c r="F3226">
        <v>2</v>
      </c>
      <c r="G3226">
        <v>2</v>
      </c>
    </row>
    <row r="3227" spans="1:7" x14ac:dyDescent="0.25">
      <c r="A3227" t="s">
        <v>288</v>
      </c>
      <c r="F3227">
        <v>1</v>
      </c>
      <c r="G3227">
        <v>1</v>
      </c>
    </row>
    <row r="3228" spans="1:7" x14ac:dyDescent="0.25">
      <c r="A3228" t="s">
        <v>367</v>
      </c>
      <c r="F3228">
        <v>1</v>
      </c>
      <c r="G3228">
        <v>1</v>
      </c>
    </row>
    <row r="3229" spans="1:7" x14ac:dyDescent="0.25">
      <c r="A3229" t="s">
        <v>1233</v>
      </c>
      <c r="F3229">
        <v>2</v>
      </c>
      <c r="G3229">
        <v>2</v>
      </c>
    </row>
    <row r="3230" spans="1:7" x14ac:dyDescent="0.25">
      <c r="A3230" t="s">
        <v>288</v>
      </c>
      <c r="F3230">
        <v>1</v>
      </c>
      <c r="G3230">
        <v>1</v>
      </c>
    </row>
    <row r="3231" spans="1:7" x14ac:dyDescent="0.25">
      <c r="A3231" t="s">
        <v>367</v>
      </c>
      <c r="F3231">
        <v>1</v>
      </c>
      <c r="G3231">
        <v>1</v>
      </c>
    </row>
    <row r="3232" spans="1:7" x14ac:dyDescent="0.25">
      <c r="A3232" t="s">
        <v>1234</v>
      </c>
      <c r="F3232">
        <v>4</v>
      </c>
      <c r="G3232">
        <v>4</v>
      </c>
    </row>
    <row r="3233" spans="1:7" x14ac:dyDescent="0.25">
      <c r="A3233" t="s">
        <v>377</v>
      </c>
      <c r="F3233">
        <v>1</v>
      </c>
      <c r="G3233">
        <v>1</v>
      </c>
    </row>
    <row r="3234" spans="1:7" x14ac:dyDescent="0.25">
      <c r="A3234" t="s">
        <v>385</v>
      </c>
      <c r="F3234">
        <v>1</v>
      </c>
      <c r="G3234">
        <v>1</v>
      </c>
    </row>
    <row r="3235" spans="1:7" x14ac:dyDescent="0.25">
      <c r="A3235" t="s">
        <v>288</v>
      </c>
      <c r="F3235">
        <v>1</v>
      </c>
      <c r="G3235">
        <v>1</v>
      </c>
    </row>
    <row r="3236" spans="1:7" x14ac:dyDescent="0.25">
      <c r="A3236" t="s">
        <v>380</v>
      </c>
      <c r="F3236">
        <v>1</v>
      </c>
      <c r="G3236">
        <v>1</v>
      </c>
    </row>
    <row r="3237" spans="1:7" x14ac:dyDescent="0.25">
      <c r="A3237" t="s">
        <v>1235</v>
      </c>
      <c r="F3237">
        <v>2</v>
      </c>
      <c r="G3237">
        <v>2</v>
      </c>
    </row>
    <row r="3238" spans="1:7" x14ac:dyDescent="0.25">
      <c r="A3238" t="s">
        <v>291</v>
      </c>
      <c r="F3238">
        <v>1</v>
      </c>
      <c r="G3238">
        <v>1</v>
      </c>
    </row>
    <row r="3239" spans="1:7" x14ac:dyDescent="0.25">
      <c r="A3239" t="s">
        <v>367</v>
      </c>
      <c r="F3239">
        <v>1</v>
      </c>
      <c r="G3239">
        <v>1</v>
      </c>
    </row>
    <row r="3240" spans="1:7" x14ac:dyDescent="0.25">
      <c r="A3240" t="s">
        <v>1236</v>
      </c>
      <c r="F3240">
        <v>2</v>
      </c>
      <c r="G3240">
        <v>2</v>
      </c>
    </row>
    <row r="3241" spans="1:7" x14ac:dyDescent="0.25">
      <c r="A3241" t="s">
        <v>288</v>
      </c>
      <c r="F3241">
        <v>1</v>
      </c>
      <c r="G3241">
        <v>1</v>
      </c>
    </row>
    <row r="3242" spans="1:7" x14ac:dyDescent="0.25">
      <c r="A3242" t="s">
        <v>367</v>
      </c>
      <c r="F3242">
        <v>1</v>
      </c>
      <c r="G3242">
        <v>1</v>
      </c>
    </row>
    <row r="3243" spans="1:7" x14ac:dyDescent="0.25">
      <c r="A3243" t="s">
        <v>1237</v>
      </c>
      <c r="F3243">
        <v>2</v>
      </c>
      <c r="G3243">
        <v>2</v>
      </c>
    </row>
    <row r="3244" spans="1:7" x14ac:dyDescent="0.25">
      <c r="A3244" t="s">
        <v>292</v>
      </c>
      <c r="F3244">
        <v>1</v>
      </c>
      <c r="G3244">
        <v>1</v>
      </c>
    </row>
    <row r="3245" spans="1:7" x14ac:dyDescent="0.25">
      <c r="A3245" t="s">
        <v>380</v>
      </c>
      <c r="F3245">
        <v>1</v>
      </c>
      <c r="G3245">
        <v>1</v>
      </c>
    </row>
    <row r="3246" spans="1:7" x14ac:dyDescent="0.25">
      <c r="A3246" t="s">
        <v>1238</v>
      </c>
      <c r="F3246">
        <v>2</v>
      </c>
      <c r="G3246">
        <v>2</v>
      </c>
    </row>
    <row r="3247" spans="1:7" x14ac:dyDescent="0.25">
      <c r="A3247" t="s">
        <v>288</v>
      </c>
      <c r="F3247">
        <v>1</v>
      </c>
      <c r="G3247">
        <v>1</v>
      </c>
    </row>
    <row r="3248" spans="1:7" x14ac:dyDescent="0.25">
      <c r="A3248" t="s">
        <v>367</v>
      </c>
      <c r="F3248">
        <v>1</v>
      </c>
      <c r="G3248">
        <v>1</v>
      </c>
    </row>
    <row r="3249" spans="1:7" x14ac:dyDescent="0.25">
      <c r="A3249" t="s">
        <v>1239</v>
      </c>
      <c r="F3249">
        <v>3</v>
      </c>
      <c r="G3249">
        <v>3</v>
      </c>
    </row>
    <row r="3250" spans="1:7" x14ac:dyDescent="0.25">
      <c r="A3250" t="s">
        <v>377</v>
      </c>
      <c r="F3250">
        <v>1</v>
      </c>
      <c r="G3250">
        <v>1</v>
      </c>
    </row>
    <row r="3251" spans="1:7" x14ac:dyDescent="0.25">
      <c r="A3251" t="s">
        <v>292</v>
      </c>
      <c r="F3251">
        <v>1</v>
      </c>
      <c r="G3251">
        <v>1</v>
      </c>
    </row>
    <row r="3252" spans="1:7" x14ac:dyDescent="0.25">
      <c r="A3252" t="s">
        <v>493</v>
      </c>
      <c r="F3252">
        <v>1</v>
      </c>
      <c r="G3252">
        <v>1</v>
      </c>
    </row>
    <row r="3253" spans="1:7" x14ac:dyDescent="0.25">
      <c r="A3253" t="s">
        <v>1240</v>
      </c>
      <c r="F3253">
        <v>5</v>
      </c>
      <c r="G3253">
        <v>5</v>
      </c>
    </row>
    <row r="3254" spans="1:7" x14ac:dyDescent="0.25">
      <c r="A3254" t="s">
        <v>377</v>
      </c>
      <c r="F3254">
        <v>1</v>
      </c>
      <c r="G3254">
        <v>1</v>
      </c>
    </row>
    <row r="3255" spans="1:7" x14ac:dyDescent="0.25">
      <c r="A3255" t="s">
        <v>289</v>
      </c>
      <c r="F3255">
        <v>1</v>
      </c>
      <c r="G3255">
        <v>1</v>
      </c>
    </row>
    <row r="3256" spans="1:7" x14ac:dyDescent="0.25">
      <c r="A3256" t="s">
        <v>290</v>
      </c>
      <c r="F3256">
        <v>1</v>
      </c>
      <c r="G3256">
        <v>1</v>
      </c>
    </row>
    <row r="3257" spans="1:7" x14ac:dyDescent="0.25">
      <c r="A3257" t="s">
        <v>291</v>
      </c>
      <c r="F3257">
        <v>1</v>
      </c>
      <c r="G3257">
        <v>1</v>
      </c>
    </row>
    <row r="3258" spans="1:7" x14ac:dyDescent="0.25">
      <c r="A3258" t="s">
        <v>493</v>
      </c>
      <c r="F3258">
        <v>1</v>
      </c>
      <c r="G3258">
        <v>1</v>
      </c>
    </row>
    <row r="3259" spans="1:7" x14ac:dyDescent="0.25">
      <c r="A3259" t="s">
        <v>1241</v>
      </c>
      <c r="F3259">
        <v>2</v>
      </c>
      <c r="G3259">
        <v>2</v>
      </c>
    </row>
    <row r="3260" spans="1:7" x14ac:dyDescent="0.25">
      <c r="A3260" t="s">
        <v>288</v>
      </c>
      <c r="F3260">
        <v>1</v>
      </c>
      <c r="G3260">
        <v>1</v>
      </c>
    </row>
    <row r="3261" spans="1:7" x14ac:dyDescent="0.25">
      <c r="A3261" t="s">
        <v>367</v>
      </c>
      <c r="F3261">
        <v>1</v>
      </c>
      <c r="G3261">
        <v>1</v>
      </c>
    </row>
    <row r="3262" spans="1:7" x14ac:dyDescent="0.25">
      <c r="A3262" t="s">
        <v>1242</v>
      </c>
      <c r="F3262">
        <v>2</v>
      </c>
      <c r="G3262">
        <v>2</v>
      </c>
    </row>
    <row r="3263" spans="1:7" x14ac:dyDescent="0.25">
      <c r="A3263" t="s">
        <v>289</v>
      </c>
      <c r="F3263">
        <v>1</v>
      </c>
      <c r="G3263">
        <v>1</v>
      </c>
    </row>
    <row r="3264" spans="1:7" x14ac:dyDescent="0.25">
      <c r="A3264" t="s">
        <v>367</v>
      </c>
      <c r="F3264">
        <v>1</v>
      </c>
      <c r="G3264">
        <v>1</v>
      </c>
    </row>
    <row r="3265" spans="1:7" x14ac:dyDescent="0.25">
      <c r="A3265" t="s">
        <v>1243</v>
      </c>
      <c r="F3265">
        <v>3</v>
      </c>
      <c r="G3265">
        <v>3</v>
      </c>
    </row>
    <row r="3266" spans="1:7" x14ac:dyDescent="0.25">
      <c r="A3266" t="s">
        <v>377</v>
      </c>
      <c r="F3266">
        <v>1</v>
      </c>
      <c r="G3266">
        <v>1</v>
      </c>
    </row>
    <row r="3267" spans="1:7" x14ac:dyDescent="0.25">
      <c r="A3267" t="s">
        <v>288</v>
      </c>
      <c r="F3267">
        <v>1</v>
      </c>
      <c r="G3267">
        <v>1</v>
      </c>
    </row>
    <row r="3268" spans="1:7" x14ac:dyDescent="0.25">
      <c r="A3268" t="s">
        <v>493</v>
      </c>
      <c r="F3268">
        <v>1</v>
      </c>
      <c r="G3268">
        <v>1</v>
      </c>
    </row>
    <row r="3269" spans="1:7" x14ac:dyDescent="0.25">
      <c r="A3269" t="s">
        <v>1244</v>
      </c>
      <c r="F3269">
        <v>5</v>
      </c>
      <c r="G3269">
        <v>5</v>
      </c>
    </row>
    <row r="3270" spans="1:7" x14ac:dyDescent="0.25">
      <c r="A3270" t="s">
        <v>377</v>
      </c>
      <c r="F3270">
        <v>1</v>
      </c>
      <c r="G3270">
        <v>1</v>
      </c>
    </row>
    <row r="3271" spans="1:7" x14ac:dyDescent="0.25">
      <c r="A3271" t="s">
        <v>289</v>
      </c>
      <c r="F3271">
        <v>1</v>
      </c>
      <c r="G3271">
        <v>1</v>
      </c>
    </row>
    <row r="3272" spans="1:7" x14ac:dyDescent="0.25">
      <c r="A3272" t="s">
        <v>290</v>
      </c>
      <c r="F3272">
        <v>1</v>
      </c>
      <c r="G3272">
        <v>1</v>
      </c>
    </row>
    <row r="3273" spans="1:7" x14ac:dyDescent="0.25">
      <c r="A3273" t="s">
        <v>291</v>
      </c>
      <c r="F3273">
        <v>1</v>
      </c>
      <c r="G3273">
        <v>1</v>
      </c>
    </row>
    <row r="3274" spans="1:7" x14ac:dyDescent="0.25">
      <c r="A3274" t="s">
        <v>493</v>
      </c>
      <c r="F3274">
        <v>1</v>
      </c>
      <c r="G3274">
        <v>1</v>
      </c>
    </row>
    <row r="3275" spans="1:7" x14ac:dyDescent="0.25">
      <c r="A3275" t="s">
        <v>1245</v>
      </c>
      <c r="F3275">
        <v>6</v>
      </c>
      <c r="G3275">
        <v>6</v>
      </c>
    </row>
    <row r="3276" spans="1:7" x14ac:dyDescent="0.25">
      <c r="A3276" t="s">
        <v>377</v>
      </c>
      <c r="F3276">
        <v>1</v>
      </c>
      <c r="G3276">
        <v>1</v>
      </c>
    </row>
    <row r="3277" spans="1:7" x14ac:dyDescent="0.25">
      <c r="A3277" t="s">
        <v>385</v>
      </c>
      <c r="F3277">
        <v>1</v>
      </c>
      <c r="G3277">
        <v>1</v>
      </c>
    </row>
    <row r="3278" spans="1:7" x14ac:dyDescent="0.25">
      <c r="A3278" t="s">
        <v>289</v>
      </c>
      <c r="F3278">
        <v>1</v>
      </c>
      <c r="G3278">
        <v>1</v>
      </c>
    </row>
    <row r="3279" spans="1:7" x14ac:dyDescent="0.25">
      <c r="A3279" t="s">
        <v>290</v>
      </c>
      <c r="F3279">
        <v>1</v>
      </c>
      <c r="G3279">
        <v>1</v>
      </c>
    </row>
    <row r="3280" spans="1:7" x14ac:dyDescent="0.25">
      <c r="A3280" t="s">
        <v>291</v>
      </c>
      <c r="F3280">
        <v>1</v>
      </c>
      <c r="G3280">
        <v>1</v>
      </c>
    </row>
    <row r="3281" spans="1:7" x14ac:dyDescent="0.25">
      <c r="A3281" t="s">
        <v>493</v>
      </c>
      <c r="F3281">
        <v>1</v>
      </c>
      <c r="G3281">
        <v>1</v>
      </c>
    </row>
    <row r="3282" spans="1:7" x14ac:dyDescent="0.25">
      <c r="A3282" t="s">
        <v>1246</v>
      </c>
      <c r="F3282">
        <v>5</v>
      </c>
      <c r="G3282">
        <v>5</v>
      </c>
    </row>
    <row r="3283" spans="1:7" x14ac:dyDescent="0.25">
      <c r="A3283" t="s">
        <v>377</v>
      </c>
      <c r="F3283">
        <v>1</v>
      </c>
      <c r="G3283">
        <v>1</v>
      </c>
    </row>
    <row r="3284" spans="1:7" x14ac:dyDescent="0.25">
      <c r="A3284" t="s">
        <v>289</v>
      </c>
      <c r="F3284">
        <v>1</v>
      </c>
      <c r="G3284">
        <v>1</v>
      </c>
    </row>
    <row r="3285" spans="1:7" x14ac:dyDescent="0.25">
      <c r="A3285" t="s">
        <v>290</v>
      </c>
      <c r="F3285">
        <v>1</v>
      </c>
      <c r="G3285">
        <v>1</v>
      </c>
    </row>
    <row r="3286" spans="1:7" x14ac:dyDescent="0.25">
      <c r="A3286" t="s">
        <v>291</v>
      </c>
      <c r="F3286">
        <v>1</v>
      </c>
      <c r="G3286">
        <v>1</v>
      </c>
    </row>
    <row r="3287" spans="1:7" x14ac:dyDescent="0.25">
      <c r="A3287" t="s">
        <v>493</v>
      </c>
      <c r="F3287">
        <v>1</v>
      </c>
      <c r="G3287">
        <v>1</v>
      </c>
    </row>
    <row r="3288" spans="1:7" x14ac:dyDescent="0.25">
      <c r="A3288" t="s">
        <v>1247</v>
      </c>
      <c r="F3288">
        <v>5</v>
      </c>
      <c r="G3288">
        <v>5</v>
      </c>
    </row>
    <row r="3289" spans="1:7" x14ac:dyDescent="0.25">
      <c r="A3289" t="s">
        <v>377</v>
      </c>
      <c r="F3289">
        <v>1</v>
      </c>
      <c r="G3289">
        <v>1</v>
      </c>
    </row>
    <row r="3290" spans="1:7" x14ac:dyDescent="0.25">
      <c r="A3290" t="s">
        <v>289</v>
      </c>
      <c r="F3290">
        <v>1</v>
      </c>
      <c r="G3290">
        <v>1</v>
      </c>
    </row>
    <row r="3291" spans="1:7" x14ac:dyDescent="0.25">
      <c r="A3291" t="s">
        <v>290</v>
      </c>
      <c r="F3291">
        <v>1</v>
      </c>
      <c r="G3291">
        <v>1</v>
      </c>
    </row>
    <row r="3292" spans="1:7" x14ac:dyDescent="0.25">
      <c r="A3292" t="s">
        <v>291</v>
      </c>
      <c r="F3292">
        <v>1</v>
      </c>
      <c r="G3292">
        <v>1</v>
      </c>
    </row>
    <row r="3293" spans="1:7" x14ac:dyDescent="0.25">
      <c r="A3293" t="s">
        <v>493</v>
      </c>
      <c r="F3293">
        <v>1</v>
      </c>
      <c r="G3293">
        <v>1</v>
      </c>
    </row>
    <row r="3294" spans="1:7" x14ac:dyDescent="0.25">
      <c r="A3294" t="s">
        <v>1248</v>
      </c>
      <c r="F3294">
        <v>2</v>
      </c>
      <c r="G3294">
        <v>2</v>
      </c>
    </row>
    <row r="3295" spans="1:7" x14ac:dyDescent="0.25">
      <c r="A3295" t="s">
        <v>291</v>
      </c>
      <c r="F3295">
        <v>1</v>
      </c>
      <c r="G3295">
        <v>1</v>
      </c>
    </row>
    <row r="3296" spans="1:7" x14ac:dyDescent="0.25">
      <c r="A3296" t="s">
        <v>493</v>
      </c>
      <c r="F3296">
        <v>1</v>
      </c>
      <c r="G3296">
        <v>1</v>
      </c>
    </row>
    <row r="3297" spans="1:7" x14ac:dyDescent="0.25">
      <c r="A3297" t="s">
        <v>1249</v>
      </c>
      <c r="F3297">
        <v>2</v>
      </c>
      <c r="G3297">
        <v>2</v>
      </c>
    </row>
    <row r="3298" spans="1:7" x14ac:dyDescent="0.25">
      <c r="A3298" t="s">
        <v>288</v>
      </c>
      <c r="F3298">
        <v>1</v>
      </c>
      <c r="G3298">
        <v>1</v>
      </c>
    </row>
    <row r="3299" spans="1:7" x14ac:dyDescent="0.25">
      <c r="A3299" t="s">
        <v>367</v>
      </c>
      <c r="F3299">
        <v>1</v>
      </c>
      <c r="G3299">
        <v>1</v>
      </c>
    </row>
    <row r="3300" spans="1:7" x14ac:dyDescent="0.25">
      <c r="A3300" t="s">
        <v>1250</v>
      </c>
      <c r="F3300">
        <v>2</v>
      </c>
      <c r="G3300">
        <v>2</v>
      </c>
    </row>
    <row r="3301" spans="1:7" x14ac:dyDescent="0.25">
      <c r="A3301" t="s">
        <v>288</v>
      </c>
      <c r="F3301">
        <v>1</v>
      </c>
      <c r="G3301">
        <v>1</v>
      </c>
    </row>
    <row r="3302" spans="1:7" x14ac:dyDescent="0.25">
      <c r="A3302" t="s">
        <v>380</v>
      </c>
      <c r="F3302">
        <v>1</v>
      </c>
      <c r="G3302">
        <v>1</v>
      </c>
    </row>
    <row r="3303" spans="1:7" x14ac:dyDescent="0.25">
      <c r="A3303" t="s">
        <v>1251</v>
      </c>
      <c r="F3303">
        <v>2</v>
      </c>
      <c r="G3303">
        <v>2</v>
      </c>
    </row>
    <row r="3304" spans="1:7" x14ac:dyDescent="0.25">
      <c r="A3304" t="s">
        <v>288</v>
      </c>
      <c r="F3304">
        <v>1</v>
      </c>
      <c r="G3304">
        <v>1</v>
      </c>
    </row>
    <row r="3305" spans="1:7" x14ac:dyDescent="0.25">
      <c r="A3305" t="s">
        <v>367</v>
      </c>
      <c r="F3305">
        <v>1</v>
      </c>
      <c r="G3305">
        <v>1</v>
      </c>
    </row>
    <row r="3306" spans="1:7" x14ac:dyDescent="0.25">
      <c r="A3306" t="s">
        <v>1252</v>
      </c>
      <c r="F3306">
        <v>2</v>
      </c>
      <c r="G3306">
        <v>2</v>
      </c>
    </row>
    <row r="3307" spans="1:7" x14ac:dyDescent="0.25">
      <c r="A3307" t="s">
        <v>288</v>
      </c>
      <c r="F3307">
        <v>1</v>
      </c>
      <c r="G3307">
        <v>1</v>
      </c>
    </row>
    <row r="3308" spans="1:7" x14ac:dyDescent="0.25">
      <c r="A3308" t="s">
        <v>380</v>
      </c>
      <c r="F3308">
        <v>1</v>
      </c>
      <c r="G3308">
        <v>1</v>
      </c>
    </row>
    <row r="3309" spans="1:7" x14ac:dyDescent="0.25">
      <c r="A3309" t="s">
        <v>1253</v>
      </c>
      <c r="F3309">
        <v>2</v>
      </c>
      <c r="G3309">
        <v>2</v>
      </c>
    </row>
    <row r="3310" spans="1:7" x14ac:dyDescent="0.25">
      <c r="A3310" t="s">
        <v>288</v>
      </c>
      <c r="F3310">
        <v>1</v>
      </c>
      <c r="G3310">
        <v>1</v>
      </c>
    </row>
    <row r="3311" spans="1:7" x14ac:dyDescent="0.25">
      <c r="A3311" t="s">
        <v>367</v>
      </c>
      <c r="F3311">
        <v>1</v>
      </c>
      <c r="G3311">
        <v>1</v>
      </c>
    </row>
    <row r="3312" spans="1:7" x14ac:dyDescent="0.25">
      <c r="A3312" t="s">
        <v>1254</v>
      </c>
      <c r="F3312">
        <v>2</v>
      </c>
      <c r="G3312">
        <v>2</v>
      </c>
    </row>
    <row r="3313" spans="1:7" x14ac:dyDescent="0.25">
      <c r="A3313" t="s">
        <v>288</v>
      </c>
      <c r="F3313">
        <v>1</v>
      </c>
      <c r="G3313">
        <v>1</v>
      </c>
    </row>
    <row r="3314" spans="1:7" x14ac:dyDescent="0.25">
      <c r="A3314" t="s">
        <v>367</v>
      </c>
      <c r="F3314">
        <v>1</v>
      </c>
      <c r="G3314">
        <v>1</v>
      </c>
    </row>
    <row r="3315" spans="1:7" x14ac:dyDescent="0.25">
      <c r="A3315" t="s">
        <v>1255</v>
      </c>
      <c r="F3315">
        <v>2</v>
      </c>
      <c r="G3315">
        <v>2</v>
      </c>
    </row>
    <row r="3316" spans="1:7" x14ac:dyDescent="0.25">
      <c r="A3316" t="s">
        <v>288</v>
      </c>
      <c r="F3316">
        <v>1</v>
      </c>
      <c r="G3316">
        <v>1</v>
      </c>
    </row>
    <row r="3317" spans="1:7" x14ac:dyDescent="0.25">
      <c r="A3317" t="s">
        <v>367</v>
      </c>
      <c r="F3317">
        <v>1</v>
      </c>
      <c r="G3317">
        <v>1</v>
      </c>
    </row>
    <row r="3318" spans="1:7" x14ac:dyDescent="0.25">
      <c r="A3318" t="s">
        <v>1256</v>
      </c>
      <c r="F3318">
        <v>2</v>
      </c>
      <c r="G3318">
        <v>2</v>
      </c>
    </row>
    <row r="3319" spans="1:7" x14ac:dyDescent="0.25">
      <c r="A3319" t="s">
        <v>288</v>
      </c>
      <c r="F3319">
        <v>1</v>
      </c>
      <c r="G3319">
        <v>1</v>
      </c>
    </row>
    <row r="3320" spans="1:7" x14ac:dyDescent="0.25">
      <c r="A3320" t="s">
        <v>380</v>
      </c>
      <c r="F3320">
        <v>1</v>
      </c>
      <c r="G3320">
        <v>1</v>
      </c>
    </row>
    <row r="3321" spans="1:7" x14ac:dyDescent="0.25">
      <c r="A3321" t="s">
        <v>1257</v>
      </c>
      <c r="F3321">
        <v>2</v>
      </c>
      <c r="G3321">
        <v>2</v>
      </c>
    </row>
    <row r="3322" spans="1:7" x14ac:dyDescent="0.25">
      <c r="A3322" t="s">
        <v>288</v>
      </c>
      <c r="F3322">
        <v>1</v>
      </c>
      <c r="G3322">
        <v>1</v>
      </c>
    </row>
    <row r="3323" spans="1:7" x14ac:dyDescent="0.25">
      <c r="A3323" t="s">
        <v>380</v>
      </c>
      <c r="F3323">
        <v>1</v>
      </c>
      <c r="G3323">
        <v>1</v>
      </c>
    </row>
    <row r="3324" spans="1:7" x14ac:dyDescent="0.25">
      <c r="A3324" t="s">
        <v>1258</v>
      </c>
      <c r="F3324">
        <v>2</v>
      </c>
      <c r="G3324">
        <v>2</v>
      </c>
    </row>
    <row r="3325" spans="1:7" x14ac:dyDescent="0.25">
      <c r="A3325" t="s">
        <v>288</v>
      </c>
      <c r="F3325">
        <v>1</v>
      </c>
      <c r="G3325">
        <v>1</v>
      </c>
    </row>
    <row r="3326" spans="1:7" x14ac:dyDescent="0.25">
      <c r="A3326" t="s">
        <v>380</v>
      </c>
      <c r="F3326">
        <v>1</v>
      </c>
      <c r="G3326">
        <v>1</v>
      </c>
    </row>
    <row r="3327" spans="1:7" x14ac:dyDescent="0.25">
      <c r="A3327" t="s">
        <v>1259</v>
      </c>
      <c r="F3327">
        <v>3</v>
      </c>
      <c r="G3327">
        <v>3</v>
      </c>
    </row>
    <row r="3328" spans="1:7" x14ac:dyDescent="0.25">
      <c r="A3328" t="s">
        <v>377</v>
      </c>
      <c r="F3328">
        <v>1</v>
      </c>
      <c r="G3328">
        <v>1</v>
      </c>
    </row>
    <row r="3329" spans="1:7" x14ac:dyDescent="0.25">
      <c r="A3329" t="s">
        <v>288</v>
      </c>
      <c r="F3329">
        <v>1</v>
      </c>
      <c r="G3329">
        <v>1</v>
      </c>
    </row>
    <row r="3330" spans="1:7" x14ac:dyDescent="0.25">
      <c r="A3330" t="s">
        <v>493</v>
      </c>
      <c r="F3330">
        <v>1</v>
      </c>
      <c r="G3330">
        <v>1</v>
      </c>
    </row>
    <row r="3331" spans="1:7" x14ac:dyDescent="0.25">
      <c r="A3331" t="s">
        <v>1260</v>
      </c>
      <c r="F3331">
        <v>3</v>
      </c>
      <c r="G3331">
        <v>3</v>
      </c>
    </row>
    <row r="3332" spans="1:7" x14ac:dyDescent="0.25">
      <c r="A3332" t="s">
        <v>377</v>
      </c>
      <c r="F3332">
        <v>1</v>
      </c>
      <c r="G3332">
        <v>1</v>
      </c>
    </row>
    <row r="3333" spans="1:7" x14ac:dyDescent="0.25">
      <c r="A3333" t="s">
        <v>288</v>
      </c>
      <c r="F3333">
        <v>1</v>
      </c>
      <c r="G3333">
        <v>1</v>
      </c>
    </row>
    <row r="3334" spans="1:7" x14ac:dyDescent="0.25">
      <c r="A3334" t="s">
        <v>493</v>
      </c>
      <c r="F3334">
        <v>1</v>
      </c>
      <c r="G3334">
        <v>1</v>
      </c>
    </row>
    <row r="3335" spans="1:7" x14ac:dyDescent="0.25">
      <c r="A3335" t="s">
        <v>1261</v>
      </c>
      <c r="F3335">
        <v>3</v>
      </c>
      <c r="G3335">
        <v>3</v>
      </c>
    </row>
    <row r="3336" spans="1:7" x14ac:dyDescent="0.25">
      <c r="A3336" t="s">
        <v>377</v>
      </c>
      <c r="F3336">
        <v>1</v>
      </c>
      <c r="G3336">
        <v>1</v>
      </c>
    </row>
    <row r="3337" spans="1:7" x14ac:dyDescent="0.25">
      <c r="A3337" t="s">
        <v>288</v>
      </c>
      <c r="F3337">
        <v>1</v>
      </c>
      <c r="G3337">
        <v>1</v>
      </c>
    </row>
    <row r="3338" spans="1:7" x14ac:dyDescent="0.25">
      <c r="A3338" t="s">
        <v>493</v>
      </c>
      <c r="F3338">
        <v>1</v>
      </c>
      <c r="G3338">
        <v>1</v>
      </c>
    </row>
    <row r="3339" spans="1:7" x14ac:dyDescent="0.25">
      <c r="A3339" t="s">
        <v>1262</v>
      </c>
      <c r="F3339">
        <v>4</v>
      </c>
      <c r="G3339">
        <v>4</v>
      </c>
    </row>
    <row r="3340" spans="1:7" x14ac:dyDescent="0.25">
      <c r="A3340" t="s">
        <v>377</v>
      </c>
      <c r="F3340">
        <v>1</v>
      </c>
      <c r="G3340">
        <v>1</v>
      </c>
    </row>
    <row r="3341" spans="1:7" x14ac:dyDescent="0.25">
      <c r="A3341" t="s">
        <v>290</v>
      </c>
      <c r="F3341">
        <v>1</v>
      </c>
      <c r="G3341">
        <v>1</v>
      </c>
    </row>
    <row r="3342" spans="1:7" x14ac:dyDescent="0.25">
      <c r="A3342" t="s">
        <v>291</v>
      </c>
      <c r="F3342">
        <v>1</v>
      </c>
      <c r="G3342">
        <v>1</v>
      </c>
    </row>
    <row r="3343" spans="1:7" x14ac:dyDescent="0.25">
      <c r="A3343" t="s">
        <v>493</v>
      </c>
      <c r="F3343">
        <v>1</v>
      </c>
      <c r="G3343">
        <v>1</v>
      </c>
    </row>
    <row r="3344" spans="1:7" x14ac:dyDescent="0.25">
      <c r="A3344" t="s">
        <v>1263</v>
      </c>
      <c r="F3344">
        <v>5</v>
      </c>
      <c r="G3344">
        <v>5</v>
      </c>
    </row>
    <row r="3345" spans="1:7" x14ac:dyDescent="0.25">
      <c r="A3345" t="s">
        <v>377</v>
      </c>
      <c r="F3345">
        <v>1</v>
      </c>
      <c r="G3345">
        <v>1</v>
      </c>
    </row>
    <row r="3346" spans="1:7" x14ac:dyDescent="0.25">
      <c r="A3346" t="s">
        <v>289</v>
      </c>
      <c r="F3346">
        <v>1</v>
      </c>
      <c r="G3346">
        <v>1</v>
      </c>
    </row>
    <row r="3347" spans="1:7" x14ac:dyDescent="0.25">
      <c r="A3347" t="s">
        <v>290</v>
      </c>
      <c r="F3347">
        <v>1</v>
      </c>
      <c r="G3347">
        <v>1</v>
      </c>
    </row>
    <row r="3348" spans="1:7" x14ac:dyDescent="0.25">
      <c r="A3348" t="s">
        <v>291</v>
      </c>
      <c r="F3348">
        <v>1</v>
      </c>
      <c r="G3348">
        <v>1</v>
      </c>
    </row>
    <row r="3349" spans="1:7" x14ac:dyDescent="0.25">
      <c r="A3349" t="s">
        <v>493</v>
      </c>
      <c r="F3349">
        <v>1</v>
      </c>
      <c r="G3349">
        <v>1</v>
      </c>
    </row>
    <row r="3350" spans="1:7" x14ac:dyDescent="0.25">
      <c r="A3350" t="s">
        <v>1264</v>
      </c>
      <c r="F3350">
        <v>5</v>
      </c>
      <c r="G3350">
        <v>5</v>
      </c>
    </row>
    <row r="3351" spans="1:7" x14ac:dyDescent="0.25">
      <c r="A3351" t="s">
        <v>377</v>
      </c>
      <c r="F3351">
        <v>1</v>
      </c>
      <c r="G3351">
        <v>1</v>
      </c>
    </row>
    <row r="3352" spans="1:7" x14ac:dyDescent="0.25">
      <c r="A3352" t="s">
        <v>289</v>
      </c>
      <c r="F3352">
        <v>1</v>
      </c>
      <c r="G3352">
        <v>1</v>
      </c>
    </row>
    <row r="3353" spans="1:7" x14ac:dyDescent="0.25">
      <c r="A3353" t="s">
        <v>290</v>
      </c>
      <c r="F3353">
        <v>1</v>
      </c>
      <c r="G3353">
        <v>1</v>
      </c>
    </row>
    <row r="3354" spans="1:7" x14ac:dyDescent="0.25">
      <c r="A3354" t="s">
        <v>291</v>
      </c>
      <c r="F3354">
        <v>1</v>
      </c>
      <c r="G3354">
        <v>1</v>
      </c>
    </row>
    <row r="3355" spans="1:7" x14ac:dyDescent="0.25">
      <c r="A3355" t="s">
        <v>493</v>
      </c>
      <c r="F3355">
        <v>1</v>
      </c>
      <c r="G3355">
        <v>1</v>
      </c>
    </row>
    <row r="3356" spans="1:7" x14ac:dyDescent="0.25">
      <c r="A3356" t="s">
        <v>1265</v>
      </c>
      <c r="F3356">
        <v>5</v>
      </c>
      <c r="G3356">
        <v>5</v>
      </c>
    </row>
    <row r="3357" spans="1:7" x14ac:dyDescent="0.25">
      <c r="A3357" t="s">
        <v>377</v>
      </c>
      <c r="F3357">
        <v>1</v>
      </c>
      <c r="G3357">
        <v>1</v>
      </c>
    </row>
    <row r="3358" spans="1:7" x14ac:dyDescent="0.25">
      <c r="A3358" t="s">
        <v>289</v>
      </c>
      <c r="F3358">
        <v>1</v>
      </c>
      <c r="G3358">
        <v>1</v>
      </c>
    </row>
    <row r="3359" spans="1:7" x14ac:dyDescent="0.25">
      <c r="A3359" t="s">
        <v>290</v>
      </c>
      <c r="F3359">
        <v>1</v>
      </c>
      <c r="G3359">
        <v>1</v>
      </c>
    </row>
    <row r="3360" spans="1:7" x14ac:dyDescent="0.25">
      <c r="A3360" t="s">
        <v>291</v>
      </c>
      <c r="F3360">
        <v>1</v>
      </c>
      <c r="G3360">
        <v>1</v>
      </c>
    </row>
    <row r="3361" spans="1:7" x14ac:dyDescent="0.25">
      <c r="A3361" t="s">
        <v>493</v>
      </c>
      <c r="F3361">
        <v>1</v>
      </c>
      <c r="G3361">
        <v>1</v>
      </c>
    </row>
    <row r="3362" spans="1:7" x14ac:dyDescent="0.25">
      <c r="A3362" t="s">
        <v>1266</v>
      </c>
      <c r="F3362">
        <v>2</v>
      </c>
      <c r="G3362">
        <v>2</v>
      </c>
    </row>
    <row r="3363" spans="1:7" x14ac:dyDescent="0.25">
      <c r="A3363" t="s">
        <v>288</v>
      </c>
      <c r="F3363">
        <v>1</v>
      </c>
      <c r="G3363">
        <v>1</v>
      </c>
    </row>
    <row r="3364" spans="1:7" x14ac:dyDescent="0.25">
      <c r="A3364" t="s">
        <v>380</v>
      </c>
      <c r="F3364">
        <v>1</v>
      </c>
      <c r="G3364">
        <v>1</v>
      </c>
    </row>
    <row r="3365" spans="1:7" x14ac:dyDescent="0.25">
      <c r="A3365" t="s">
        <v>1267</v>
      </c>
      <c r="F3365">
        <v>2</v>
      </c>
      <c r="G3365">
        <v>2</v>
      </c>
    </row>
    <row r="3366" spans="1:7" x14ac:dyDescent="0.25">
      <c r="A3366" t="s">
        <v>288</v>
      </c>
      <c r="F3366">
        <v>1</v>
      </c>
      <c r="G3366">
        <v>1</v>
      </c>
    </row>
    <row r="3367" spans="1:7" x14ac:dyDescent="0.25">
      <c r="A3367" t="s">
        <v>380</v>
      </c>
      <c r="F3367">
        <v>1</v>
      </c>
      <c r="G3367">
        <v>1</v>
      </c>
    </row>
    <row r="3368" spans="1:7" x14ac:dyDescent="0.25">
      <c r="A3368" t="s">
        <v>1268</v>
      </c>
      <c r="F3368">
        <v>2</v>
      </c>
      <c r="G3368">
        <v>2</v>
      </c>
    </row>
    <row r="3369" spans="1:7" x14ac:dyDescent="0.25">
      <c r="A3369" t="s">
        <v>288</v>
      </c>
      <c r="F3369">
        <v>1</v>
      </c>
      <c r="G3369">
        <v>1</v>
      </c>
    </row>
    <row r="3370" spans="1:7" x14ac:dyDescent="0.25">
      <c r="A3370" t="s">
        <v>380</v>
      </c>
      <c r="F3370">
        <v>1</v>
      </c>
      <c r="G3370">
        <v>1</v>
      </c>
    </row>
    <row r="3371" spans="1:7" x14ac:dyDescent="0.25">
      <c r="A3371" t="s">
        <v>1269</v>
      </c>
      <c r="F3371">
        <v>3</v>
      </c>
      <c r="G3371">
        <v>3</v>
      </c>
    </row>
    <row r="3372" spans="1:7" x14ac:dyDescent="0.25">
      <c r="A3372" t="s">
        <v>377</v>
      </c>
      <c r="F3372">
        <v>1</v>
      </c>
      <c r="G3372">
        <v>1</v>
      </c>
    </row>
    <row r="3373" spans="1:7" x14ac:dyDescent="0.25">
      <c r="A3373" t="s">
        <v>288</v>
      </c>
      <c r="F3373">
        <v>1</v>
      </c>
      <c r="G3373">
        <v>1</v>
      </c>
    </row>
    <row r="3374" spans="1:7" x14ac:dyDescent="0.25">
      <c r="A3374" t="s">
        <v>380</v>
      </c>
      <c r="F3374">
        <v>1</v>
      </c>
      <c r="G3374">
        <v>1</v>
      </c>
    </row>
    <row r="3375" spans="1:7" x14ac:dyDescent="0.25">
      <c r="A3375" t="s">
        <v>1270</v>
      </c>
      <c r="F3375">
        <v>2</v>
      </c>
      <c r="G3375">
        <v>2</v>
      </c>
    </row>
    <row r="3376" spans="1:7" x14ac:dyDescent="0.25">
      <c r="A3376" t="s">
        <v>288</v>
      </c>
      <c r="F3376">
        <v>1</v>
      </c>
      <c r="G3376">
        <v>1</v>
      </c>
    </row>
    <row r="3377" spans="1:7" x14ac:dyDescent="0.25">
      <c r="A3377" t="s">
        <v>367</v>
      </c>
      <c r="F3377">
        <v>1</v>
      </c>
      <c r="G3377">
        <v>1</v>
      </c>
    </row>
    <row r="3378" spans="1:7" x14ac:dyDescent="0.25">
      <c r="A3378" t="s">
        <v>1271</v>
      </c>
      <c r="F3378">
        <v>3</v>
      </c>
      <c r="G3378">
        <v>3</v>
      </c>
    </row>
    <row r="3379" spans="1:7" x14ac:dyDescent="0.25">
      <c r="A3379" t="s">
        <v>377</v>
      </c>
      <c r="F3379">
        <v>1</v>
      </c>
      <c r="G3379">
        <v>1</v>
      </c>
    </row>
    <row r="3380" spans="1:7" x14ac:dyDescent="0.25">
      <c r="A3380" t="s">
        <v>288</v>
      </c>
      <c r="F3380">
        <v>1</v>
      </c>
      <c r="G3380">
        <v>1</v>
      </c>
    </row>
    <row r="3381" spans="1:7" x14ac:dyDescent="0.25">
      <c r="A3381" t="s">
        <v>380</v>
      </c>
      <c r="F3381">
        <v>1</v>
      </c>
      <c r="G3381">
        <v>1</v>
      </c>
    </row>
    <row r="3382" spans="1:7" x14ac:dyDescent="0.25">
      <c r="A3382" t="s">
        <v>1272</v>
      </c>
      <c r="F3382">
        <v>4</v>
      </c>
      <c r="G3382">
        <v>4</v>
      </c>
    </row>
    <row r="3383" spans="1:7" x14ac:dyDescent="0.25">
      <c r="A3383" t="s">
        <v>377</v>
      </c>
      <c r="F3383">
        <v>1</v>
      </c>
      <c r="G3383">
        <v>1</v>
      </c>
    </row>
    <row r="3384" spans="1:7" x14ac:dyDescent="0.25">
      <c r="A3384" t="s">
        <v>290</v>
      </c>
      <c r="F3384">
        <v>1</v>
      </c>
      <c r="G3384">
        <v>1</v>
      </c>
    </row>
    <row r="3385" spans="1:7" x14ac:dyDescent="0.25">
      <c r="A3385" t="s">
        <v>291</v>
      </c>
      <c r="F3385">
        <v>1</v>
      </c>
      <c r="G3385">
        <v>1</v>
      </c>
    </row>
    <row r="3386" spans="1:7" x14ac:dyDescent="0.25">
      <c r="A3386" t="s">
        <v>380</v>
      </c>
      <c r="F3386">
        <v>1</v>
      </c>
      <c r="G3386">
        <v>1</v>
      </c>
    </row>
    <row r="3387" spans="1:7" x14ac:dyDescent="0.25">
      <c r="A3387" t="s">
        <v>1273</v>
      </c>
      <c r="F3387">
        <v>2</v>
      </c>
      <c r="G3387">
        <v>2</v>
      </c>
    </row>
    <row r="3388" spans="1:7" x14ac:dyDescent="0.25">
      <c r="A3388" t="s">
        <v>292</v>
      </c>
      <c r="F3388">
        <v>1</v>
      </c>
      <c r="G3388">
        <v>1</v>
      </c>
    </row>
    <row r="3389" spans="1:7" x14ac:dyDescent="0.25">
      <c r="A3389" t="s">
        <v>659</v>
      </c>
      <c r="F3389">
        <v>1</v>
      </c>
      <c r="G3389">
        <v>1</v>
      </c>
    </row>
    <row r="3390" spans="1:7" x14ac:dyDescent="0.25">
      <c r="A3390" t="s">
        <v>1274</v>
      </c>
      <c r="F3390">
        <v>2</v>
      </c>
      <c r="G3390">
        <v>2</v>
      </c>
    </row>
    <row r="3391" spans="1:7" x14ac:dyDescent="0.25">
      <c r="A3391" t="s">
        <v>292</v>
      </c>
      <c r="F3391">
        <v>1</v>
      </c>
      <c r="G3391">
        <v>1</v>
      </c>
    </row>
    <row r="3392" spans="1:7" x14ac:dyDescent="0.25">
      <c r="A3392" t="s">
        <v>367</v>
      </c>
      <c r="F3392">
        <v>1</v>
      </c>
      <c r="G3392">
        <v>1</v>
      </c>
    </row>
    <row r="3393" spans="1:7" x14ac:dyDescent="0.25">
      <c r="A3393" t="s">
        <v>1275</v>
      </c>
      <c r="F3393">
        <v>2</v>
      </c>
      <c r="G3393">
        <v>2</v>
      </c>
    </row>
    <row r="3394" spans="1:7" x14ac:dyDescent="0.25">
      <c r="A3394" t="s">
        <v>288</v>
      </c>
      <c r="F3394">
        <v>1</v>
      </c>
      <c r="G3394">
        <v>1</v>
      </c>
    </row>
    <row r="3395" spans="1:7" x14ac:dyDescent="0.25">
      <c r="A3395" t="s">
        <v>367</v>
      </c>
      <c r="F3395">
        <v>1</v>
      </c>
      <c r="G3395">
        <v>1</v>
      </c>
    </row>
    <row r="3396" spans="1:7" x14ac:dyDescent="0.25">
      <c r="A3396" t="s">
        <v>1276</v>
      </c>
      <c r="F3396">
        <v>2</v>
      </c>
      <c r="G3396">
        <v>2</v>
      </c>
    </row>
    <row r="3397" spans="1:7" x14ac:dyDescent="0.25">
      <c r="A3397" t="s">
        <v>288</v>
      </c>
      <c r="F3397">
        <v>1</v>
      </c>
      <c r="G3397">
        <v>1</v>
      </c>
    </row>
    <row r="3398" spans="1:7" x14ac:dyDescent="0.25">
      <c r="A3398" t="s">
        <v>380</v>
      </c>
      <c r="F3398">
        <v>1</v>
      </c>
      <c r="G3398">
        <v>1</v>
      </c>
    </row>
    <row r="3399" spans="1:7" x14ac:dyDescent="0.25">
      <c r="A3399" t="s">
        <v>1277</v>
      </c>
      <c r="F3399">
        <v>2</v>
      </c>
      <c r="G3399">
        <v>2</v>
      </c>
    </row>
    <row r="3400" spans="1:7" x14ac:dyDescent="0.25">
      <c r="A3400" t="s">
        <v>292</v>
      </c>
      <c r="F3400">
        <v>1</v>
      </c>
      <c r="G3400">
        <v>1</v>
      </c>
    </row>
    <row r="3401" spans="1:7" x14ac:dyDescent="0.25">
      <c r="A3401" t="s">
        <v>367</v>
      </c>
      <c r="F3401">
        <v>1</v>
      </c>
      <c r="G3401">
        <v>1</v>
      </c>
    </row>
    <row r="3402" spans="1:7" x14ac:dyDescent="0.25">
      <c r="A3402" t="s">
        <v>1278</v>
      </c>
      <c r="F3402">
        <v>2</v>
      </c>
      <c r="G3402">
        <v>2</v>
      </c>
    </row>
    <row r="3403" spans="1:7" x14ac:dyDescent="0.25">
      <c r="A3403" t="s">
        <v>291</v>
      </c>
      <c r="F3403">
        <v>1</v>
      </c>
      <c r="G3403">
        <v>1</v>
      </c>
    </row>
    <row r="3404" spans="1:7" x14ac:dyDescent="0.25">
      <c r="A3404" t="s">
        <v>380</v>
      </c>
      <c r="F3404">
        <v>1</v>
      </c>
      <c r="G3404">
        <v>1</v>
      </c>
    </row>
    <row r="3405" spans="1:7" x14ac:dyDescent="0.25">
      <c r="A3405" t="s">
        <v>1279</v>
      </c>
      <c r="F3405">
        <v>2</v>
      </c>
      <c r="G3405">
        <v>2</v>
      </c>
    </row>
    <row r="3406" spans="1:7" x14ac:dyDescent="0.25">
      <c r="A3406" t="s">
        <v>292</v>
      </c>
      <c r="F3406">
        <v>1</v>
      </c>
      <c r="G3406">
        <v>1</v>
      </c>
    </row>
    <row r="3407" spans="1:7" x14ac:dyDescent="0.25">
      <c r="A3407" t="s">
        <v>659</v>
      </c>
      <c r="F3407">
        <v>1</v>
      </c>
      <c r="G3407">
        <v>1</v>
      </c>
    </row>
    <row r="3408" spans="1:7" x14ac:dyDescent="0.25">
      <c r="A3408" t="s">
        <v>1280</v>
      </c>
      <c r="F3408">
        <v>5</v>
      </c>
      <c r="G3408">
        <v>5</v>
      </c>
    </row>
    <row r="3409" spans="1:7" x14ac:dyDescent="0.25">
      <c r="A3409" t="s">
        <v>377</v>
      </c>
      <c r="F3409">
        <v>1</v>
      </c>
      <c r="G3409">
        <v>1</v>
      </c>
    </row>
    <row r="3410" spans="1:7" x14ac:dyDescent="0.25">
      <c r="A3410" t="s">
        <v>289</v>
      </c>
      <c r="F3410">
        <v>1</v>
      </c>
      <c r="G3410">
        <v>1</v>
      </c>
    </row>
    <row r="3411" spans="1:7" x14ac:dyDescent="0.25">
      <c r="A3411" t="s">
        <v>290</v>
      </c>
      <c r="F3411">
        <v>1</v>
      </c>
      <c r="G3411">
        <v>1</v>
      </c>
    </row>
    <row r="3412" spans="1:7" x14ac:dyDescent="0.25">
      <c r="A3412" t="s">
        <v>291</v>
      </c>
      <c r="F3412">
        <v>1</v>
      </c>
      <c r="G3412">
        <v>1</v>
      </c>
    </row>
    <row r="3413" spans="1:7" x14ac:dyDescent="0.25">
      <c r="A3413" t="s">
        <v>493</v>
      </c>
      <c r="F3413">
        <v>1</v>
      </c>
      <c r="G3413">
        <v>1</v>
      </c>
    </row>
    <row r="3414" spans="1:7" x14ac:dyDescent="0.25">
      <c r="A3414" t="s">
        <v>1281</v>
      </c>
      <c r="F3414">
        <v>3</v>
      </c>
      <c r="G3414">
        <v>3</v>
      </c>
    </row>
    <row r="3415" spans="1:7" x14ac:dyDescent="0.25">
      <c r="A3415" t="s">
        <v>377</v>
      </c>
      <c r="F3415">
        <v>1</v>
      </c>
      <c r="G3415">
        <v>1</v>
      </c>
    </row>
    <row r="3416" spans="1:7" x14ac:dyDescent="0.25">
      <c r="A3416" t="s">
        <v>288</v>
      </c>
      <c r="F3416">
        <v>1</v>
      </c>
      <c r="G3416">
        <v>1</v>
      </c>
    </row>
    <row r="3417" spans="1:7" x14ac:dyDescent="0.25">
      <c r="A3417" t="s">
        <v>493</v>
      </c>
      <c r="F3417">
        <v>1</v>
      </c>
      <c r="G3417">
        <v>1</v>
      </c>
    </row>
    <row r="3418" spans="1:7" x14ac:dyDescent="0.25">
      <c r="A3418" t="s">
        <v>1282</v>
      </c>
      <c r="F3418">
        <v>3</v>
      </c>
      <c r="G3418">
        <v>3</v>
      </c>
    </row>
    <row r="3419" spans="1:7" x14ac:dyDescent="0.25">
      <c r="A3419" t="s">
        <v>377</v>
      </c>
      <c r="F3419">
        <v>1</v>
      </c>
      <c r="G3419">
        <v>1</v>
      </c>
    </row>
    <row r="3420" spans="1:7" x14ac:dyDescent="0.25">
      <c r="A3420" t="s">
        <v>288</v>
      </c>
      <c r="F3420">
        <v>1</v>
      </c>
      <c r="G3420">
        <v>1</v>
      </c>
    </row>
    <row r="3421" spans="1:7" x14ac:dyDescent="0.25">
      <c r="A3421" t="s">
        <v>493</v>
      </c>
      <c r="F3421">
        <v>1</v>
      </c>
      <c r="G3421">
        <v>1</v>
      </c>
    </row>
    <row r="3422" spans="1:7" x14ac:dyDescent="0.25">
      <c r="A3422" t="s">
        <v>1283</v>
      </c>
      <c r="F3422">
        <v>4</v>
      </c>
      <c r="G3422">
        <v>4</v>
      </c>
    </row>
    <row r="3423" spans="1:7" x14ac:dyDescent="0.25">
      <c r="A3423" t="s">
        <v>377</v>
      </c>
      <c r="F3423">
        <v>1</v>
      </c>
      <c r="G3423">
        <v>1</v>
      </c>
    </row>
    <row r="3424" spans="1:7" x14ac:dyDescent="0.25">
      <c r="A3424" t="s">
        <v>290</v>
      </c>
      <c r="F3424">
        <v>1</v>
      </c>
      <c r="G3424">
        <v>1</v>
      </c>
    </row>
    <row r="3425" spans="1:7" x14ac:dyDescent="0.25">
      <c r="A3425" t="s">
        <v>291</v>
      </c>
      <c r="F3425">
        <v>1</v>
      </c>
      <c r="G3425">
        <v>1</v>
      </c>
    </row>
    <row r="3426" spans="1:7" x14ac:dyDescent="0.25">
      <c r="A3426" t="s">
        <v>493</v>
      </c>
      <c r="F3426">
        <v>1</v>
      </c>
      <c r="G3426">
        <v>1</v>
      </c>
    </row>
    <row r="3427" spans="1:7" x14ac:dyDescent="0.25">
      <c r="A3427" t="s">
        <v>1284</v>
      </c>
      <c r="F3427">
        <v>2</v>
      </c>
      <c r="G3427">
        <v>2</v>
      </c>
    </row>
    <row r="3428" spans="1:7" x14ac:dyDescent="0.25">
      <c r="A3428" t="s">
        <v>289</v>
      </c>
      <c r="F3428">
        <v>1</v>
      </c>
      <c r="G3428">
        <v>1</v>
      </c>
    </row>
    <row r="3429" spans="1:7" x14ac:dyDescent="0.25">
      <c r="A3429" t="s">
        <v>367</v>
      </c>
      <c r="F3429">
        <v>1</v>
      </c>
      <c r="G3429">
        <v>1</v>
      </c>
    </row>
    <row r="3430" spans="1:7" x14ac:dyDescent="0.25">
      <c r="A3430" t="s">
        <v>1285</v>
      </c>
      <c r="F3430">
        <v>2</v>
      </c>
      <c r="G3430">
        <v>2</v>
      </c>
    </row>
    <row r="3431" spans="1:7" x14ac:dyDescent="0.25">
      <c r="A3431" t="s">
        <v>292</v>
      </c>
      <c r="F3431">
        <v>1</v>
      </c>
      <c r="G3431">
        <v>1</v>
      </c>
    </row>
    <row r="3432" spans="1:7" x14ac:dyDescent="0.25">
      <c r="A3432" t="s">
        <v>380</v>
      </c>
      <c r="F3432">
        <v>1</v>
      </c>
      <c r="G3432">
        <v>1</v>
      </c>
    </row>
    <row r="3433" spans="1:7" x14ac:dyDescent="0.25">
      <c r="A3433" t="s">
        <v>1286</v>
      </c>
      <c r="F3433">
        <v>3</v>
      </c>
      <c r="G3433">
        <v>3</v>
      </c>
    </row>
    <row r="3434" spans="1:7" x14ac:dyDescent="0.25">
      <c r="A3434" t="s">
        <v>377</v>
      </c>
      <c r="F3434">
        <v>1</v>
      </c>
      <c r="G3434">
        <v>1</v>
      </c>
    </row>
    <row r="3435" spans="1:7" x14ac:dyDescent="0.25">
      <c r="A3435" t="s">
        <v>288</v>
      </c>
      <c r="F3435">
        <v>1</v>
      </c>
      <c r="G3435">
        <v>1</v>
      </c>
    </row>
    <row r="3436" spans="1:7" x14ac:dyDescent="0.25">
      <c r="A3436" t="s">
        <v>493</v>
      </c>
      <c r="F3436">
        <v>1</v>
      </c>
      <c r="G3436">
        <v>1</v>
      </c>
    </row>
    <row r="3437" spans="1:7" x14ac:dyDescent="0.25">
      <c r="A3437" t="s">
        <v>1287</v>
      </c>
      <c r="F3437">
        <v>5</v>
      </c>
      <c r="G3437">
        <v>5</v>
      </c>
    </row>
    <row r="3438" spans="1:7" x14ac:dyDescent="0.25">
      <c r="A3438" t="s">
        <v>377</v>
      </c>
      <c r="F3438">
        <v>1</v>
      </c>
      <c r="G3438">
        <v>1</v>
      </c>
    </row>
    <row r="3439" spans="1:7" x14ac:dyDescent="0.25">
      <c r="A3439" t="s">
        <v>289</v>
      </c>
      <c r="F3439">
        <v>1</v>
      </c>
      <c r="G3439">
        <v>1</v>
      </c>
    </row>
    <row r="3440" spans="1:7" x14ac:dyDescent="0.25">
      <c r="A3440" t="s">
        <v>290</v>
      </c>
      <c r="F3440">
        <v>1</v>
      </c>
      <c r="G3440">
        <v>1</v>
      </c>
    </row>
    <row r="3441" spans="1:7" x14ac:dyDescent="0.25">
      <c r="A3441" t="s">
        <v>291</v>
      </c>
      <c r="F3441">
        <v>1</v>
      </c>
      <c r="G3441">
        <v>1</v>
      </c>
    </row>
    <row r="3442" spans="1:7" x14ac:dyDescent="0.25">
      <c r="A3442" t="s">
        <v>493</v>
      </c>
      <c r="F3442">
        <v>1</v>
      </c>
      <c r="G3442">
        <v>1</v>
      </c>
    </row>
    <row r="3443" spans="1:7" x14ac:dyDescent="0.25">
      <c r="A3443" t="s">
        <v>1288</v>
      </c>
      <c r="F3443">
        <v>3</v>
      </c>
      <c r="G3443">
        <v>3</v>
      </c>
    </row>
    <row r="3444" spans="1:7" x14ac:dyDescent="0.25">
      <c r="A3444" t="s">
        <v>377</v>
      </c>
      <c r="F3444">
        <v>1</v>
      </c>
      <c r="G3444">
        <v>1</v>
      </c>
    </row>
    <row r="3445" spans="1:7" x14ac:dyDescent="0.25">
      <c r="A3445" t="s">
        <v>288</v>
      </c>
      <c r="F3445">
        <v>1</v>
      </c>
      <c r="G3445">
        <v>1</v>
      </c>
    </row>
    <row r="3446" spans="1:7" x14ac:dyDescent="0.25">
      <c r="A3446" t="s">
        <v>493</v>
      </c>
      <c r="F3446">
        <v>1</v>
      </c>
      <c r="G3446">
        <v>1</v>
      </c>
    </row>
    <row r="3447" spans="1:7" x14ac:dyDescent="0.25">
      <c r="A3447" t="s">
        <v>1289</v>
      </c>
      <c r="F3447">
        <v>5</v>
      </c>
      <c r="G3447">
        <v>5</v>
      </c>
    </row>
    <row r="3448" spans="1:7" x14ac:dyDescent="0.25">
      <c r="A3448" t="s">
        <v>377</v>
      </c>
      <c r="F3448">
        <v>1</v>
      </c>
      <c r="G3448">
        <v>1</v>
      </c>
    </row>
    <row r="3449" spans="1:7" x14ac:dyDescent="0.25">
      <c r="A3449" t="s">
        <v>289</v>
      </c>
      <c r="F3449">
        <v>1</v>
      </c>
      <c r="G3449">
        <v>1</v>
      </c>
    </row>
    <row r="3450" spans="1:7" x14ac:dyDescent="0.25">
      <c r="A3450" t="s">
        <v>290</v>
      </c>
      <c r="F3450">
        <v>1</v>
      </c>
      <c r="G3450">
        <v>1</v>
      </c>
    </row>
    <row r="3451" spans="1:7" x14ac:dyDescent="0.25">
      <c r="A3451" t="s">
        <v>291</v>
      </c>
      <c r="F3451">
        <v>1</v>
      </c>
      <c r="G3451">
        <v>1</v>
      </c>
    </row>
    <row r="3452" spans="1:7" x14ac:dyDescent="0.25">
      <c r="A3452" t="s">
        <v>493</v>
      </c>
      <c r="F3452">
        <v>1</v>
      </c>
      <c r="G3452">
        <v>1</v>
      </c>
    </row>
    <row r="3453" spans="1:7" x14ac:dyDescent="0.25">
      <c r="A3453" t="s">
        <v>1290</v>
      </c>
      <c r="F3453">
        <v>2</v>
      </c>
      <c r="G3453">
        <v>2</v>
      </c>
    </row>
    <row r="3454" spans="1:7" x14ac:dyDescent="0.25">
      <c r="A3454" t="s">
        <v>288</v>
      </c>
      <c r="F3454">
        <v>1</v>
      </c>
      <c r="G3454">
        <v>1</v>
      </c>
    </row>
    <row r="3455" spans="1:7" x14ac:dyDescent="0.25">
      <c r="A3455" t="s">
        <v>367</v>
      </c>
      <c r="F3455">
        <v>1</v>
      </c>
      <c r="G3455">
        <v>1</v>
      </c>
    </row>
    <row r="3456" spans="1:7" x14ac:dyDescent="0.25">
      <c r="A3456" t="s">
        <v>1291</v>
      </c>
      <c r="F3456">
        <v>3</v>
      </c>
      <c r="G3456">
        <v>3</v>
      </c>
    </row>
    <row r="3457" spans="1:7" x14ac:dyDescent="0.25">
      <c r="A3457" t="s">
        <v>292</v>
      </c>
      <c r="F3457">
        <v>1</v>
      </c>
      <c r="G3457">
        <v>1</v>
      </c>
    </row>
    <row r="3458" spans="1:7" x14ac:dyDescent="0.25">
      <c r="A3458" t="s">
        <v>288</v>
      </c>
      <c r="F3458">
        <v>1</v>
      </c>
      <c r="G3458">
        <v>1</v>
      </c>
    </row>
    <row r="3459" spans="1:7" x14ac:dyDescent="0.25">
      <c r="A3459" t="s">
        <v>380</v>
      </c>
      <c r="F3459">
        <v>1</v>
      </c>
      <c r="G3459">
        <v>1</v>
      </c>
    </row>
    <row r="3460" spans="1:7" x14ac:dyDescent="0.25">
      <c r="A3460" t="s">
        <v>1292</v>
      </c>
      <c r="F3460">
        <v>3</v>
      </c>
      <c r="G3460">
        <v>3</v>
      </c>
    </row>
    <row r="3461" spans="1:7" x14ac:dyDescent="0.25">
      <c r="A3461" t="s">
        <v>289</v>
      </c>
      <c r="F3461">
        <v>1</v>
      </c>
      <c r="G3461">
        <v>1</v>
      </c>
    </row>
    <row r="3462" spans="1:7" x14ac:dyDescent="0.25">
      <c r="A3462" t="s">
        <v>291</v>
      </c>
      <c r="F3462">
        <v>1</v>
      </c>
      <c r="G3462">
        <v>1</v>
      </c>
    </row>
    <row r="3463" spans="1:7" x14ac:dyDescent="0.25">
      <c r="A3463" t="s">
        <v>380</v>
      </c>
      <c r="F3463">
        <v>1</v>
      </c>
      <c r="G3463">
        <v>1</v>
      </c>
    </row>
    <row r="3464" spans="1:7" x14ac:dyDescent="0.25">
      <c r="A3464" t="s">
        <v>1293</v>
      </c>
      <c r="F3464">
        <v>4</v>
      </c>
      <c r="G3464">
        <v>4</v>
      </c>
    </row>
    <row r="3465" spans="1:7" x14ac:dyDescent="0.25">
      <c r="A3465" t="s">
        <v>377</v>
      </c>
      <c r="F3465">
        <v>1</v>
      </c>
      <c r="G3465">
        <v>1</v>
      </c>
    </row>
    <row r="3466" spans="1:7" x14ac:dyDescent="0.25">
      <c r="A3466" t="s">
        <v>289</v>
      </c>
      <c r="F3466">
        <v>1</v>
      </c>
      <c r="G3466">
        <v>1</v>
      </c>
    </row>
    <row r="3467" spans="1:7" x14ac:dyDescent="0.25">
      <c r="A3467" t="s">
        <v>288</v>
      </c>
      <c r="F3467">
        <v>1</v>
      </c>
      <c r="G3467">
        <v>1</v>
      </c>
    </row>
    <row r="3468" spans="1:7" x14ac:dyDescent="0.25">
      <c r="A3468" t="s">
        <v>380</v>
      </c>
      <c r="F3468">
        <v>1</v>
      </c>
      <c r="G3468">
        <v>1</v>
      </c>
    </row>
    <row r="3469" spans="1:7" x14ac:dyDescent="0.25">
      <c r="A3469" t="s">
        <v>1294</v>
      </c>
      <c r="F3469">
        <v>3</v>
      </c>
      <c r="G3469">
        <v>3</v>
      </c>
    </row>
    <row r="3470" spans="1:7" x14ac:dyDescent="0.25">
      <c r="A3470" t="s">
        <v>377</v>
      </c>
      <c r="F3470">
        <v>1</v>
      </c>
      <c r="G3470">
        <v>1</v>
      </c>
    </row>
    <row r="3471" spans="1:7" x14ac:dyDescent="0.25">
      <c r="A3471" t="s">
        <v>288</v>
      </c>
      <c r="F3471">
        <v>1</v>
      </c>
      <c r="G3471">
        <v>1</v>
      </c>
    </row>
    <row r="3472" spans="1:7" x14ac:dyDescent="0.25">
      <c r="A3472" t="s">
        <v>493</v>
      </c>
      <c r="F3472">
        <v>1</v>
      </c>
      <c r="G3472">
        <v>1</v>
      </c>
    </row>
    <row r="3473" spans="1:7" x14ac:dyDescent="0.25">
      <c r="A3473" t="s">
        <v>1295</v>
      </c>
      <c r="F3473">
        <v>3</v>
      </c>
      <c r="G3473">
        <v>3</v>
      </c>
    </row>
    <row r="3474" spans="1:7" x14ac:dyDescent="0.25">
      <c r="A3474" t="s">
        <v>377</v>
      </c>
      <c r="F3474">
        <v>1</v>
      </c>
      <c r="G3474">
        <v>1</v>
      </c>
    </row>
    <row r="3475" spans="1:7" x14ac:dyDescent="0.25">
      <c r="A3475" t="s">
        <v>288</v>
      </c>
      <c r="F3475">
        <v>1</v>
      </c>
      <c r="G3475">
        <v>1</v>
      </c>
    </row>
    <row r="3476" spans="1:7" x14ac:dyDescent="0.25">
      <c r="A3476" t="s">
        <v>493</v>
      </c>
      <c r="F3476">
        <v>1</v>
      </c>
      <c r="G3476">
        <v>1</v>
      </c>
    </row>
    <row r="3477" spans="1:7" x14ac:dyDescent="0.25">
      <c r="A3477" t="s">
        <v>1296</v>
      </c>
      <c r="F3477">
        <v>3</v>
      </c>
      <c r="G3477">
        <v>3</v>
      </c>
    </row>
    <row r="3478" spans="1:7" x14ac:dyDescent="0.25">
      <c r="A3478" t="s">
        <v>377</v>
      </c>
      <c r="F3478">
        <v>1</v>
      </c>
      <c r="G3478">
        <v>1</v>
      </c>
    </row>
    <row r="3479" spans="1:7" x14ac:dyDescent="0.25">
      <c r="A3479" t="s">
        <v>288</v>
      </c>
      <c r="F3479">
        <v>1</v>
      </c>
      <c r="G3479">
        <v>1</v>
      </c>
    </row>
    <row r="3480" spans="1:7" x14ac:dyDescent="0.25">
      <c r="A3480" t="s">
        <v>493</v>
      </c>
      <c r="F3480">
        <v>1</v>
      </c>
      <c r="G3480">
        <v>1</v>
      </c>
    </row>
    <row r="3481" spans="1:7" x14ac:dyDescent="0.25">
      <c r="A3481" t="s">
        <v>1297</v>
      </c>
      <c r="F3481">
        <v>2</v>
      </c>
      <c r="G3481">
        <v>2</v>
      </c>
    </row>
    <row r="3482" spans="1:7" x14ac:dyDescent="0.25">
      <c r="A3482" t="s">
        <v>292</v>
      </c>
      <c r="F3482">
        <v>1</v>
      </c>
      <c r="G3482">
        <v>1</v>
      </c>
    </row>
    <row r="3483" spans="1:7" x14ac:dyDescent="0.25">
      <c r="A3483" t="s">
        <v>367</v>
      </c>
      <c r="F3483">
        <v>1</v>
      </c>
      <c r="G3483">
        <v>1</v>
      </c>
    </row>
    <row r="3484" spans="1:7" x14ac:dyDescent="0.25">
      <c r="A3484" t="s">
        <v>1298</v>
      </c>
      <c r="F3484">
        <v>3</v>
      </c>
      <c r="G3484">
        <v>3</v>
      </c>
    </row>
    <row r="3485" spans="1:7" x14ac:dyDescent="0.25">
      <c r="A3485" t="s">
        <v>377</v>
      </c>
      <c r="F3485">
        <v>1</v>
      </c>
      <c r="G3485">
        <v>1</v>
      </c>
    </row>
    <row r="3486" spans="1:7" x14ac:dyDescent="0.25">
      <c r="A3486" t="s">
        <v>288</v>
      </c>
      <c r="F3486">
        <v>1</v>
      </c>
      <c r="G3486">
        <v>1</v>
      </c>
    </row>
    <row r="3487" spans="1:7" x14ac:dyDescent="0.25">
      <c r="A3487" t="s">
        <v>493</v>
      </c>
      <c r="F3487">
        <v>1</v>
      </c>
      <c r="G3487">
        <v>1</v>
      </c>
    </row>
    <row r="3488" spans="1:7" x14ac:dyDescent="0.25">
      <c r="A3488" t="s">
        <v>1299</v>
      </c>
      <c r="F3488">
        <v>2</v>
      </c>
      <c r="G3488">
        <v>2</v>
      </c>
    </row>
    <row r="3489" spans="1:7" x14ac:dyDescent="0.25">
      <c r="A3489" t="s">
        <v>288</v>
      </c>
      <c r="F3489">
        <v>1</v>
      </c>
      <c r="G3489">
        <v>1</v>
      </c>
    </row>
    <row r="3490" spans="1:7" x14ac:dyDescent="0.25">
      <c r="A3490" t="s">
        <v>367</v>
      </c>
      <c r="F3490">
        <v>1</v>
      </c>
      <c r="G3490">
        <v>1</v>
      </c>
    </row>
    <row r="3491" spans="1:7" x14ac:dyDescent="0.25">
      <c r="A3491" t="s">
        <v>1300</v>
      </c>
      <c r="F3491">
        <v>5</v>
      </c>
      <c r="G3491">
        <v>5</v>
      </c>
    </row>
    <row r="3492" spans="1:7" x14ac:dyDescent="0.25">
      <c r="A3492" t="s">
        <v>377</v>
      </c>
      <c r="F3492">
        <v>1</v>
      </c>
      <c r="G3492">
        <v>1</v>
      </c>
    </row>
    <row r="3493" spans="1:7" x14ac:dyDescent="0.25">
      <c r="A3493" t="s">
        <v>289</v>
      </c>
      <c r="F3493">
        <v>1</v>
      </c>
      <c r="G3493">
        <v>1</v>
      </c>
    </row>
    <row r="3494" spans="1:7" x14ac:dyDescent="0.25">
      <c r="A3494" t="s">
        <v>290</v>
      </c>
      <c r="F3494">
        <v>1</v>
      </c>
      <c r="G3494">
        <v>1</v>
      </c>
    </row>
    <row r="3495" spans="1:7" x14ac:dyDescent="0.25">
      <c r="A3495" t="s">
        <v>291</v>
      </c>
      <c r="F3495">
        <v>1</v>
      </c>
      <c r="G3495">
        <v>1</v>
      </c>
    </row>
    <row r="3496" spans="1:7" x14ac:dyDescent="0.25">
      <c r="A3496" t="s">
        <v>493</v>
      </c>
      <c r="F3496">
        <v>1</v>
      </c>
      <c r="G3496">
        <v>1</v>
      </c>
    </row>
    <row r="3497" spans="1:7" x14ac:dyDescent="0.25">
      <c r="A3497" t="s">
        <v>1301</v>
      </c>
      <c r="F3497">
        <v>2</v>
      </c>
      <c r="G3497">
        <v>2</v>
      </c>
    </row>
    <row r="3498" spans="1:7" x14ac:dyDescent="0.25">
      <c r="A3498" t="s">
        <v>290</v>
      </c>
      <c r="F3498">
        <v>1</v>
      </c>
      <c r="G3498">
        <v>1</v>
      </c>
    </row>
    <row r="3499" spans="1:7" x14ac:dyDescent="0.25">
      <c r="A3499" t="s">
        <v>493</v>
      </c>
      <c r="F3499">
        <v>1</v>
      </c>
      <c r="G3499">
        <v>1</v>
      </c>
    </row>
    <row r="3500" spans="1:7" x14ac:dyDescent="0.25">
      <c r="A3500" t="s">
        <v>1302</v>
      </c>
      <c r="F3500">
        <v>5</v>
      </c>
      <c r="G3500">
        <v>5</v>
      </c>
    </row>
    <row r="3501" spans="1:7" x14ac:dyDescent="0.25">
      <c r="A3501" t="s">
        <v>377</v>
      </c>
      <c r="F3501">
        <v>1</v>
      </c>
      <c r="G3501">
        <v>1</v>
      </c>
    </row>
    <row r="3502" spans="1:7" x14ac:dyDescent="0.25">
      <c r="A3502" t="s">
        <v>289</v>
      </c>
      <c r="F3502">
        <v>1</v>
      </c>
      <c r="G3502">
        <v>1</v>
      </c>
    </row>
    <row r="3503" spans="1:7" x14ac:dyDescent="0.25">
      <c r="A3503" t="s">
        <v>290</v>
      </c>
      <c r="F3503">
        <v>1</v>
      </c>
      <c r="G3503">
        <v>1</v>
      </c>
    </row>
    <row r="3504" spans="1:7" x14ac:dyDescent="0.25">
      <c r="A3504" t="s">
        <v>291</v>
      </c>
      <c r="F3504">
        <v>1</v>
      </c>
      <c r="G3504">
        <v>1</v>
      </c>
    </row>
    <row r="3505" spans="1:7" x14ac:dyDescent="0.25">
      <c r="A3505" t="s">
        <v>493</v>
      </c>
      <c r="F3505">
        <v>1</v>
      </c>
      <c r="G3505">
        <v>1</v>
      </c>
    </row>
    <row r="3506" spans="1:7" x14ac:dyDescent="0.25">
      <c r="A3506" t="s">
        <v>1303</v>
      </c>
      <c r="F3506">
        <v>2</v>
      </c>
      <c r="G3506">
        <v>2</v>
      </c>
    </row>
    <row r="3507" spans="1:7" x14ac:dyDescent="0.25">
      <c r="A3507" t="s">
        <v>292</v>
      </c>
      <c r="F3507">
        <v>1</v>
      </c>
      <c r="G3507">
        <v>1</v>
      </c>
    </row>
    <row r="3508" spans="1:7" x14ac:dyDescent="0.25">
      <c r="A3508" t="s">
        <v>380</v>
      </c>
      <c r="F3508">
        <v>1</v>
      </c>
      <c r="G3508">
        <v>1</v>
      </c>
    </row>
    <row r="3509" spans="1:7" x14ac:dyDescent="0.25">
      <c r="A3509" t="s">
        <v>1304</v>
      </c>
      <c r="F3509">
        <v>2</v>
      </c>
      <c r="G3509">
        <v>2</v>
      </c>
    </row>
    <row r="3510" spans="1:7" x14ac:dyDescent="0.25">
      <c r="A3510" t="s">
        <v>292</v>
      </c>
      <c r="F3510">
        <v>1</v>
      </c>
      <c r="G3510">
        <v>1</v>
      </c>
    </row>
    <row r="3511" spans="1:7" x14ac:dyDescent="0.25">
      <c r="A3511" t="s">
        <v>367</v>
      </c>
      <c r="F3511">
        <v>1</v>
      </c>
      <c r="G3511">
        <v>1</v>
      </c>
    </row>
    <row r="3512" spans="1:7" x14ac:dyDescent="0.25">
      <c r="A3512" t="s">
        <v>1305</v>
      </c>
      <c r="F3512">
        <v>2</v>
      </c>
      <c r="G3512">
        <v>2</v>
      </c>
    </row>
    <row r="3513" spans="1:7" x14ac:dyDescent="0.25">
      <c r="A3513" t="s">
        <v>288</v>
      </c>
      <c r="F3513">
        <v>1</v>
      </c>
      <c r="G3513">
        <v>1</v>
      </c>
    </row>
    <row r="3514" spans="1:7" x14ac:dyDescent="0.25">
      <c r="A3514" t="s">
        <v>380</v>
      </c>
      <c r="F3514">
        <v>1</v>
      </c>
      <c r="G3514">
        <v>1</v>
      </c>
    </row>
    <row r="3515" spans="1:7" x14ac:dyDescent="0.25">
      <c r="A3515" t="s">
        <v>1306</v>
      </c>
      <c r="F3515">
        <v>2</v>
      </c>
      <c r="G3515">
        <v>2</v>
      </c>
    </row>
    <row r="3516" spans="1:7" x14ac:dyDescent="0.25">
      <c r="A3516" t="s">
        <v>292</v>
      </c>
      <c r="F3516">
        <v>1</v>
      </c>
      <c r="G3516">
        <v>1</v>
      </c>
    </row>
    <row r="3517" spans="1:7" x14ac:dyDescent="0.25">
      <c r="A3517" t="s">
        <v>380</v>
      </c>
      <c r="F3517">
        <v>1</v>
      </c>
      <c r="G3517">
        <v>1</v>
      </c>
    </row>
    <row r="3518" spans="1:7" x14ac:dyDescent="0.25">
      <c r="A3518" t="s">
        <v>1307</v>
      </c>
      <c r="F3518">
        <v>2</v>
      </c>
      <c r="G3518">
        <v>2</v>
      </c>
    </row>
    <row r="3519" spans="1:7" x14ac:dyDescent="0.25">
      <c r="A3519" t="s">
        <v>288</v>
      </c>
      <c r="F3519">
        <v>1</v>
      </c>
      <c r="G3519">
        <v>1</v>
      </c>
    </row>
    <row r="3520" spans="1:7" x14ac:dyDescent="0.25">
      <c r="A3520" t="s">
        <v>380</v>
      </c>
      <c r="F3520">
        <v>1</v>
      </c>
      <c r="G3520">
        <v>1</v>
      </c>
    </row>
    <row r="3521" spans="1:7" x14ac:dyDescent="0.25">
      <c r="A3521" t="s">
        <v>1308</v>
      </c>
      <c r="F3521">
        <v>3</v>
      </c>
      <c r="G3521">
        <v>3</v>
      </c>
    </row>
    <row r="3522" spans="1:7" x14ac:dyDescent="0.25">
      <c r="A3522" t="s">
        <v>289</v>
      </c>
      <c r="F3522">
        <v>1</v>
      </c>
      <c r="G3522">
        <v>1</v>
      </c>
    </row>
    <row r="3523" spans="1:7" x14ac:dyDescent="0.25">
      <c r="A3523" t="s">
        <v>290</v>
      </c>
      <c r="F3523">
        <v>1</v>
      </c>
      <c r="G3523">
        <v>1</v>
      </c>
    </row>
    <row r="3524" spans="1:7" x14ac:dyDescent="0.25">
      <c r="A3524" t="s">
        <v>380</v>
      </c>
      <c r="F3524">
        <v>1</v>
      </c>
      <c r="G3524">
        <v>1</v>
      </c>
    </row>
    <row r="3525" spans="1:7" x14ac:dyDescent="0.25">
      <c r="A3525" t="s">
        <v>1309</v>
      </c>
      <c r="F3525">
        <v>4</v>
      </c>
      <c r="G3525">
        <v>4</v>
      </c>
    </row>
    <row r="3526" spans="1:7" x14ac:dyDescent="0.25">
      <c r="A3526" t="s">
        <v>289</v>
      </c>
      <c r="F3526">
        <v>1</v>
      </c>
      <c r="G3526">
        <v>1</v>
      </c>
    </row>
    <row r="3527" spans="1:7" x14ac:dyDescent="0.25">
      <c r="A3527" t="s">
        <v>291</v>
      </c>
      <c r="F3527">
        <v>1</v>
      </c>
      <c r="G3527">
        <v>1</v>
      </c>
    </row>
    <row r="3528" spans="1:7" x14ac:dyDescent="0.25">
      <c r="A3528" t="s">
        <v>288</v>
      </c>
      <c r="F3528">
        <v>1</v>
      </c>
      <c r="G3528">
        <v>1</v>
      </c>
    </row>
    <row r="3529" spans="1:7" x14ac:dyDescent="0.25">
      <c r="A3529" t="s">
        <v>380</v>
      </c>
      <c r="F3529">
        <v>1</v>
      </c>
      <c r="G3529">
        <v>1</v>
      </c>
    </row>
    <row r="3530" spans="1:7" x14ac:dyDescent="0.25">
      <c r="A3530" t="s">
        <v>1310</v>
      </c>
      <c r="F3530">
        <v>2</v>
      </c>
      <c r="G3530">
        <v>2</v>
      </c>
    </row>
    <row r="3531" spans="1:7" x14ac:dyDescent="0.25">
      <c r="A3531" t="s">
        <v>292</v>
      </c>
      <c r="F3531">
        <v>1</v>
      </c>
      <c r="G3531">
        <v>1</v>
      </c>
    </row>
    <row r="3532" spans="1:7" x14ac:dyDescent="0.25">
      <c r="A3532" t="s">
        <v>367</v>
      </c>
      <c r="F3532">
        <v>1</v>
      </c>
      <c r="G3532">
        <v>1</v>
      </c>
    </row>
    <row r="3533" spans="1:7" x14ac:dyDescent="0.25">
      <c r="A3533" t="s">
        <v>1311</v>
      </c>
      <c r="F3533">
        <v>2</v>
      </c>
      <c r="G3533">
        <v>2</v>
      </c>
    </row>
    <row r="3534" spans="1:7" x14ac:dyDescent="0.25">
      <c r="A3534" t="s">
        <v>288</v>
      </c>
      <c r="F3534">
        <v>1</v>
      </c>
      <c r="G3534">
        <v>1</v>
      </c>
    </row>
    <row r="3535" spans="1:7" x14ac:dyDescent="0.25">
      <c r="A3535" t="s">
        <v>367</v>
      </c>
      <c r="F3535">
        <v>1</v>
      </c>
      <c r="G3535">
        <v>1</v>
      </c>
    </row>
    <row r="3536" spans="1:7" x14ac:dyDescent="0.25">
      <c r="A3536" t="s">
        <v>1312</v>
      </c>
      <c r="F3536">
        <v>2</v>
      </c>
      <c r="G3536">
        <v>2</v>
      </c>
    </row>
    <row r="3537" spans="1:7" x14ac:dyDescent="0.25">
      <c r="A3537" t="s">
        <v>291</v>
      </c>
      <c r="F3537">
        <v>1</v>
      </c>
      <c r="G3537">
        <v>1</v>
      </c>
    </row>
    <row r="3538" spans="1:7" x14ac:dyDescent="0.25">
      <c r="A3538" t="s">
        <v>380</v>
      </c>
      <c r="F3538">
        <v>1</v>
      </c>
      <c r="G3538">
        <v>1</v>
      </c>
    </row>
    <row r="3539" spans="1:7" x14ac:dyDescent="0.25">
      <c r="A3539" t="s">
        <v>1313</v>
      </c>
      <c r="F3539">
        <v>2</v>
      </c>
      <c r="G3539">
        <v>2</v>
      </c>
    </row>
    <row r="3540" spans="1:7" x14ac:dyDescent="0.25">
      <c r="A3540" t="s">
        <v>288</v>
      </c>
      <c r="F3540">
        <v>1</v>
      </c>
      <c r="G3540">
        <v>1</v>
      </c>
    </row>
    <row r="3541" spans="1:7" x14ac:dyDescent="0.25">
      <c r="A3541" t="s">
        <v>380</v>
      </c>
      <c r="F3541">
        <v>1</v>
      </c>
      <c r="G3541">
        <v>1</v>
      </c>
    </row>
    <row r="3542" spans="1:7" x14ac:dyDescent="0.25">
      <c r="A3542" t="s">
        <v>1314</v>
      </c>
      <c r="F3542">
        <v>2</v>
      </c>
      <c r="G3542">
        <v>2</v>
      </c>
    </row>
    <row r="3543" spans="1:7" x14ac:dyDescent="0.25">
      <c r="A3543" t="s">
        <v>288</v>
      </c>
      <c r="F3543">
        <v>1</v>
      </c>
      <c r="G3543">
        <v>1</v>
      </c>
    </row>
    <row r="3544" spans="1:7" x14ac:dyDescent="0.25">
      <c r="A3544" t="s">
        <v>367</v>
      </c>
      <c r="F3544">
        <v>1</v>
      </c>
      <c r="G3544">
        <v>1</v>
      </c>
    </row>
    <row r="3545" spans="1:7" x14ac:dyDescent="0.25">
      <c r="A3545" t="s">
        <v>1315</v>
      </c>
      <c r="F3545">
        <v>2</v>
      </c>
      <c r="G3545">
        <v>2</v>
      </c>
    </row>
    <row r="3546" spans="1:7" x14ac:dyDescent="0.25">
      <c r="A3546" t="s">
        <v>288</v>
      </c>
      <c r="F3546">
        <v>1</v>
      </c>
      <c r="G3546">
        <v>1</v>
      </c>
    </row>
    <row r="3547" spans="1:7" x14ac:dyDescent="0.25">
      <c r="A3547" t="s">
        <v>367</v>
      </c>
      <c r="F3547">
        <v>1</v>
      </c>
      <c r="G3547">
        <v>1</v>
      </c>
    </row>
    <row r="3548" spans="1:7" x14ac:dyDescent="0.25">
      <c r="A3548" t="s">
        <v>1316</v>
      </c>
      <c r="F3548">
        <v>3</v>
      </c>
      <c r="G3548">
        <v>3</v>
      </c>
    </row>
    <row r="3549" spans="1:7" x14ac:dyDescent="0.25">
      <c r="A3549" t="s">
        <v>289</v>
      </c>
      <c r="F3549">
        <v>1</v>
      </c>
      <c r="G3549">
        <v>1</v>
      </c>
    </row>
    <row r="3550" spans="1:7" x14ac:dyDescent="0.25">
      <c r="A3550" t="s">
        <v>292</v>
      </c>
      <c r="F3550">
        <v>1</v>
      </c>
      <c r="G3550">
        <v>1</v>
      </c>
    </row>
    <row r="3551" spans="1:7" x14ac:dyDescent="0.25">
      <c r="A3551" t="s">
        <v>380</v>
      </c>
      <c r="F3551">
        <v>1</v>
      </c>
      <c r="G3551">
        <v>1</v>
      </c>
    </row>
    <row r="3552" spans="1:7" x14ac:dyDescent="0.25">
      <c r="A3552" t="s">
        <v>1317</v>
      </c>
      <c r="F3552">
        <v>5</v>
      </c>
      <c r="G3552">
        <v>5</v>
      </c>
    </row>
    <row r="3553" spans="1:7" x14ac:dyDescent="0.25">
      <c r="A3553" t="s">
        <v>377</v>
      </c>
      <c r="F3553">
        <v>1</v>
      </c>
      <c r="G3553">
        <v>1</v>
      </c>
    </row>
    <row r="3554" spans="1:7" x14ac:dyDescent="0.25">
      <c r="A3554" t="s">
        <v>289</v>
      </c>
      <c r="F3554">
        <v>1</v>
      </c>
      <c r="G3554">
        <v>1</v>
      </c>
    </row>
    <row r="3555" spans="1:7" x14ac:dyDescent="0.25">
      <c r="A3555" t="s">
        <v>290</v>
      </c>
      <c r="F3555">
        <v>1</v>
      </c>
      <c r="G3555">
        <v>1</v>
      </c>
    </row>
    <row r="3556" spans="1:7" x14ac:dyDescent="0.25">
      <c r="A3556" t="s">
        <v>291</v>
      </c>
      <c r="F3556">
        <v>1</v>
      </c>
      <c r="G3556">
        <v>1</v>
      </c>
    </row>
    <row r="3557" spans="1:7" x14ac:dyDescent="0.25">
      <c r="A3557" t="s">
        <v>493</v>
      </c>
      <c r="F3557">
        <v>1</v>
      </c>
      <c r="G3557">
        <v>1</v>
      </c>
    </row>
    <row r="3558" spans="1:7" x14ac:dyDescent="0.25">
      <c r="A3558" t="s">
        <v>1318</v>
      </c>
      <c r="F3558">
        <v>2</v>
      </c>
      <c r="G3558">
        <v>2</v>
      </c>
    </row>
    <row r="3559" spans="1:7" x14ac:dyDescent="0.25">
      <c r="A3559" t="s">
        <v>292</v>
      </c>
      <c r="F3559">
        <v>1</v>
      </c>
      <c r="G3559">
        <v>1</v>
      </c>
    </row>
    <row r="3560" spans="1:7" x14ac:dyDescent="0.25">
      <c r="A3560" t="s">
        <v>659</v>
      </c>
      <c r="F3560">
        <v>1</v>
      </c>
      <c r="G3560">
        <v>1</v>
      </c>
    </row>
    <row r="3561" spans="1:7" x14ac:dyDescent="0.25">
      <c r="A3561" t="s">
        <v>1319</v>
      </c>
      <c r="F3561">
        <v>2</v>
      </c>
      <c r="G3561">
        <v>2</v>
      </c>
    </row>
    <row r="3562" spans="1:7" x14ac:dyDescent="0.25">
      <c r="A3562" t="s">
        <v>288</v>
      </c>
      <c r="F3562">
        <v>1</v>
      </c>
      <c r="G3562">
        <v>1</v>
      </c>
    </row>
    <row r="3563" spans="1:7" x14ac:dyDescent="0.25">
      <c r="A3563" t="s">
        <v>367</v>
      </c>
      <c r="F3563">
        <v>1</v>
      </c>
      <c r="G3563">
        <v>1</v>
      </c>
    </row>
    <row r="3564" spans="1:7" x14ac:dyDescent="0.25">
      <c r="A3564" t="s">
        <v>1320</v>
      </c>
      <c r="F3564">
        <v>2</v>
      </c>
      <c r="G3564">
        <v>2</v>
      </c>
    </row>
    <row r="3565" spans="1:7" x14ac:dyDescent="0.25">
      <c r="A3565" t="s">
        <v>292</v>
      </c>
      <c r="F3565">
        <v>1</v>
      </c>
      <c r="G3565">
        <v>1</v>
      </c>
    </row>
    <row r="3566" spans="1:7" x14ac:dyDescent="0.25">
      <c r="A3566" t="s">
        <v>380</v>
      </c>
      <c r="F3566">
        <v>1</v>
      </c>
      <c r="G3566">
        <v>1</v>
      </c>
    </row>
    <row r="3567" spans="1:7" x14ac:dyDescent="0.25">
      <c r="A3567" t="s">
        <v>1321</v>
      </c>
      <c r="F3567">
        <v>2</v>
      </c>
      <c r="G3567">
        <v>2</v>
      </c>
    </row>
    <row r="3568" spans="1:7" x14ac:dyDescent="0.25">
      <c r="A3568" t="s">
        <v>292</v>
      </c>
      <c r="F3568">
        <v>1</v>
      </c>
      <c r="G3568">
        <v>1</v>
      </c>
    </row>
    <row r="3569" spans="1:7" x14ac:dyDescent="0.25">
      <c r="A3569" t="s">
        <v>367</v>
      </c>
      <c r="F3569">
        <v>1</v>
      </c>
      <c r="G3569">
        <v>1</v>
      </c>
    </row>
    <row r="3570" spans="1:7" x14ac:dyDescent="0.25">
      <c r="A3570" t="s">
        <v>1322</v>
      </c>
      <c r="F3570">
        <v>2</v>
      </c>
      <c r="G3570">
        <v>2</v>
      </c>
    </row>
    <row r="3571" spans="1:7" x14ac:dyDescent="0.25">
      <c r="A3571" t="s">
        <v>288</v>
      </c>
      <c r="F3571">
        <v>1</v>
      </c>
      <c r="G3571">
        <v>1</v>
      </c>
    </row>
    <row r="3572" spans="1:7" x14ac:dyDescent="0.25">
      <c r="A3572" t="s">
        <v>367</v>
      </c>
      <c r="F3572">
        <v>1</v>
      </c>
      <c r="G3572">
        <v>1</v>
      </c>
    </row>
    <row r="3573" spans="1:7" x14ac:dyDescent="0.25">
      <c r="A3573" t="s">
        <v>1323</v>
      </c>
      <c r="F3573">
        <v>3</v>
      </c>
      <c r="G3573">
        <v>3</v>
      </c>
    </row>
    <row r="3574" spans="1:7" x14ac:dyDescent="0.25">
      <c r="A3574" t="s">
        <v>377</v>
      </c>
      <c r="F3574">
        <v>1</v>
      </c>
      <c r="G3574">
        <v>1</v>
      </c>
    </row>
    <row r="3575" spans="1:7" x14ac:dyDescent="0.25">
      <c r="A3575" t="s">
        <v>288</v>
      </c>
      <c r="F3575">
        <v>1</v>
      </c>
      <c r="G3575">
        <v>1</v>
      </c>
    </row>
    <row r="3576" spans="1:7" x14ac:dyDescent="0.25">
      <c r="A3576" t="s">
        <v>493</v>
      </c>
      <c r="F3576">
        <v>1</v>
      </c>
      <c r="G3576">
        <v>1</v>
      </c>
    </row>
    <row r="3577" spans="1:7" x14ac:dyDescent="0.25">
      <c r="A3577" t="s">
        <v>1324</v>
      </c>
      <c r="F3577">
        <v>5</v>
      </c>
      <c r="G3577">
        <v>5</v>
      </c>
    </row>
    <row r="3578" spans="1:7" x14ac:dyDescent="0.25">
      <c r="A3578" t="s">
        <v>377</v>
      </c>
      <c r="F3578">
        <v>1</v>
      </c>
      <c r="G3578">
        <v>1</v>
      </c>
    </row>
    <row r="3579" spans="1:7" x14ac:dyDescent="0.25">
      <c r="A3579" t="s">
        <v>289</v>
      </c>
      <c r="F3579">
        <v>1</v>
      </c>
      <c r="G3579">
        <v>1</v>
      </c>
    </row>
    <row r="3580" spans="1:7" x14ac:dyDescent="0.25">
      <c r="A3580" t="s">
        <v>290</v>
      </c>
      <c r="F3580">
        <v>1</v>
      </c>
      <c r="G3580">
        <v>1</v>
      </c>
    </row>
    <row r="3581" spans="1:7" x14ac:dyDescent="0.25">
      <c r="A3581" t="s">
        <v>291</v>
      </c>
      <c r="F3581">
        <v>1</v>
      </c>
      <c r="G3581">
        <v>1</v>
      </c>
    </row>
    <row r="3582" spans="1:7" x14ac:dyDescent="0.25">
      <c r="A3582" t="s">
        <v>493</v>
      </c>
      <c r="F3582">
        <v>1</v>
      </c>
      <c r="G3582">
        <v>1</v>
      </c>
    </row>
    <row r="3583" spans="1:7" x14ac:dyDescent="0.25">
      <c r="A3583" t="s">
        <v>1325</v>
      </c>
      <c r="F3583">
        <v>3</v>
      </c>
      <c r="G3583">
        <v>3</v>
      </c>
    </row>
    <row r="3584" spans="1:7" x14ac:dyDescent="0.25">
      <c r="A3584" t="s">
        <v>292</v>
      </c>
      <c r="F3584">
        <v>1</v>
      </c>
      <c r="G3584">
        <v>1</v>
      </c>
    </row>
    <row r="3585" spans="1:7" x14ac:dyDescent="0.25">
      <c r="A3585" t="s">
        <v>288</v>
      </c>
      <c r="F3585">
        <v>1</v>
      </c>
      <c r="G3585">
        <v>1</v>
      </c>
    </row>
    <row r="3586" spans="1:7" x14ac:dyDescent="0.25">
      <c r="A3586" t="s">
        <v>380</v>
      </c>
      <c r="F3586">
        <v>1</v>
      </c>
      <c r="G3586">
        <v>1</v>
      </c>
    </row>
    <row r="3587" spans="1:7" x14ac:dyDescent="0.25">
      <c r="A3587" t="s">
        <v>1326</v>
      </c>
      <c r="F3587">
        <v>3</v>
      </c>
      <c r="G3587">
        <v>3</v>
      </c>
    </row>
    <row r="3588" spans="1:7" x14ac:dyDescent="0.25">
      <c r="A3588" t="s">
        <v>292</v>
      </c>
      <c r="F3588">
        <v>1</v>
      </c>
      <c r="G3588">
        <v>1</v>
      </c>
    </row>
    <row r="3589" spans="1:7" x14ac:dyDescent="0.25">
      <c r="A3589" t="s">
        <v>288</v>
      </c>
      <c r="F3589">
        <v>1</v>
      </c>
      <c r="G3589">
        <v>1</v>
      </c>
    </row>
    <row r="3590" spans="1:7" x14ac:dyDescent="0.25">
      <c r="A3590" t="s">
        <v>380</v>
      </c>
      <c r="F3590">
        <v>1</v>
      </c>
      <c r="G3590">
        <v>1</v>
      </c>
    </row>
    <row r="3591" spans="1:7" x14ac:dyDescent="0.25">
      <c r="A3591" t="s">
        <v>1327</v>
      </c>
      <c r="E3591">
        <v>5</v>
      </c>
      <c r="G3591">
        <v>5</v>
      </c>
    </row>
    <row r="3592" spans="1:7" x14ac:dyDescent="0.25">
      <c r="A3592" t="s">
        <v>377</v>
      </c>
      <c r="E3592">
        <v>1</v>
      </c>
      <c r="G3592">
        <v>1</v>
      </c>
    </row>
    <row r="3593" spans="1:7" x14ac:dyDescent="0.25">
      <c r="A3593" t="s">
        <v>289</v>
      </c>
      <c r="E3593">
        <v>1</v>
      </c>
      <c r="G3593">
        <v>1</v>
      </c>
    </row>
    <row r="3594" spans="1:7" x14ac:dyDescent="0.25">
      <c r="A3594" t="s">
        <v>290</v>
      </c>
      <c r="E3594">
        <v>1</v>
      </c>
      <c r="G3594">
        <v>1</v>
      </c>
    </row>
    <row r="3595" spans="1:7" x14ac:dyDescent="0.25">
      <c r="A3595" t="s">
        <v>291</v>
      </c>
      <c r="E3595">
        <v>1</v>
      </c>
      <c r="G3595">
        <v>1</v>
      </c>
    </row>
    <row r="3596" spans="1:7" x14ac:dyDescent="0.25">
      <c r="A3596" t="s">
        <v>493</v>
      </c>
      <c r="E3596">
        <v>1</v>
      </c>
      <c r="G3596">
        <v>1</v>
      </c>
    </row>
    <row r="3597" spans="1:7" x14ac:dyDescent="0.25">
      <c r="A3597" t="s">
        <v>1328</v>
      </c>
      <c r="E3597">
        <v>2</v>
      </c>
      <c r="G3597">
        <v>2</v>
      </c>
    </row>
    <row r="3598" spans="1:7" x14ac:dyDescent="0.25">
      <c r="A3598" t="s">
        <v>291</v>
      </c>
      <c r="E3598">
        <v>1</v>
      </c>
      <c r="G3598">
        <v>1</v>
      </c>
    </row>
    <row r="3599" spans="1:7" x14ac:dyDescent="0.25">
      <c r="A3599" t="s">
        <v>1329</v>
      </c>
      <c r="E3599">
        <v>1</v>
      </c>
      <c r="G3599">
        <v>1</v>
      </c>
    </row>
    <row r="3600" spans="1:7" x14ac:dyDescent="0.25">
      <c r="A3600" t="s">
        <v>1330</v>
      </c>
      <c r="E3600">
        <v>2</v>
      </c>
      <c r="G3600">
        <v>2</v>
      </c>
    </row>
    <row r="3601" spans="1:7" x14ac:dyDescent="0.25">
      <c r="A3601" t="s">
        <v>288</v>
      </c>
      <c r="E3601">
        <v>1</v>
      </c>
      <c r="G3601">
        <v>1</v>
      </c>
    </row>
    <row r="3602" spans="1:7" x14ac:dyDescent="0.25">
      <c r="A3602" t="s">
        <v>1329</v>
      </c>
      <c r="E3602">
        <v>1</v>
      </c>
      <c r="G3602">
        <v>1</v>
      </c>
    </row>
    <row r="3603" spans="1:7" x14ac:dyDescent="0.25">
      <c r="A3603" t="s">
        <v>1331</v>
      </c>
      <c r="E3603">
        <v>2</v>
      </c>
      <c r="G3603">
        <v>2</v>
      </c>
    </row>
    <row r="3604" spans="1:7" x14ac:dyDescent="0.25">
      <c r="A3604" t="s">
        <v>292</v>
      </c>
      <c r="E3604">
        <v>1</v>
      </c>
      <c r="G3604">
        <v>1</v>
      </c>
    </row>
    <row r="3605" spans="1:7" x14ac:dyDescent="0.25">
      <c r="A3605" t="s">
        <v>1329</v>
      </c>
      <c r="E3605">
        <v>1</v>
      </c>
      <c r="G3605">
        <v>1</v>
      </c>
    </row>
    <row r="3606" spans="1:7" x14ac:dyDescent="0.25">
      <c r="A3606" t="s">
        <v>1332</v>
      </c>
      <c r="E3606">
        <v>2</v>
      </c>
      <c r="G3606">
        <v>2</v>
      </c>
    </row>
    <row r="3607" spans="1:7" x14ac:dyDescent="0.25">
      <c r="A3607" t="s">
        <v>288</v>
      </c>
      <c r="E3607">
        <v>1</v>
      </c>
      <c r="G3607">
        <v>1</v>
      </c>
    </row>
    <row r="3608" spans="1:7" x14ac:dyDescent="0.25">
      <c r="A3608" t="s">
        <v>1329</v>
      </c>
      <c r="E3608">
        <v>1</v>
      </c>
      <c r="G3608">
        <v>1</v>
      </c>
    </row>
    <row r="3609" spans="1:7" x14ac:dyDescent="0.25">
      <c r="A3609" t="s">
        <v>1333</v>
      </c>
      <c r="E3609">
        <v>2</v>
      </c>
      <c r="G3609">
        <v>2</v>
      </c>
    </row>
    <row r="3610" spans="1:7" x14ac:dyDescent="0.25">
      <c r="A3610" t="s">
        <v>288</v>
      </c>
      <c r="E3610">
        <v>1</v>
      </c>
      <c r="G3610">
        <v>1</v>
      </c>
    </row>
    <row r="3611" spans="1:7" x14ac:dyDescent="0.25">
      <c r="A3611" t="s">
        <v>1329</v>
      </c>
      <c r="E3611">
        <v>1</v>
      </c>
      <c r="G3611">
        <v>1</v>
      </c>
    </row>
    <row r="3612" spans="1:7" x14ac:dyDescent="0.25">
      <c r="A3612" t="s">
        <v>1334</v>
      </c>
      <c r="F3612">
        <v>1</v>
      </c>
      <c r="G3612">
        <v>1</v>
      </c>
    </row>
    <row r="3613" spans="1:7" x14ac:dyDescent="0.25">
      <c r="A3613" t="s">
        <v>290</v>
      </c>
      <c r="F3613">
        <v>1</v>
      </c>
      <c r="G3613">
        <v>1</v>
      </c>
    </row>
    <row r="3614" spans="1:7" x14ac:dyDescent="0.25">
      <c r="A3614" t="s">
        <v>1335</v>
      </c>
      <c r="F3614">
        <v>1</v>
      </c>
      <c r="G3614">
        <v>1</v>
      </c>
    </row>
    <row r="3615" spans="1:7" x14ac:dyDescent="0.25">
      <c r="A3615" t="s">
        <v>288</v>
      </c>
      <c r="F3615">
        <v>1</v>
      </c>
      <c r="G3615">
        <v>1</v>
      </c>
    </row>
    <row r="3616" spans="1:7" x14ac:dyDescent="0.25">
      <c r="A3616" t="s">
        <v>1336</v>
      </c>
      <c r="E3616">
        <v>2</v>
      </c>
      <c r="G3616">
        <v>2</v>
      </c>
    </row>
    <row r="3617" spans="1:7" x14ac:dyDescent="0.25">
      <c r="A3617" t="s">
        <v>288</v>
      </c>
      <c r="E3617">
        <v>1</v>
      </c>
      <c r="G3617">
        <v>1</v>
      </c>
    </row>
    <row r="3618" spans="1:7" x14ac:dyDescent="0.25">
      <c r="A3618" t="s">
        <v>1329</v>
      </c>
      <c r="E3618">
        <v>1</v>
      </c>
      <c r="G3618">
        <v>1</v>
      </c>
    </row>
    <row r="3619" spans="1:7" x14ac:dyDescent="0.25">
      <c r="A3619" t="s">
        <v>1337</v>
      </c>
      <c r="E3619">
        <v>2</v>
      </c>
      <c r="G3619">
        <v>2</v>
      </c>
    </row>
    <row r="3620" spans="1:7" x14ac:dyDescent="0.25">
      <c r="A3620" t="s">
        <v>288</v>
      </c>
      <c r="E3620">
        <v>1</v>
      </c>
      <c r="G3620">
        <v>1</v>
      </c>
    </row>
    <row r="3621" spans="1:7" x14ac:dyDescent="0.25">
      <c r="A3621" t="s">
        <v>1329</v>
      </c>
      <c r="E3621">
        <v>1</v>
      </c>
      <c r="G3621">
        <v>1</v>
      </c>
    </row>
    <row r="3622" spans="1:7" x14ac:dyDescent="0.25">
      <c r="A3622" t="s">
        <v>1338</v>
      </c>
      <c r="E3622">
        <v>2</v>
      </c>
      <c r="G3622">
        <v>2</v>
      </c>
    </row>
    <row r="3623" spans="1:7" x14ac:dyDescent="0.25">
      <c r="A3623" t="s">
        <v>288</v>
      </c>
      <c r="E3623">
        <v>1</v>
      </c>
      <c r="G3623">
        <v>1</v>
      </c>
    </row>
    <row r="3624" spans="1:7" x14ac:dyDescent="0.25">
      <c r="A3624" t="s">
        <v>1329</v>
      </c>
      <c r="E3624">
        <v>1</v>
      </c>
      <c r="G3624">
        <v>1</v>
      </c>
    </row>
    <row r="3625" spans="1:7" x14ac:dyDescent="0.25">
      <c r="A3625" t="s">
        <v>1339</v>
      </c>
      <c r="E3625">
        <v>2</v>
      </c>
      <c r="G3625">
        <v>2</v>
      </c>
    </row>
    <row r="3626" spans="1:7" x14ac:dyDescent="0.25">
      <c r="A3626" t="s">
        <v>288</v>
      </c>
      <c r="E3626">
        <v>1</v>
      </c>
      <c r="G3626">
        <v>1</v>
      </c>
    </row>
    <row r="3627" spans="1:7" x14ac:dyDescent="0.25">
      <c r="A3627" t="s">
        <v>1329</v>
      </c>
      <c r="E3627">
        <v>1</v>
      </c>
      <c r="G3627">
        <v>1</v>
      </c>
    </row>
    <row r="3628" spans="1:7" x14ac:dyDescent="0.25">
      <c r="A3628" t="s">
        <v>1340</v>
      </c>
      <c r="E3628">
        <v>2</v>
      </c>
      <c r="G3628">
        <v>2</v>
      </c>
    </row>
    <row r="3629" spans="1:7" x14ac:dyDescent="0.25">
      <c r="A3629" t="s">
        <v>288</v>
      </c>
      <c r="E3629">
        <v>1</v>
      </c>
      <c r="G3629">
        <v>1</v>
      </c>
    </row>
    <row r="3630" spans="1:7" x14ac:dyDescent="0.25">
      <c r="A3630" t="s">
        <v>1329</v>
      </c>
      <c r="E3630">
        <v>1</v>
      </c>
      <c r="G3630">
        <v>1</v>
      </c>
    </row>
    <row r="3631" spans="1:7" x14ac:dyDescent="0.25">
      <c r="A3631" t="s">
        <v>1341</v>
      </c>
      <c r="F3631">
        <v>1</v>
      </c>
      <c r="G3631">
        <v>1</v>
      </c>
    </row>
    <row r="3632" spans="1:7" x14ac:dyDescent="0.25">
      <c r="A3632" t="s">
        <v>288</v>
      </c>
      <c r="F3632">
        <v>1</v>
      </c>
      <c r="G3632">
        <v>1</v>
      </c>
    </row>
    <row r="3633" spans="1:7" x14ac:dyDescent="0.25">
      <c r="A3633" t="s">
        <v>1342</v>
      </c>
      <c r="F3633">
        <v>2</v>
      </c>
      <c r="G3633">
        <v>2</v>
      </c>
    </row>
    <row r="3634" spans="1:7" x14ac:dyDescent="0.25">
      <c r="A3634" t="s">
        <v>289</v>
      </c>
      <c r="F3634">
        <v>1</v>
      </c>
      <c r="G3634">
        <v>1</v>
      </c>
    </row>
    <row r="3635" spans="1:7" x14ac:dyDescent="0.25">
      <c r="A3635" t="s">
        <v>291</v>
      </c>
      <c r="F3635">
        <v>1</v>
      </c>
      <c r="G3635">
        <v>1</v>
      </c>
    </row>
    <row r="3636" spans="1:7" x14ac:dyDescent="0.25">
      <c r="A3636" t="s">
        <v>1343</v>
      </c>
      <c r="F3636">
        <v>1</v>
      </c>
      <c r="G3636">
        <v>1</v>
      </c>
    </row>
    <row r="3637" spans="1:7" x14ac:dyDescent="0.25">
      <c r="A3637" t="s">
        <v>290</v>
      </c>
      <c r="F3637">
        <v>1</v>
      </c>
      <c r="G3637">
        <v>1</v>
      </c>
    </row>
    <row r="3638" spans="1:7" x14ac:dyDescent="0.25">
      <c r="A3638" t="s">
        <v>1344</v>
      </c>
      <c r="E3638">
        <v>2</v>
      </c>
      <c r="G3638">
        <v>2</v>
      </c>
    </row>
    <row r="3639" spans="1:7" x14ac:dyDescent="0.25">
      <c r="A3639" t="s">
        <v>288</v>
      </c>
      <c r="E3639">
        <v>1</v>
      </c>
      <c r="G3639">
        <v>1</v>
      </c>
    </row>
    <row r="3640" spans="1:7" x14ac:dyDescent="0.25">
      <c r="A3640" t="s">
        <v>1329</v>
      </c>
      <c r="E3640">
        <v>1</v>
      </c>
      <c r="G3640">
        <v>1</v>
      </c>
    </row>
    <row r="3641" spans="1:7" x14ac:dyDescent="0.25">
      <c r="A3641" t="s">
        <v>1345</v>
      </c>
      <c r="E3641">
        <v>2</v>
      </c>
      <c r="G3641">
        <v>2</v>
      </c>
    </row>
    <row r="3642" spans="1:7" x14ac:dyDescent="0.25">
      <c r="A3642" t="s">
        <v>288</v>
      </c>
      <c r="E3642">
        <v>1</v>
      </c>
      <c r="G3642">
        <v>1</v>
      </c>
    </row>
    <row r="3643" spans="1:7" x14ac:dyDescent="0.25">
      <c r="A3643" t="s">
        <v>1329</v>
      </c>
      <c r="E3643">
        <v>1</v>
      </c>
      <c r="G3643">
        <v>1</v>
      </c>
    </row>
    <row r="3644" spans="1:7" x14ac:dyDescent="0.25">
      <c r="A3644" t="s">
        <v>1346</v>
      </c>
      <c r="F3644">
        <v>1</v>
      </c>
      <c r="G3644">
        <v>1</v>
      </c>
    </row>
    <row r="3645" spans="1:7" x14ac:dyDescent="0.25">
      <c r="A3645" t="s">
        <v>288</v>
      </c>
      <c r="F3645">
        <v>1</v>
      </c>
      <c r="G3645">
        <v>1</v>
      </c>
    </row>
    <row r="3646" spans="1:7" x14ac:dyDescent="0.25">
      <c r="A3646" t="s">
        <v>1347</v>
      </c>
      <c r="E3646">
        <v>2</v>
      </c>
      <c r="G3646">
        <v>2</v>
      </c>
    </row>
    <row r="3647" spans="1:7" x14ac:dyDescent="0.25">
      <c r="A3647" t="s">
        <v>288</v>
      </c>
      <c r="E3647">
        <v>1</v>
      </c>
      <c r="G3647">
        <v>1</v>
      </c>
    </row>
    <row r="3648" spans="1:7" x14ac:dyDescent="0.25">
      <c r="A3648" t="s">
        <v>1329</v>
      </c>
      <c r="E3648">
        <v>1</v>
      </c>
      <c r="G3648">
        <v>1</v>
      </c>
    </row>
    <row r="3649" spans="1:7" x14ac:dyDescent="0.25">
      <c r="A3649" t="s">
        <v>1348</v>
      </c>
      <c r="F3649">
        <v>1</v>
      </c>
      <c r="G3649">
        <v>1</v>
      </c>
    </row>
    <row r="3650" spans="1:7" x14ac:dyDescent="0.25">
      <c r="A3650" t="s">
        <v>288</v>
      </c>
      <c r="F3650">
        <v>1</v>
      </c>
      <c r="G3650">
        <v>1</v>
      </c>
    </row>
    <row r="3651" spans="1:7" x14ac:dyDescent="0.25">
      <c r="A3651" t="s">
        <v>1349</v>
      </c>
      <c r="F3651">
        <v>1</v>
      </c>
      <c r="G3651">
        <v>1</v>
      </c>
    </row>
    <row r="3652" spans="1:7" x14ac:dyDescent="0.25">
      <c r="A3652" t="s">
        <v>288</v>
      </c>
      <c r="F3652">
        <v>1</v>
      </c>
      <c r="G3652">
        <v>1</v>
      </c>
    </row>
    <row r="3653" spans="1:7" x14ac:dyDescent="0.25">
      <c r="A3653" t="s">
        <v>1350</v>
      </c>
      <c r="F3653">
        <v>1</v>
      </c>
      <c r="G3653">
        <v>1</v>
      </c>
    </row>
    <row r="3654" spans="1:7" x14ac:dyDescent="0.25">
      <c r="A3654" t="s">
        <v>290</v>
      </c>
      <c r="F3654">
        <v>1</v>
      </c>
      <c r="G3654">
        <v>1</v>
      </c>
    </row>
    <row r="3655" spans="1:7" x14ac:dyDescent="0.25">
      <c r="A3655" t="s">
        <v>1351</v>
      </c>
      <c r="F3655">
        <v>1</v>
      </c>
      <c r="G3655">
        <v>1</v>
      </c>
    </row>
    <row r="3656" spans="1:7" x14ac:dyDescent="0.25">
      <c r="A3656" t="s">
        <v>288</v>
      </c>
      <c r="F3656">
        <v>1</v>
      </c>
      <c r="G3656">
        <v>1</v>
      </c>
    </row>
    <row r="3657" spans="1:7" x14ac:dyDescent="0.25">
      <c r="A3657" t="s">
        <v>1352</v>
      </c>
      <c r="F3657">
        <v>1</v>
      </c>
      <c r="G3657">
        <v>1</v>
      </c>
    </row>
    <row r="3658" spans="1:7" x14ac:dyDescent="0.25">
      <c r="A3658" t="s">
        <v>291</v>
      </c>
      <c r="F3658">
        <v>1</v>
      </c>
      <c r="G3658">
        <v>1</v>
      </c>
    </row>
    <row r="3659" spans="1:7" x14ac:dyDescent="0.25">
      <c r="A3659" t="s">
        <v>1353</v>
      </c>
      <c r="F3659">
        <v>1</v>
      </c>
      <c r="G3659">
        <v>1</v>
      </c>
    </row>
    <row r="3660" spans="1:7" x14ac:dyDescent="0.25">
      <c r="A3660" t="s">
        <v>288</v>
      </c>
      <c r="F3660">
        <v>1</v>
      </c>
      <c r="G3660">
        <v>1</v>
      </c>
    </row>
    <row r="3661" spans="1:7" x14ac:dyDescent="0.25">
      <c r="A3661" t="s">
        <v>1354</v>
      </c>
      <c r="E3661">
        <v>2</v>
      </c>
      <c r="G3661">
        <v>2</v>
      </c>
    </row>
    <row r="3662" spans="1:7" x14ac:dyDescent="0.25">
      <c r="A3662" t="s">
        <v>288</v>
      </c>
      <c r="E3662">
        <v>1</v>
      </c>
      <c r="G3662">
        <v>1</v>
      </c>
    </row>
    <row r="3663" spans="1:7" x14ac:dyDescent="0.25">
      <c r="A3663" t="s">
        <v>1329</v>
      </c>
      <c r="E3663">
        <v>1</v>
      </c>
      <c r="G3663">
        <v>1</v>
      </c>
    </row>
    <row r="3664" spans="1:7" x14ac:dyDescent="0.25">
      <c r="A3664" t="s">
        <v>1355</v>
      </c>
      <c r="E3664">
        <v>2</v>
      </c>
      <c r="G3664">
        <v>2</v>
      </c>
    </row>
    <row r="3665" spans="1:7" x14ac:dyDescent="0.25">
      <c r="A3665" t="s">
        <v>288</v>
      </c>
      <c r="E3665">
        <v>1</v>
      </c>
      <c r="G3665">
        <v>1</v>
      </c>
    </row>
    <row r="3666" spans="1:7" x14ac:dyDescent="0.25">
      <c r="A3666" t="s">
        <v>1329</v>
      </c>
      <c r="E3666">
        <v>1</v>
      </c>
      <c r="G3666">
        <v>1</v>
      </c>
    </row>
    <row r="3667" spans="1:7" x14ac:dyDescent="0.25">
      <c r="A3667" t="s">
        <v>1356</v>
      </c>
      <c r="F3667">
        <v>1</v>
      </c>
      <c r="G3667">
        <v>1</v>
      </c>
    </row>
    <row r="3668" spans="1:7" x14ac:dyDescent="0.25">
      <c r="A3668" t="s">
        <v>291</v>
      </c>
      <c r="F3668">
        <v>1</v>
      </c>
      <c r="G3668">
        <v>1</v>
      </c>
    </row>
    <row r="3669" spans="1:7" x14ac:dyDescent="0.25">
      <c r="A3669" t="s">
        <v>1357</v>
      </c>
      <c r="F3669">
        <v>1</v>
      </c>
      <c r="G3669">
        <v>1</v>
      </c>
    </row>
    <row r="3670" spans="1:7" x14ac:dyDescent="0.25">
      <c r="A3670" t="s">
        <v>289</v>
      </c>
      <c r="F3670">
        <v>1</v>
      </c>
      <c r="G3670">
        <v>1</v>
      </c>
    </row>
    <row r="3671" spans="1:7" x14ac:dyDescent="0.25">
      <c r="A3671" t="s">
        <v>1358</v>
      </c>
      <c r="E3671">
        <v>2</v>
      </c>
      <c r="G3671">
        <v>2</v>
      </c>
    </row>
    <row r="3672" spans="1:7" x14ac:dyDescent="0.25">
      <c r="A3672" t="s">
        <v>288</v>
      </c>
      <c r="E3672">
        <v>1</v>
      </c>
      <c r="G3672">
        <v>1</v>
      </c>
    </row>
    <row r="3673" spans="1:7" x14ac:dyDescent="0.25">
      <c r="A3673" t="s">
        <v>1329</v>
      </c>
      <c r="E3673">
        <v>1</v>
      </c>
      <c r="G3673">
        <v>1</v>
      </c>
    </row>
    <row r="3674" spans="1:7" x14ac:dyDescent="0.25">
      <c r="A3674" t="s">
        <v>1359</v>
      </c>
      <c r="E3674">
        <v>2</v>
      </c>
      <c r="G3674">
        <v>2</v>
      </c>
    </row>
    <row r="3675" spans="1:7" x14ac:dyDescent="0.25">
      <c r="A3675" t="s">
        <v>288</v>
      </c>
      <c r="E3675">
        <v>1</v>
      </c>
      <c r="G3675">
        <v>1</v>
      </c>
    </row>
    <row r="3676" spans="1:7" x14ac:dyDescent="0.25">
      <c r="A3676" t="s">
        <v>1329</v>
      </c>
      <c r="E3676">
        <v>1</v>
      </c>
      <c r="G3676">
        <v>1</v>
      </c>
    </row>
    <row r="3677" spans="1:7" x14ac:dyDescent="0.25">
      <c r="A3677" t="s">
        <v>1360</v>
      </c>
      <c r="E3677">
        <v>2</v>
      </c>
      <c r="G3677">
        <v>2</v>
      </c>
    </row>
    <row r="3678" spans="1:7" x14ac:dyDescent="0.25">
      <c r="A3678" t="s">
        <v>292</v>
      </c>
      <c r="E3678">
        <v>1</v>
      </c>
      <c r="G3678">
        <v>1</v>
      </c>
    </row>
    <row r="3679" spans="1:7" x14ac:dyDescent="0.25">
      <c r="A3679" t="s">
        <v>1329</v>
      </c>
      <c r="E3679">
        <v>1</v>
      </c>
      <c r="G3679">
        <v>1</v>
      </c>
    </row>
    <row r="3680" spans="1:7" x14ac:dyDescent="0.25">
      <c r="A3680" t="s">
        <v>1361</v>
      </c>
      <c r="E3680">
        <v>2</v>
      </c>
      <c r="G3680">
        <v>2</v>
      </c>
    </row>
    <row r="3681" spans="1:7" x14ac:dyDescent="0.25">
      <c r="A3681" t="s">
        <v>288</v>
      </c>
      <c r="E3681">
        <v>1</v>
      </c>
      <c r="G3681">
        <v>1</v>
      </c>
    </row>
    <row r="3682" spans="1:7" x14ac:dyDescent="0.25">
      <c r="A3682" t="s">
        <v>1329</v>
      </c>
      <c r="E3682">
        <v>1</v>
      </c>
      <c r="G3682">
        <v>1</v>
      </c>
    </row>
    <row r="3683" spans="1:7" x14ac:dyDescent="0.25">
      <c r="A3683" t="s">
        <v>1362</v>
      </c>
      <c r="E3683">
        <v>2</v>
      </c>
      <c r="G3683">
        <v>2</v>
      </c>
    </row>
    <row r="3684" spans="1:7" x14ac:dyDescent="0.25">
      <c r="A3684" t="s">
        <v>292</v>
      </c>
      <c r="E3684">
        <v>1</v>
      </c>
      <c r="G3684">
        <v>1</v>
      </c>
    </row>
    <row r="3685" spans="1:7" x14ac:dyDescent="0.25">
      <c r="A3685" t="s">
        <v>1329</v>
      </c>
      <c r="E3685">
        <v>1</v>
      </c>
      <c r="G3685">
        <v>1</v>
      </c>
    </row>
    <row r="3686" spans="1:7" x14ac:dyDescent="0.25">
      <c r="A3686" t="s">
        <v>1363</v>
      </c>
      <c r="E3686">
        <v>2</v>
      </c>
      <c r="G3686">
        <v>2</v>
      </c>
    </row>
    <row r="3687" spans="1:7" x14ac:dyDescent="0.25">
      <c r="A3687" t="s">
        <v>288</v>
      </c>
      <c r="E3687">
        <v>1</v>
      </c>
      <c r="G3687">
        <v>1</v>
      </c>
    </row>
    <row r="3688" spans="1:7" x14ac:dyDescent="0.25">
      <c r="A3688" t="s">
        <v>1329</v>
      </c>
      <c r="E3688">
        <v>1</v>
      </c>
      <c r="G3688">
        <v>1</v>
      </c>
    </row>
    <row r="3689" spans="1:7" x14ac:dyDescent="0.25">
      <c r="A3689" t="s">
        <v>1364</v>
      </c>
      <c r="E3689">
        <v>2</v>
      </c>
      <c r="G3689">
        <v>2</v>
      </c>
    </row>
    <row r="3690" spans="1:7" x14ac:dyDescent="0.25">
      <c r="A3690" t="s">
        <v>288</v>
      </c>
      <c r="E3690">
        <v>1</v>
      </c>
      <c r="G3690">
        <v>1</v>
      </c>
    </row>
    <row r="3691" spans="1:7" x14ac:dyDescent="0.25">
      <c r="A3691" t="s">
        <v>1329</v>
      </c>
      <c r="E3691">
        <v>1</v>
      </c>
      <c r="G3691">
        <v>1</v>
      </c>
    </row>
    <row r="3692" spans="1:7" x14ac:dyDescent="0.25">
      <c r="A3692" t="s">
        <v>1365</v>
      </c>
      <c r="F3692">
        <v>1</v>
      </c>
      <c r="G3692">
        <v>1</v>
      </c>
    </row>
    <row r="3693" spans="1:7" x14ac:dyDescent="0.25">
      <c r="A3693" t="s">
        <v>288</v>
      </c>
      <c r="F3693">
        <v>1</v>
      </c>
      <c r="G3693">
        <v>1</v>
      </c>
    </row>
    <row r="3694" spans="1:7" x14ac:dyDescent="0.25">
      <c r="A3694" t="s">
        <v>1366</v>
      </c>
      <c r="F3694">
        <v>1</v>
      </c>
      <c r="G3694">
        <v>1</v>
      </c>
    </row>
    <row r="3695" spans="1:7" x14ac:dyDescent="0.25">
      <c r="A3695" t="s">
        <v>288</v>
      </c>
      <c r="F3695">
        <v>1</v>
      </c>
      <c r="G3695">
        <v>1</v>
      </c>
    </row>
    <row r="3696" spans="1:7" x14ac:dyDescent="0.25">
      <c r="A3696" t="s">
        <v>1367</v>
      </c>
      <c r="F3696">
        <v>1</v>
      </c>
      <c r="G3696">
        <v>1</v>
      </c>
    </row>
    <row r="3697" spans="1:7" x14ac:dyDescent="0.25">
      <c r="A3697" t="s">
        <v>290</v>
      </c>
      <c r="F3697">
        <v>1</v>
      </c>
      <c r="G3697">
        <v>1</v>
      </c>
    </row>
    <row r="3698" spans="1:7" x14ac:dyDescent="0.25">
      <c r="A3698" t="s">
        <v>1368</v>
      </c>
      <c r="F3698">
        <v>1</v>
      </c>
      <c r="G3698">
        <v>1</v>
      </c>
    </row>
    <row r="3699" spans="1:7" x14ac:dyDescent="0.25">
      <c r="A3699" t="s">
        <v>291</v>
      </c>
      <c r="F3699">
        <v>1</v>
      </c>
      <c r="G3699">
        <v>1</v>
      </c>
    </row>
    <row r="3700" spans="1:7" x14ac:dyDescent="0.25">
      <c r="A3700" t="s">
        <v>1369</v>
      </c>
      <c r="F3700">
        <v>3</v>
      </c>
      <c r="G3700">
        <v>3</v>
      </c>
    </row>
    <row r="3701" spans="1:7" x14ac:dyDescent="0.25">
      <c r="A3701" t="s">
        <v>290</v>
      </c>
      <c r="F3701">
        <v>1</v>
      </c>
      <c r="G3701">
        <v>1</v>
      </c>
    </row>
    <row r="3702" spans="1:7" x14ac:dyDescent="0.25">
      <c r="A3702" t="s">
        <v>1370</v>
      </c>
      <c r="F3702">
        <v>1</v>
      </c>
      <c r="G3702">
        <v>1</v>
      </c>
    </row>
    <row r="3703" spans="1:7" x14ac:dyDescent="0.25">
      <c r="A3703" t="s">
        <v>1371</v>
      </c>
      <c r="F3703">
        <v>1</v>
      </c>
      <c r="G3703">
        <v>1</v>
      </c>
    </row>
    <row r="3704" spans="1:7" x14ac:dyDescent="0.25">
      <c r="A3704" t="s">
        <v>1372</v>
      </c>
      <c r="F3704">
        <v>1</v>
      </c>
      <c r="G3704">
        <v>1</v>
      </c>
    </row>
    <row r="3705" spans="1:7" x14ac:dyDescent="0.25">
      <c r="A3705" t="s">
        <v>289</v>
      </c>
      <c r="F3705">
        <v>1</v>
      </c>
      <c r="G3705">
        <v>1</v>
      </c>
    </row>
    <row r="3706" spans="1:7" x14ac:dyDescent="0.25">
      <c r="A3706" t="s">
        <v>1373</v>
      </c>
      <c r="F3706">
        <v>1</v>
      </c>
      <c r="G3706">
        <v>1</v>
      </c>
    </row>
    <row r="3707" spans="1:7" x14ac:dyDescent="0.25">
      <c r="A3707" t="s">
        <v>290</v>
      </c>
      <c r="F3707">
        <v>1</v>
      </c>
      <c r="G3707">
        <v>1</v>
      </c>
    </row>
    <row r="3708" spans="1:7" x14ac:dyDescent="0.25">
      <c r="A3708" t="s">
        <v>1374</v>
      </c>
      <c r="E3708">
        <v>2</v>
      </c>
      <c r="G3708">
        <v>2</v>
      </c>
    </row>
    <row r="3709" spans="1:7" x14ac:dyDescent="0.25">
      <c r="A3709" t="s">
        <v>292</v>
      </c>
      <c r="E3709">
        <v>1</v>
      </c>
      <c r="G3709">
        <v>1</v>
      </c>
    </row>
    <row r="3710" spans="1:7" x14ac:dyDescent="0.25">
      <c r="A3710" t="s">
        <v>1329</v>
      </c>
      <c r="E3710">
        <v>1</v>
      </c>
      <c r="G3710">
        <v>1</v>
      </c>
    </row>
    <row r="3711" spans="1:7" x14ac:dyDescent="0.25">
      <c r="A3711" t="s">
        <v>1375</v>
      </c>
      <c r="F3711">
        <v>1</v>
      </c>
      <c r="G3711">
        <v>1</v>
      </c>
    </row>
    <row r="3712" spans="1:7" x14ac:dyDescent="0.25">
      <c r="A3712" t="s">
        <v>288</v>
      </c>
      <c r="F3712">
        <v>1</v>
      </c>
      <c r="G3712">
        <v>1</v>
      </c>
    </row>
    <row r="3713" spans="1:7" x14ac:dyDescent="0.25">
      <c r="A3713" t="s">
        <v>1376</v>
      </c>
      <c r="F3713">
        <v>1</v>
      </c>
      <c r="G3713">
        <v>1</v>
      </c>
    </row>
    <row r="3714" spans="1:7" x14ac:dyDescent="0.25">
      <c r="A3714" t="s">
        <v>288</v>
      </c>
      <c r="F3714">
        <v>1</v>
      </c>
      <c r="G3714">
        <v>1</v>
      </c>
    </row>
    <row r="3715" spans="1:7" x14ac:dyDescent="0.25">
      <c r="A3715" t="s">
        <v>1377</v>
      </c>
      <c r="F3715">
        <v>1</v>
      </c>
      <c r="G3715">
        <v>1</v>
      </c>
    </row>
    <row r="3716" spans="1:7" x14ac:dyDescent="0.25">
      <c r="A3716" t="s">
        <v>290</v>
      </c>
      <c r="F3716">
        <v>1</v>
      </c>
      <c r="G3716">
        <v>1</v>
      </c>
    </row>
    <row r="3717" spans="1:7" x14ac:dyDescent="0.25">
      <c r="A3717" t="s">
        <v>1378</v>
      </c>
      <c r="F3717">
        <v>1</v>
      </c>
      <c r="G3717">
        <v>1</v>
      </c>
    </row>
    <row r="3718" spans="1:7" x14ac:dyDescent="0.25">
      <c r="A3718" t="s">
        <v>290</v>
      </c>
      <c r="F3718">
        <v>1</v>
      </c>
      <c r="G3718">
        <v>1</v>
      </c>
    </row>
    <row r="3719" spans="1:7" x14ac:dyDescent="0.25">
      <c r="A3719" t="s">
        <v>1379</v>
      </c>
      <c r="F3719">
        <v>1</v>
      </c>
      <c r="G3719">
        <v>1</v>
      </c>
    </row>
    <row r="3720" spans="1:7" x14ac:dyDescent="0.25">
      <c r="A3720" t="s">
        <v>288</v>
      </c>
      <c r="F3720">
        <v>1</v>
      </c>
      <c r="G3720">
        <v>1</v>
      </c>
    </row>
    <row r="3721" spans="1:7" x14ac:dyDescent="0.25">
      <c r="A3721" t="s">
        <v>1380</v>
      </c>
      <c r="E3721">
        <v>2</v>
      </c>
      <c r="G3721">
        <v>2</v>
      </c>
    </row>
    <row r="3722" spans="1:7" x14ac:dyDescent="0.25">
      <c r="A3722" t="s">
        <v>292</v>
      </c>
      <c r="E3722">
        <v>1</v>
      </c>
      <c r="G3722">
        <v>1</v>
      </c>
    </row>
    <row r="3723" spans="1:7" x14ac:dyDescent="0.25">
      <c r="A3723" t="s">
        <v>1329</v>
      </c>
      <c r="E3723">
        <v>1</v>
      </c>
      <c r="G3723">
        <v>1</v>
      </c>
    </row>
    <row r="3724" spans="1:7" x14ac:dyDescent="0.25">
      <c r="A3724" t="s">
        <v>1381</v>
      </c>
      <c r="F3724">
        <v>1</v>
      </c>
      <c r="G3724">
        <v>1</v>
      </c>
    </row>
    <row r="3725" spans="1:7" x14ac:dyDescent="0.25">
      <c r="A3725" t="s">
        <v>288</v>
      </c>
      <c r="F3725">
        <v>1</v>
      </c>
      <c r="G3725">
        <v>1</v>
      </c>
    </row>
    <row r="3726" spans="1:7" x14ac:dyDescent="0.25">
      <c r="A3726" t="s">
        <v>1382</v>
      </c>
      <c r="F3726">
        <v>1</v>
      </c>
      <c r="G3726">
        <v>1</v>
      </c>
    </row>
    <row r="3727" spans="1:7" x14ac:dyDescent="0.25">
      <c r="A3727" t="s">
        <v>289</v>
      </c>
      <c r="F3727">
        <v>1</v>
      </c>
      <c r="G3727">
        <v>1</v>
      </c>
    </row>
    <row r="3728" spans="1:7" x14ac:dyDescent="0.25">
      <c r="A3728" t="s">
        <v>1383</v>
      </c>
      <c r="F3728">
        <v>1</v>
      </c>
      <c r="G3728">
        <v>1</v>
      </c>
    </row>
    <row r="3729" spans="1:7" x14ac:dyDescent="0.25">
      <c r="A3729" t="s">
        <v>288</v>
      </c>
      <c r="F3729">
        <v>1</v>
      </c>
      <c r="G3729">
        <v>1</v>
      </c>
    </row>
    <row r="3730" spans="1:7" x14ac:dyDescent="0.25">
      <c r="A3730" t="s">
        <v>1384</v>
      </c>
      <c r="F3730">
        <v>1</v>
      </c>
      <c r="G3730">
        <v>1</v>
      </c>
    </row>
    <row r="3731" spans="1:7" x14ac:dyDescent="0.25">
      <c r="A3731" t="s">
        <v>291</v>
      </c>
      <c r="F3731">
        <v>1</v>
      </c>
      <c r="G3731">
        <v>1</v>
      </c>
    </row>
    <row r="3732" spans="1:7" x14ac:dyDescent="0.25">
      <c r="A3732" t="s">
        <v>1385</v>
      </c>
      <c r="F3732">
        <v>1</v>
      </c>
      <c r="G3732">
        <v>1</v>
      </c>
    </row>
    <row r="3733" spans="1:7" x14ac:dyDescent="0.25">
      <c r="A3733" t="s">
        <v>290</v>
      </c>
      <c r="F3733">
        <v>1</v>
      </c>
      <c r="G3733">
        <v>1</v>
      </c>
    </row>
    <row r="3734" spans="1:7" x14ac:dyDescent="0.25">
      <c r="A3734" t="s">
        <v>1386</v>
      </c>
      <c r="F3734">
        <v>1</v>
      </c>
      <c r="G3734">
        <v>1</v>
      </c>
    </row>
    <row r="3735" spans="1:7" x14ac:dyDescent="0.25">
      <c r="A3735" t="s">
        <v>291</v>
      </c>
      <c r="F3735">
        <v>1</v>
      </c>
      <c r="G3735">
        <v>1</v>
      </c>
    </row>
    <row r="3736" spans="1:7" x14ac:dyDescent="0.25">
      <c r="A3736" t="s">
        <v>1387</v>
      </c>
      <c r="F3736">
        <v>1</v>
      </c>
      <c r="G3736">
        <v>1</v>
      </c>
    </row>
    <row r="3737" spans="1:7" x14ac:dyDescent="0.25">
      <c r="A3737" t="s">
        <v>288</v>
      </c>
      <c r="F3737">
        <v>1</v>
      </c>
      <c r="G3737">
        <v>1</v>
      </c>
    </row>
    <row r="3738" spans="1:7" x14ac:dyDescent="0.25">
      <c r="A3738" t="s">
        <v>1388</v>
      </c>
      <c r="F3738">
        <v>1</v>
      </c>
      <c r="G3738">
        <v>1</v>
      </c>
    </row>
    <row r="3739" spans="1:7" x14ac:dyDescent="0.25">
      <c r="A3739" t="s">
        <v>288</v>
      </c>
      <c r="F3739">
        <v>1</v>
      </c>
      <c r="G3739">
        <v>1</v>
      </c>
    </row>
    <row r="3740" spans="1:7" x14ac:dyDescent="0.25">
      <c r="A3740" t="s">
        <v>1389</v>
      </c>
      <c r="F3740">
        <v>1</v>
      </c>
      <c r="G3740">
        <v>1</v>
      </c>
    </row>
    <row r="3741" spans="1:7" x14ac:dyDescent="0.25">
      <c r="A3741" t="s">
        <v>289</v>
      </c>
      <c r="F3741">
        <v>1</v>
      </c>
      <c r="G3741">
        <v>1</v>
      </c>
    </row>
    <row r="3742" spans="1:7" x14ac:dyDescent="0.25">
      <c r="A3742" t="s">
        <v>1390</v>
      </c>
      <c r="F3742">
        <v>1</v>
      </c>
      <c r="G3742">
        <v>1</v>
      </c>
    </row>
    <row r="3743" spans="1:7" x14ac:dyDescent="0.25">
      <c r="A3743" t="s">
        <v>291</v>
      </c>
      <c r="F3743">
        <v>1</v>
      </c>
      <c r="G3743">
        <v>1</v>
      </c>
    </row>
    <row r="3744" spans="1:7" x14ac:dyDescent="0.25">
      <c r="A3744" t="s">
        <v>1391</v>
      </c>
      <c r="E3744">
        <v>1</v>
      </c>
      <c r="G3744">
        <v>1</v>
      </c>
    </row>
    <row r="3745" spans="1:7" x14ac:dyDescent="0.25">
      <c r="A3745" t="s">
        <v>288</v>
      </c>
      <c r="E3745">
        <v>1</v>
      </c>
      <c r="G3745">
        <v>1</v>
      </c>
    </row>
    <row r="3746" spans="1:7" x14ac:dyDescent="0.25">
      <c r="A3746" t="s">
        <v>1392</v>
      </c>
      <c r="F3746">
        <v>1</v>
      </c>
      <c r="G3746">
        <v>1</v>
      </c>
    </row>
    <row r="3747" spans="1:7" x14ac:dyDescent="0.25">
      <c r="A3747" t="s">
        <v>291</v>
      </c>
      <c r="F3747">
        <v>1</v>
      </c>
      <c r="G3747">
        <v>1</v>
      </c>
    </row>
    <row r="3748" spans="1:7" x14ac:dyDescent="0.25">
      <c r="A3748" t="s">
        <v>1393</v>
      </c>
      <c r="F3748">
        <v>1</v>
      </c>
      <c r="G3748">
        <v>1</v>
      </c>
    </row>
    <row r="3749" spans="1:7" x14ac:dyDescent="0.25">
      <c r="A3749" t="s">
        <v>288</v>
      </c>
      <c r="F3749">
        <v>1</v>
      </c>
      <c r="G3749">
        <v>1</v>
      </c>
    </row>
    <row r="3750" spans="1:7" x14ac:dyDescent="0.25">
      <c r="A3750" t="s">
        <v>1394</v>
      </c>
      <c r="E3750">
        <v>2</v>
      </c>
      <c r="G3750">
        <v>2</v>
      </c>
    </row>
    <row r="3751" spans="1:7" x14ac:dyDescent="0.25">
      <c r="A3751" t="s">
        <v>292</v>
      </c>
      <c r="E3751">
        <v>1</v>
      </c>
      <c r="G3751">
        <v>1</v>
      </c>
    </row>
    <row r="3752" spans="1:7" x14ac:dyDescent="0.25">
      <c r="A3752" t="s">
        <v>1329</v>
      </c>
      <c r="E3752">
        <v>1</v>
      </c>
      <c r="G3752">
        <v>1</v>
      </c>
    </row>
    <row r="3753" spans="1:7" x14ac:dyDescent="0.25">
      <c r="A3753" t="s">
        <v>1395</v>
      </c>
      <c r="F3753">
        <v>3</v>
      </c>
      <c r="G3753">
        <v>3</v>
      </c>
    </row>
    <row r="3754" spans="1:7" x14ac:dyDescent="0.25">
      <c r="A3754" t="s">
        <v>290</v>
      </c>
      <c r="F3754">
        <v>1</v>
      </c>
      <c r="G3754">
        <v>1</v>
      </c>
    </row>
    <row r="3755" spans="1:7" x14ac:dyDescent="0.25">
      <c r="A3755" t="s">
        <v>1370</v>
      </c>
      <c r="F3755">
        <v>1</v>
      </c>
      <c r="G3755">
        <v>1</v>
      </c>
    </row>
    <row r="3756" spans="1:7" x14ac:dyDescent="0.25">
      <c r="A3756" t="s">
        <v>1371</v>
      </c>
      <c r="F3756">
        <v>1</v>
      </c>
      <c r="G3756">
        <v>1</v>
      </c>
    </row>
    <row r="3757" spans="1:7" x14ac:dyDescent="0.25">
      <c r="A3757" t="s">
        <v>1396</v>
      </c>
      <c r="F3757">
        <v>1</v>
      </c>
      <c r="G3757">
        <v>1</v>
      </c>
    </row>
    <row r="3758" spans="1:7" x14ac:dyDescent="0.25">
      <c r="A3758" t="s">
        <v>288</v>
      </c>
      <c r="F3758">
        <v>1</v>
      </c>
      <c r="G3758">
        <v>1</v>
      </c>
    </row>
    <row r="3759" spans="1:7" x14ac:dyDescent="0.25">
      <c r="A3759" t="s">
        <v>1397</v>
      </c>
      <c r="F3759">
        <v>1</v>
      </c>
      <c r="G3759">
        <v>1</v>
      </c>
    </row>
    <row r="3760" spans="1:7" x14ac:dyDescent="0.25">
      <c r="A3760" t="s">
        <v>288</v>
      </c>
      <c r="F3760">
        <v>1</v>
      </c>
      <c r="G3760">
        <v>1</v>
      </c>
    </row>
    <row r="3761" spans="1:7" x14ac:dyDescent="0.25">
      <c r="A3761" t="s">
        <v>1398</v>
      </c>
      <c r="F3761">
        <v>1</v>
      </c>
      <c r="G3761">
        <v>1</v>
      </c>
    </row>
    <row r="3762" spans="1:7" x14ac:dyDescent="0.25">
      <c r="A3762" t="s">
        <v>288</v>
      </c>
      <c r="F3762">
        <v>1</v>
      </c>
      <c r="G3762">
        <v>1</v>
      </c>
    </row>
    <row r="3763" spans="1:7" x14ac:dyDescent="0.25">
      <c r="A3763" t="s">
        <v>1399</v>
      </c>
      <c r="F3763">
        <v>1</v>
      </c>
      <c r="G3763">
        <v>1</v>
      </c>
    </row>
    <row r="3764" spans="1:7" x14ac:dyDescent="0.25">
      <c r="A3764" t="s">
        <v>291</v>
      </c>
      <c r="F3764">
        <v>1</v>
      </c>
      <c r="G3764">
        <v>1</v>
      </c>
    </row>
    <row r="3765" spans="1:7" x14ac:dyDescent="0.25">
      <c r="A3765" t="s">
        <v>1400</v>
      </c>
      <c r="F3765">
        <v>1</v>
      </c>
      <c r="G3765">
        <v>1</v>
      </c>
    </row>
    <row r="3766" spans="1:7" x14ac:dyDescent="0.25">
      <c r="A3766" t="s">
        <v>288</v>
      </c>
      <c r="F3766">
        <v>1</v>
      </c>
      <c r="G3766">
        <v>1</v>
      </c>
    </row>
    <row r="3767" spans="1:7" x14ac:dyDescent="0.25">
      <c r="A3767" t="s">
        <v>1401</v>
      </c>
      <c r="F3767">
        <v>1</v>
      </c>
      <c r="G3767">
        <v>1</v>
      </c>
    </row>
    <row r="3768" spans="1:7" x14ac:dyDescent="0.25">
      <c r="A3768" t="s">
        <v>288</v>
      </c>
      <c r="F3768">
        <v>1</v>
      </c>
      <c r="G3768">
        <v>1</v>
      </c>
    </row>
    <row r="3769" spans="1:7" x14ac:dyDescent="0.25">
      <c r="A3769" t="s">
        <v>1402</v>
      </c>
      <c r="E3769">
        <v>2</v>
      </c>
      <c r="G3769">
        <v>2</v>
      </c>
    </row>
    <row r="3770" spans="1:7" x14ac:dyDescent="0.25">
      <c r="A3770" t="s">
        <v>290</v>
      </c>
      <c r="E3770">
        <v>1</v>
      </c>
      <c r="G3770">
        <v>1</v>
      </c>
    </row>
    <row r="3771" spans="1:7" x14ac:dyDescent="0.25">
      <c r="A3771" t="s">
        <v>1329</v>
      </c>
      <c r="E3771">
        <v>1</v>
      </c>
      <c r="G3771">
        <v>1</v>
      </c>
    </row>
    <row r="3772" spans="1:7" x14ac:dyDescent="0.25">
      <c r="A3772" t="s">
        <v>1403</v>
      </c>
      <c r="F3772">
        <v>1</v>
      </c>
      <c r="G3772">
        <v>1</v>
      </c>
    </row>
    <row r="3773" spans="1:7" x14ac:dyDescent="0.25">
      <c r="A3773" t="s">
        <v>289</v>
      </c>
      <c r="F3773">
        <v>1</v>
      </c>
      <c r="G3773">
        <v>1</v>
      </c>
    </row>
    <row r="3774" spans="1:7" x14ac:dyDescent="0.25">
      <c r="A3774" t="s">
        <v>1404</v>
      </c>
      <c r="F3774">
        <v>1</v>
      </c>
      <c r="G3774">
        <v>1</v>
      </c>
    </row>
    <row r="3775" spans="1:7" x14ac:dyDescent="0.25">
      <c r="A3775" t="s">
        <v>289</v>
      </c>
      <c r="F3775">
        <v>1</v>
      </c>
      <c r="G3775">
        <v>1</v>
      </c>
    </row>
    <row r="3776" spans="1:7" x14ac:dyDescent="0.25">
      <c r="A3776" t="s">
        <v>1405</v>
      </c>
      <c r="E3776">
        <v>1</v>
      </c>
      <c r="G3776">
        <v>1</v>
      </c>
    </row>
    <row r="3777" spans="1:7" x14ac:dyDescent="0.25">
      <c r="A3777" t="s">
        <v>289</v>
      </c>
      <c r="E3777">
        <v>1</v>
      </c>
      <c r="G3777">
        <v>1</v>
      </c>
    </row>
    <row r="3778" spans="1:7" x14ac:dyDescent="0.25">
      <c r="A3778" t="s">
        <v>1406</v>
      </c>
      <c r="E3778">
        <v>2</v>
      </c>
      <c r="G3778">
        <v>2</v>
      </c>
    </row>
    <row r="3779" spans="1:7" x14ac:dyDescent="0.25">
      <c r="A3779" t="s">
        <v>292</v>
      </c>
      <c r="E3779">
        <v>1</v>
      </c>
      <c r="G3779">
        <v>1</v>
      </c>
    </row>
    <row r="3780" spans="1:7" x14ac:dyDescent="0.25">
      <c r="A3780" t="s">
        <v>1329</v>
      </c>
      <c r="E3780">
        <v>1</v>
      </c>
      <c r="G3780">
        <v>1</v>
      </c>
    </row>
    <row r="3781" spans="1:7" x14ac:dyDescent="0.25">
      <c r="A3781" t="s">
        <v>1407</v>
      </c>
      <c r="F3781">
        <v>1</v>
      </c>
      <c r="G3781">
        <v>1</v>
      </c>
    </row>
    <row r="3782" spans="1:7" x14ac:dyDescent="0.25">
      <c r="A3782" t="s">
        <v>291</v>
      </c>
      <c r="F3782">
        <v>1</v>
      </c>
      <c r="G3782">
        <v>1</v>
      </c>
    </row>
    <row r="3783" spans="1:7" x14ac:dyDescent="0.25">
      <c r="A3783" t="s">
        <v>1408</v>
      </c>
      <c r="F3783">
        <v>1</v>
      </c>
      <c r="G3783">
        <v>1</v>
      </c>
    </row>
    <row r="3784" spans="1:7" x14ac:dyDescent="0.25">
      <c r="A3784" t="s">
        <v>288</v>
      </c>
      <c r="F3784">
        <v>1</v>
      </c>
      <c r="G3784">
        <v>1</v>
      </c>
    </row>
    <row r="3785" spans="1:7" x14ac:dyDescent="0.25">
      <c r="A3785" t="s">
        <v>1409</v>
      </c>
      <c r="F3785">
        <v>1</v>
      </c>
      <c r="G3785">
        <v>1</v>
      </c>
    </row>
    <row r="3786" spans="1:7" x14ac:dyDescent="0.25">
      <c r="A3786" t="s">
        <v>291</v>
      </c>
      <c r="F3786">
        <v>1</v>
      </c>
      <c r="G3786">
        <v>1</v>
      </c>
    </row>
    <row r="3787" spans="1:7" x14ac:dyDescent="0.25">
      <c r="A3787" t="s">
        <v>1410</v>
      </c>
      <c r="E3787">
        <v>2</v>
      </c>
      <c r="G3787">
        <v>2</v>
      </c>
    </row>
    <row r="3788" spans="1:7" x14ac:dyDescent="0.25">
      <c r="A3788" t="s">
        <v>290</v>
      </c>
      <c r="E3788">
        <v>1</v>
      </c>
      <c r="G3788">
        <v>1</v>
      </c>
    </row>
    <row r="3789" spans="1:7" x14ac:dyDescent="0.25">
      <c r="A3789" t="s">
        <v>1329</v>
      </c>
      <c r="E3789">
        <v>1</v>
      </c>
      <c r="G3789">
        <v>1</v>
      </c>
    </row>
    <row r="3790" spans="1:7" x14ac:dyDescent="0.25">
      <c r="A3790" t="s">
        <v>1411</v>
      </c>
      <c r="E3790">
        <v>2</v>
      </c>
      <c r="G3790">
        <v>2</v>
      </c>
    </row>
    <row r="3791" spans="1:7" x14ac:dyDescent="0.25">
      <c r="A3791" t="s">
        <v>290</v>
      </c>
      <c r="E3791">
        <v>1</v>
      </c>
      <c r="G3791">
        <v>1</v>
      </c>
    </row>
    <row r="3792" spans="1:7" x14ac:dyDescent="0.25">
      <c r="A3792" t="s">
        <v>1329</v>
      </c>
      <c r="E3792">
        <v>1</v>
      </c>
      <c r="G3792">
        <v>1</v>
      </c>
    </row>
    <row r="3793" spans="1:7" x14ac:dyDescent="0.25">
      <c r="A3793" t="s">
        <v>1412</v>
      </c>
      <c r="F3793">
        <v>1</v>
      </c>
      <c r="G3793">
        <v>1</v>
      </c>
    </row>
    <row r="3794" spans="1:7" x14ac:dyDescent="0.25">
      <c r="A3794" t="s">
        <v>291</v>
      </c>
      <c r="F3794">
        <v>1</v>
      </c>
      <c r="G3794">
        <v>1</v>
      </c>
    </row>
    <row r="3795" spans="1:7" x14ac:dyDescent="0.25">
      <c r="A3795" t="s">
        <v>1413</v>
      </c>
      <c r="F3795">
        <v>1</v>
      </c>
      <c r="G3795">
        <v>1</v>
      </c>
    </row>
    <row r="3796" spans="1:7" x14ac:dyDescent="0.25">
      <c r="A3796" t="s">
        <v>288</v>
      </c>
      <c r="F3796">
        <v>1</v>
      </c>
      <c r="G3796">
        <v>1</v>
      </c>
    </row>
    <row r="3797" spans="1:7" x14ac:dyDescent="0.25">
      <c r="A3797" t="s">
        <v>1414</v>
      </c>
      <c r="F3797">
        <v>1</v>
      </c>
      <c r="G3797">
        <v>1</v>
      </c>
    </row>
    <row r="3798" spans="1:7" x14ac:dyDescent="0.25">
      <c r="A3798" t="s">
        <v>288</v>
      </c>
      <c r="F3798">
        <v>1</v>
      </c>
      <c r="G3798">
        <v>1</v>
      </c>
    </row>
    <row r="3799" spans="1:7" x14ac:dyDescent="0.25">
      <c r="A3799" t="s">
        <v>1415</v>
      </c>
      <c r="F3799">
        <v>1</v>
      </c>
      <c r="G3799">
        <v>1</v>
      </c>
    </row>
    <row r="3800" spans="1:7" x14ac:dyDescent="0.25">
      <c r="A3800" t="s">
        <v>291</v>
      </c>
      <c r="F3800">
        <v>1</v>
      </c>
      <c r="G3800">
        <v>1</v>
      </c>
    </row>
    <row r="3801" spans="1:7" x14ac:dyDescent="0.25">
      <c r="A3801" t="s">
        <v>1416</v>
      </c>
      <c r="E3801">
        <v>2</v>
      </c>
      <c r="G3801">
        <v>2</v>
      </c>
    </row>
    <row r="3802" spans="1:7" x14ac:dyDescent="0.25">
      <c r="A3802" t="s">
        <v>292</v>
      </c>
      <c r="E3802">
        <v>1</v>
      </c>
      <c r="G3802">
        <v>1</v>
      </c>
    </row>
    <row r="3803" spans="1:7" x14ac:dyDescent="0.25">
      <c r="A3803" t="s">
        <v>1329</v>
      </c>
      <c r="E3803">
        <v>1</v>
      </c>
      <c r="G3803">
        <v>1</v>
      </c>
    </row>
    <row r="3804" spans="1:7" x14ac:dyDescent="0.25">
      <c r="A3804" t="s">
        <v>1417</v>
      </c>
      <c r="F3804">
        <v>1</v>
      </c>
      <c r="G3804">
        <v>1</v>
      </c>
    </row>
    <row r="3805" spans="1:7" x14ac:dyDescent="0.25">
      <c r="A3805" t="s">
        <v>288</v>
      </c>
      <c r="F3805">
        <v>1</v>
      </c>
      <c r="G3805">
        <v>1</v>
      </c>
    </row>
    <row r="3806" spans="1:7" x14ac:dyDescent="0.25">
      <c r="A3806" t="s">
        <v>1418</v>
      </c>
      <c r="F3806">
        <v>1</v>
      </c>
      <c r="G3806">
        <v>1</v>
      </c>
    </row>
    <row r="3807" spans="1:7" x14ac:dyDescent="0.25">
      <c r="A3807" t="s">
        <v>289</v>
      </c>
      <c r="F3807">
        <v>1</v>
      </c>
      <c r="G3807">
        <v>1</v>
      </c>
    </row>
    <row r="3808" spans="1:7" x14ac:dyDescent="0.25">
      <c r="A3808" t="s">
        <v>1419</v>
      </c>
      <c r="F3808">
        <v>1</v>
      </c>
      <c r="G3808">
        <v>1</v>
      </c>
    </row>
    <row r="3809" spans="1:7" x14ac:dyDescent="0.25">
      <c r="A3809" t="s">
        <v>288</v>
      </c>
      <c r="F3809">
        <v>1</v>
      </c>
      <c r="G3809">
        <v>1</v>
      </c>
    </row>
    <row r="3810" spans="1:7" x14ac:dyDescent="0.25">
      <c r="A3810" t="s">
        <v>1420</v>
      </c>
      <c r="F3810">
        <v>1</v>
      </c>
      <c r="G3810">
        <v>1</v>
      </c>
    </row>
    <row r="3811" spans="1:7" x14ac:dyDescent="0.25">
      <c r="A3811" t="s">
        <v>291</v>
      </c>
      <c r="F3811">
        <v>1</v>
      </c>
      <c r="G3811">
        <v>1</v>
      </c>
    </row>
    <row r="3812" spans="1:7" x14ac:dyDescent="0.25">
      <c r="A3812" t="s">
        <v>1421</v>
      </c>
      <c r="F3812">
        <v>1</v>
      </c>
      <c r="G3812">
        <v>1</v>
      </c>
    </row>
    <row r="3813" spans="1:7" x14ac:dyDescent="0.25">
      <c r="A3813" t="s">
        <v>288</v>
      </c>
      <c r="F3813">
        <v>1</v>
      </c>
      <c r="G3813">
        <v>1</v>
      </c>
    </row>
    <row r="3814" spans="1:7" x14ac:dyDescent="0.25">
      <c r="A3814" t="s">
        <v>1422</v>
      </c>
      <c r="F3814">
        <v>1</v>
      </c>
      <c r="G3814">
        <v>1</v>
      </c>
    </row>
    <row r="3815" spans="1:7" x14ac:dyDescent="0.25">
      <c r="A3815" t="s">
        <v>288</v>
      </c>
      <c r="F3815">
        <v>1</v>
      </c>
      <c r="G3815">
        <v>1</v>
      </c>
    </row>
    <row r="3816" spans="1:7" x14ac:dyDescent="0.25">
      <c r="A3816" t="s">
        <v>1423</v>
      </c>
      <c r="F3816">
        <v>1</v>
      </c>
      <c r="G3816">
        <v>1</v>
      </c>
    </row>
    <row r="3817" spans="1:7" x14ac:dyDescent="0.25">
      <c r="A3817" t="s">
        <v>288</v>
      </c>
      <c r="F3817">
        <v>1</v>
      </c>
      <c r="G3817">
        <v>1</v>
      </c>
    </row>
    <row r="3818" spans="1:7" x14ac:dyDescent="0.25">
      <c r="A3818" t="s">
        <v>1424</v>
      </c>
      <c r="F3818">
        <v>1</v>
      </c>
      <c r="G3818">
        <v>1</v>
      </c>
    </row>
    <row r="3819" spans="1:7" x14ac:dyDescent="0.25">
      <c r="A3819" t="s">
        <v>289</v>
      </c>
      <c r="F3819">
        <v>1</v>
      </c>
      <c r="G3819">
        <v>1</v>
      </c>
    </row>
    <row r="3820" spans="1:7" x14ac:dyDescent="0.25">
      <c r="A3820" t="s">
        <v>1425</v>
      </c>
      <c r="F3820">
        <v>1</v>
      </c>
      <c r="G3820">
        <v>1</v>
      </c>
    </row>
    <row r="3821" spans="1:7" x14ac:dyDescent="0.25">
      <c r="A3821" t="s">
        <v>289</v>
      </c>
      <c r="F3821">
        <v>1</v>
      </c>
      <c r="G3821">
        <v>1</v>
      </c>
    </row>
    <row r="3822" spans="1:7" x14ac:dyDescent="0.25">
      <c r="A3822" t="s">
        <v>1426</v>
      </c>
      <c r="F3822">
        <v>1</v>
      </c>
      <c r="G3822">
        <v>1</v>
      </c>
    </row>
    <row r="3823" spans="1:7" x14ac:dyDescent="0.25">
      <c r="A3823" t="s">
        <v>288</v>
      </c>
      <c r="F3823">
        <v>1</v>
      </c>
      <c r="G3823">
        <v>1</v>
      </c>
    </row>
    <row r="3824" spans="1:7" x14ac:dyDescent="0.25">
      <c r="A3824" t="s">
        <v>1427</v>
      </c>
      <c r="F3824">
        <v>1</v>
      </c>
      <c r="G3824">
        <v>1</v>
      </c>
    </row>
    <row r="3825" spans="1:7" x14ac:dyDescent="0.25">
      <c r="A3825" t="s">
        <v>290</v>
      </c>
      <c r="F3825">
        <v>1</v>
      </c>
      <c r="G3825">
        <v>1</v>
      </c>
    </row>
    <row r="3826" spans="1:7" x14ac:dyDescent="0.25">
      <c r="A3826" t="s">
        <v>1428</v>
      </c>
      <c r="F3826">
        <v>1</v>
      </c>
      <c r="G3826">
        <v>1</v>
      </c>
    </row>
    <row r="3827" spans="1:7" x14ac:dyDescent="0.25">
      <c r="A3827" t="s">
        <v>291</v>
      </c>
      <c r="F3827">
        <v>1</v>
      </c>
      <c r="G3827">
        <v>1</v>
      </c>
    </row>
    <row r="3828" spans="1:7" x14ac:dyDescent="0.25">
      <c r="A3828" t="s">
        <v>1429</v>
      </c>
      <c r="E3828">
        <v>2</v>
      </c>
      <c r="G3828">
        <v>2</v>
      </c>
    </row>
    <row r="3829" spans="1:7" x14ac:dyDescent="0.25">
      <c r="A3829" t="s">
        <v>292</v>
      </c>
      <c r="E3829">
        <v>1</v>
      </c>
      <c r="G3829">
        <v>1</v>
      </c>
    </row>
    <row r="3830" spans="1:7" x14ac:dyDescent="0.25">
      <c r="A3830" t="s">
        <v>1329</v>
      </c>
      <c r="E3830">
        <v>1</v>
      </c>
      <c r="G3830">
        <v>1</v>
      </c>
    </row>
    <row r="3831" spans="1:7" x14ac:dyDescent="0.25">
      <c r="A3831" t="s">
        <v>1430</v>
      </c>
      <c r="F3831">
        <v>1</v>
      </c>
      <c r="G3831">
        <v>1</v>
      </c>
    </row>
    <row r="3832" spans="1:7" x14ac:dyDescent="0.25">
      <c r="A3832" t="s">
        <v>289</v>
      </c>
      <c r="F3832">
        <v>1</v>
      </c>
      <c r="G3832">
        <v>1</v>
      </c>
    </row>
    <row r="3833" spans="1:7" x14ac:dyDescent="0.25">
      <c r="A3833" t="s">
        <v>1431</v>
      </c>
      <c r="F3833">
        <v>1</v>
      </c>
      <c r="G3833">
        <v>1</v>
      </c>
    </row>
    <row r="3834" spans="1:7" x14ac:dyDescent="0.25">
      <c r="A3834" t="s">
        <v>288</v>
      </c>
      <c r="F3834">
        <v>1</v>
      </c>
      <c r="G3834">
        <v>1</v>
      </c>
    </row>
    <row r="3835" spans="1:7" x14ac:dyDescent="0.25">
      <c r="A3835" t="s">
        <v>1432</v>
      </c>
      <c r="F3835">
        <v>1</v>
      </c>
      <c r="G3835">
        <v>1</v>
      </c>
    </row>
    <row r="3836" spans="1:7" x14ac:dyDescent="0.25">
      <c r="A3836" t="s">
        <v>289</v>
      </c>
      <c r="F3836">
        <v>1</v>
      </c>
      <c r="G3836">
        <v>1</v>
      </c>
    </row>
    <row r="3837" spans="1:7" x14ac:dyDescent="0.25">
      <c r="A3837" t="s">
        <v>1433</v>
      </c>
      <c r="F3837">
        <v>1</v>
      </c>
      <c r="G3837">
        <v>1</v>
      </c>
    </row>
    <row r="3838" spans="1:7" x14ac:dyDescent="0.25">
      <c r="A3838" t="s">
        <v>291</v>
      </c>
      <c r="F3838">
        <v>1</v>
      </c>
      <c r="G3838">
        <v>1</v>
      </c>
    </row>
    <row r="3839" spans="1:7" x14ac:dyDescent="0.25">
      <c r="A3839" t="s">
        <v>1434</v>
      </c>
      <c r="E3839">
        <v>2</v>
      </c>
      <c r="G3839">
        <v>2</v>
      </c>
    </row>
    <row r="3840" spans="1:7" x14ac:dyDescent="0.25">
      <c r="A3840" t="s">
        <v>292</v>
      </c>
      <c r="E3840">
        <v>1</v>
      </c>
      <c r="G3840">
        <v>1</v>
      </c>
    </row>
    <row r="3841" spans="1:7" x14ac:dyDescent="0.25">
      <c r="A3841" t="s">
        <v>1329</v>
      </c>
      <c r="E3841">
        <v>1</v>
      </c>
      <c r="G3841">
        <v>1</v>
      </c>
    </row>
    <row r="3842" spans="1:7" x14ac:dyDescent="0.25">
      <c r="A3842" t="s">
        <v>1435</v>
      </c>
      <c r="F3842">
        <v>1</v>
      </c>
      <c r="G3842">
        <v>1</v>
      </c>
    </row>
    <row r="3843" spans="1:7" x14ac:dyDescent="0.25">
      <c r="A3843" t="s">
        <v>290</v>
      </c>
      <c r="F3843">
        <v>1</v>
      </c>
      <c r="G3843">
        <v>1</v>
      </c>
    </row>
    <row r="3844" spans="1:7" x14ac:dyDescent="0.25">
      <c r="A3844" t="s">
        <v>1436</v>
      </c>
      <c r="E3844">
        <v>2</v>
      </c>
      <c r="G3844">
        <v>2</v>
      </c>
    </row>
    <row r="3845" spans="1:7" x14ac:dyDescent="0.25">
      <c r="A3845" t="s">
        <v>292</v>
      </c>
      <c r="E3845">
        <v>1</v>
      </c>
      <c r="G3845">
        <v>1</v>
      </c>
    </row>
    <row r="3846" spans="1:7" x14ac:dyDescent="0.25">
      <c r="A3846" t="s">
        <v>1329</v>
      </c>
      <c r="E3846">
        <v>1</v>
      </c>
      <c r="G3846">
        <v>1</v>
      </c>
    </row>
    <row r="3847" spans="1:7" x14ac:dyDescent="0.25">
      <c r="A3847" t="s">
        <v>1437</v>
      </c>
      <c r="F3847">
        <v>1</v>
      </c>
      <c r="G3847">
        <v>1</v>
      </c>
    </row>
    <row r="3848" spans="1:7" x14ac:dyDescent="0.25">
      <c r="A3848" t="s">
        <v>288</v>
      </c>
      <c r="F3848">
        <v>1</v>
      </c>
      <c r="G3848">
        <v>1</v>
      </c>
    </row>
    <row r="3849" spans="1:7" x14ac:dyDescent="0.25">
      <c r="A3849" t="s">
        <v>1438</v>
      </c>
      <c r="F3849">
        <v>1</v>
      </c>
      <c r="G3849">
        <v>1</v>
      </c>
    </row>
    <row r="3850" spans="1:7" x14ac:dyDescent="0.25">
      <c r="A3850" t="s">
        <v>291</v>
      </c>
      <c r="F3850">
        <v>1</v>
      </c>
      <c r="G3850">
        <v>1</v>
      </c>
    </row>
    <row r="3851" spans="1:7" x14ac:dyDescent="0.25">
      <c r="A3851" t="s">
        <v>1439</v>
      </c>
      <c r="F3851">
        <v>1</v>
      </c>
      <c r="G3851">
        <v>1</v>
      </c>
    </row>
    <row r="3852" spans="1:7" x14ac:dyDescent="0.25">
      <c r="A3852" t="s">
        <v>290</v>
      </c>
      <c r="F3852">
        <v>1</v>
      </c>
      <c r="G3852">
        <v>1</v>
      </c>
    </row>
    <row r="3853" spans="1:7" x14ac:dyDescent="0.25">
      <c r="A3853" t="s">
        <v>1440</v>
      </c>
      <c r="F3853">
        <v>1</v>
      </c>
      <c r="G3853">
        <v>1</v>
      </c>
    </row>
    <row r="3854" spans="1:7" x14ac:dyDescent="0.25">
      <c r="A3854" t="s">
        <v>291</v>
      </c>
      <c r="F3854">
        <v>1</v>
      </c>
      <c r="G3854">
        <v>1</v>
      </c>
    </row>
    <row r="3855" spans="1:7" x14ac:dyDescent="0.25">
      <c r="A3855" t="s">
        <v>1441</v>
      </c>
      <c r="F3855">
        <v>1</v>
      </c>
      <c r="G3855">
        <v>1</v>
      </c>
    </row>
    <row r="3856" spans="1:7" x14ac:dyDescent="0.25">
      <c r="A3856" t="s">
        <v>288</v>
      </c>
      <c r="F3856">
        <v>1</v>
      </c>
      <c r="G3856">
        <v>1</v>
      </c>
    </row>
    <row r="3857" spans="1:7" x14ac:dyDescent="0.25">
      <c r="A3857" t="s">
        <v>1442</v>
      </c>
      <c r="F3857">
        <v>1</v>
      </c>
      <c r="G3857">
        <v>1</v>
      </c>
    </row>
    <row r="3858" spans="1:7" x14ac:dyDescent="0.25">
      <c r="A3858" t="s">
        <v>291</v>
      </c>
      <c r="F3858">
        <v>1</v>
      </c>
      <c r="G3858">
        <v>1</v>
      </c>
    </row>
    <row r="3859" spans="1:7" x14ac:dyDescent="0.25">
      <c r="A3859" t="s">
        <v>1443</v>
      </c>
      <c r="E3859">
        <v>2</v>
      </c>
      <c r="G3859">
        <v>2</v>
      </c>
    </row>
    <row r="3860" spans="1:7" x14ac:dyDescent="0.25">
      <c r="A3860" t="s">
        <v>292</v>
      </c>
      <c r="E3860">
        <v>1</v>
      </c>
      <c r="G3860">
        <v>1</v>
      </c>
    </row>
    <row r="3861" spans="1:7" x14ac:dyDescent="0.25">
      <c r="A3861" t="s">
        <v>1329</v>
      </c>
      <c r="E3861">
        <v>1</v>
      </c>
      <c r="G3861">
        <v>1</v>
      </c>
    </row>
    <row r="3862" spans="1:7" x14ac:dyDescent="0.25">
      <c r="A3862" t="s">
        <v>1444</v>
      </c>
      <c r="F3862">
        <v>2</v>
      </c>
      <c r="G3862">
        <v>2</v>
      </c>
    </row>
    <row r="3863" spans="1:7" x14ac:dyDescent="0.25">
      <c r="A3863" t="s">
        <v>289</v>
      </c>
      <c r="F3863">
        <v>1</v>
      </c>
      <c r="G3863">
        <v>1</v>
      </c>
    </row>
    <row r="3864" spans="1:7" x14ac:dyDescent="0.25">
      <c r="A3864" t="s">
        <v>380</v>
      </c>
      <c r="F3864">
        <v>1</v>
      </c>
      <c r="G3864">
        <v>1</v>
      </c>
    </row>
    <row r="3865" spans="1:7" x14ac:dyDescent="0.25">
      <c r="A3865" t="s">
        <v>1445</v>
      </c>
      <c r="F3865">
        <v>1</v>
      </c>
      <c r="G3865">
        <v>1</v>
      </c>
    </row>
    <row r="3866" spans="1:7" x14ac:dyDescent="0.25">
      <c r="A3866" t="s">
        <v>288</v>
      </c>
      <c r="F3866">
        <v>1</v>
      </c>
      <c r="G3866">
        <v>1</v>
      </c>
    </row>
    <row r="3867" spans="1:7" x14ac:dyDescent="0.25">
      <c r="A3867" t="s">
        <v>1446</v>
      </c>
      <c r="F3867">
        <v>1</v>
      </c>
      <c r="G3867">
        <v>1</v>
      </c>
    </row>
    <row r="3868" spans="1:7" x14ac:dyDescent="0.25">
      <c r="A3868" t="s">
        <v>288</v>
      </c>
      <c r="F3868">
        <v>1</v>
      </c>
      <c r="G3868">
        <v>1</v>
      </c>
    </row>
    <row r="3869" spans="1:7" x14ac:dyDescent="0.25">
      <c r="A3869" t="s">
        <v>1447</v>
      </c>
      <c r="F3869">
        <v>1</v>
      </c>
      <c r="G3869">
        <v>1</v>
      </c>
    </row>
    <row r="3870" spans="1:7" x14ac:dyDescent="0.25">
      <c r="A3870" t="s">
        <v>288</v>
      </c>
      <c r="F3870">
        <v>1</v>
      </c>
      <c r="G3870">
        <v>1</v>
      </c>
    </row>
    <row r="3871" spans="1:7" x14ac:dyDescent="0.25">
      <c r="A3871" t="s">
        <v>1448</v>
      </c>
      <c r="F3871">
        <v>1</v>
      </c>
      <c r="G3871">
        <v>1</v>
      </c>
    </row>
    <row r="3872" spans="1:7" x14ac:dyDescent="0.25">
      <c r="A3872" t="s">
        <v>288</v>
      </c>
      <c r="F3872">
        <v>1</v>
      </c>
      <c r="G3872">
        <v>1</v>
      </c>
    </row>
    <row r="3873" spans="1:7" x14ac:dyDescent="0.25">
      <c r="A3873" t="s">
        <v>1449</v>
      </c>
      <c r="E3873">
        <v>2</v>
      </c>
      <c r="G3873">
        <v>2</v>
      </c>
    </row>
    <row r="3874" spans="1:7" x14ac:dyDescent="0.25">
      <c r="A3874" t="s">
        <v>292</v>
      </c>
      <c r="E3874">
        <v>1</v>
      </c>
      <c r="G3874">
        <v>1</v>
      </c>
    </row>
    <row r="3875" spans="1:7" x14ac:dyDescent="0.25">
      <c r="A3875" t="s">
        <v>1329</v>
      </c>
      <c r="E3875">
        <v>1</v>
      </c>
      <c r="G3875">
        <v>1</v>
      </c>
    </row>
    <row r="3876" spans="1:7" x14ac:dyDescent="0.25">
      <c r="A3876" t="s">
        <v>1450</v>
      </c>
      <c r="F3876">
        <v>1</v>
      </c>
      <c r="G3876">
        <v>1</v>
      </c>
    </row>
    <row r="3877" spans="1:7" x14ac:dyDescent="0.25">
      <c r="A3877" t="s">
        <v>288</v>
      </c>
      <c r="F3877">
        <v>1</v>
      </c>
      <c r="G3877">
        <v>1</v>
      </c>
    </row>
    <row r="3878" spans="1:7" x14ac:dyDescent="0.25">
      <c r="A3878" t="s">
        <v>1451</v>
      </c>
      <c r="F3878">
        <v>1</v>
      </c>
      <c r="G3878">
        <v>1</v>
      </c>
    </row>
    <row r="3879" spans="1:7" x14ac:dyDescent="0.25">
      <c r="A3879" t="s">
        <v>291</v>
      </c>
      <c r="F3879">
        <v>1</v>
      </c>
      <c r="G3879">
        <v>1</v>
      </c>
    </row>
    <row r="3880" spans="1:7" x14ac:dyDescent="0.25">
      <c r="A3880" t="s">
        <v>1452</v>
      </c>
      <c r="F3880">
        <v>1</v>
      </c>
      <c r="G3880">
        <v>1</v>
      </c>
    </row>
    <row r="3881" spans="1:7" x14ac:dyDescent="0.25">
      <c r="A3881" t="s">
        <v>288</v>
      </c>
      <c r="F3881">
        <v>1</v>
      </c>
      <c r="G3881">
        <v>1</v>
      </c>
    </row>
    <row r="3882" spans="1:7" x14ac:dyDescent="0.25">
      <c r="A3882" t="s">
        <v>1453</v>
      </c>
      <c r="F3882">
        <v>1</v>
      </c>
      <c r="G3882">
        <v>1</v>
      </c>
    </row>
    <row r="3883" spans="1:7" x14ac:dyDescent="0.25">
      <c r="A3883" t="s">
        <v>288</v>
      </c>
      <c r="F3883">
        <v>1</v>
      </c>
      <c r="G3883">
        <v>1</v>
      </c>
    </row>
    <row r="3884" spans="1:7" x14ac:dyDescent="0.25">
      <c r="A3884" t="s">
        <v>1454</v>
      </c>
      <c r="F3884">
        <v>1</v>
      </c>
      <c r="G3884">
        <v>1</v>
      </c>
    </row>
    <row r="3885" spans="1:7" x14ac:dyDescent="0.25">
      <c r="A3885" t="s">
        <v>290</v>
      </c>
      <c r="F3885">
        <v>1</v>
      </c>
      <c r="G3885">
        <v>1</v>
      </c>
    </row>
    <row r="3886" spans="1:7" x14ac:dyDescent="0.25">
      <c r="A3886" t="s">
        <v>1455</v>
      </c>
      <c r="F3886">
        <v>1</v>
      </c>
      <c r="G3886">
        <v>1</v>
      </c>
    </row>
    <row r="3887" spans="1:7" x14ac:dyDescent="0.25">
      <c r="A3887" t="s">
        <v>291</v>
      </c>
      <c r="F3887">
        <v>1</v>
      </c>
      <c r="G3887">
        <v>1</v>
      </c>
    </row>
    <row r="3888" spans="1:7" x14ac:dyDescent="0.25">
      <c r="A3888" t="s">
        <v>1456</v>
      </c>
      <c r="F3888">
        <v>1</v>
      </c>
      <c r="G3888">
        <v>1</v>
      </c>
    </row>
    <row r="3889" spans="1:7" x14ac:dyDescent="0.25">
      <c r="A3889" t="s">
        <v>289</v>
      </c>
      <c r="F3889">
        <v>1</v>
      </c>
      <c r="G3889">
        <v>1</v>
      </c>
    </row>
    <row r="3890" spans="1:7" x14ac:dyDescent="0.25">
      <c r="A3890" t="s">
        <v>1457</v>
      </c>
      <c r="F3890">
        <v>1</v>
      </c>
      <c r="G3890">
        <v>1</v>
      </c>
    </row>
    <row r="3891" spans="1:7" x14ac:dyDescent="0.25">
      <c r="A3891" t="s">
        <v>288</v>
      </c>
      <c r="F3891">
        <v>1</v>
      </c>
      <c r="G3891">
        <v>1</v>
      </c>
    </row>
    <row r="3892" spans="1:7" x14ac:dyDescent="0.25">
      <c r="A3892" t="s">
        <v>1458</v>
      </c>
      <c r="F3892">
        <v>1</v>
      </c>
      <c r="G3892">
        <v>1</v>
      </c>
    </row>
    <row r="3893" spans="1:7" x14ac:dyDescent="0.25">
      <c r="A3893" t="s">
        <v>290</v>
      </c>
      <c r="F3893">
        <v>1</v>
      </c>
      <c r="G3893">
        <v>1</v>
      </c>
    </row>
    <row r="3894" spans="1:7" x14ac:dyDescent="0.25">
      <c r="A3894" t="s">
        <v>1459</v>
      </c>
      <c r="F3894">
        <v>1</v>
      </c>
      <c r="G3894">
        <v>1</v>
      </c>
    </row>
    <row r="3895" spans="1:7" x14ac:dyDescent="0.25">
      <c r="A3895" t="s">
        <v>288</v>
      </c>
      <c r="F3895">
        <v>1</v>
      </c>
      <c r="G3895">
        <v>1</v>
      </c>
    </row>
    <row r="3896" spans="1:7" x14ac:dyDescent="0.25">
      <c r="A3896" t="s">
        <v>1460</v>
      </c>
      <c r="F3896">
        <v>1</v>
      </c>
      <c r="G3896">
        <v>1</v>
      </c>
    </row>
    <row r="3897" spans="1:7" x14ac:dyDescent="0.25">
      <c r="A3897" t="s">
        <v>289</v>
      </c>
      <c r="F3897">
        <v>1</v>
      </c>
      <c r="G3897">
        <v>1</v>
      </c>
    </row>
    <row r="3898" spans="1:7" x14ac:dyDescent="0.25">
      <c r="A3898" t="s">
        <v>1461</v>
      </c>
      <c r="F3898">
        <v>1</v>
      </c>
      <c r="G3898">
        <v>1</v>
      </c>
    </row>
    <row r="3899" spans="1:7" x14ac:dyDescent="0.25">
      <c r="A3899" t="s">
        <v>289</v>
      </c>
      <c r="F3899">
        <v>1</v>
      </c>
      <c r="G3899">
        <v>1</v>
      </c>
    </row>
    <row r="3900" spans="1:7" x14ac:dyDescent="0.25">
      <c r="A3900" t="s">
        <v>1462</v>
      </c>
      <c r="F3900">
        <v>3</v>
      </c>
      <c r="G3900">
        <v>3</v>
      </c>
    </row>
    <row r="3901" spans="1:7" x14ac:dyDescent="0.25">
      <c r="A3901" t="s">
        <v>289</v>
      </c>
      <c r="F3901">
        <v>1</v>
      </c>
      <c r="G3901">
        <v>1</v>
      </c>
    </row>
    <row r="3902" spans="1:7" x14ac:dyDescent="0.25">
      <c r="A3902" t="s">
        <v>1370</v>
      </c>
      <c r="F3902">
        <v>1</v>
      </c>
      <c r="G3902">
        <v>1</v>
      </c>
    </row>
    <row r="3903" spans="1:7" x14ac:dyDescent="0.25">
      <c r="A3903" t="s">
        <v>1371</v>
      </c>
      <c r="F3903">
        <v>1</v>
      </c>
      <c r="G3903">
        <v>1</v>
      </c>
    </row>
    <row r="3904" spans="1:7" x14ac:dyDescent="0.25">
      <c r="A3904" t="s">
        <v>1463</v>
      </c>
      <c r="F3904">
        <v>1</v>
      </c>
      <c r="G3904">
        <v>1</v>
      </c>
    </row>
    <row r="3905" spans="1:7" x14ac:dyDescent="0.25">
      <c r="A3905" t="s">
        <v>290</v>
      </c>
      <c r="F3905">
        <v>1</v>
      </c>
      <c r="G3905">
        <v>1</v>
      </c>
    </row>
    <row r="3906" spans="1:7" x14ac:dyDescent="0.25">
      <c r="A3906" t="s">
        <v>1464</v>
      </c>
      <c r="F3906">
        <v>1</v>
      </c>
      <c r="G3906">
        <v>1</v>
      </c>
    </row>
    <row r="3907" spans="1:7" x14ac:dyDescent="0.25">
      <c r="A3907" t="s">
        <v>290</v>
      </c>
      <c r="F3907">
        <v>1</v>
      </c>
      <c r="G3907">
        <v>1</v>
      </c>
    </row>
    <row r="3908" spans="1:7" x14ac:dyDescent="0.25">
      <c r="A3908" t="s">
        <v>1465</v>
      </c>
      <c r="F3908">
        <v>1</v>
      </c>
      <c r="G3908">
        <v>1</v>
      </c>
    </row>
    <row r="3909" spans="1:7" x14ac:dyDescent="0.25">
      <c r="A3909" t="s">
        <v>288</v>
      </c>
      <c r="F3909">
        <v>1</v>
      </c>
      <c r="G3909">
        <v>1</v>
      </c>
    </row>
    <row r="3910" spans="1:7" x14ac:dyDescent="0.25">
      <c r="A3910" t="s">
        <v>1466</v>
      </c>
      <c r="E3910">
        <v>2</v>
      </c>
      <c r="G3910">
        <v>2</v>
      </c>
    </row>
    <row r="3911" spans="1:7" x14ac:dyDescent="0.25">
      <c r="A3911" t="s">
        <v>292</v>
      </c>
      <c r="E3911">
        <v>1</v>
      </c>
      <c r="G3911">
        <v>1</v>
      </c>
    </row>
    <row r="3912" spans="1:7" x14ac:dyDescent="0.25">
      <c r="A3912" t="s">
        <v>1329</v>
      </c>
      <c r="E3912">
        <v>1</v>
      </c>
      <c r="G3912">
        <v>1</v>
      </c>
    </row>
    <row r="3913" spans="1:7" x14ac:dyDescent="0.25">
      <c r="A3913" t="s">
        <v>1467</v>
      </c>
      <c r="F3913">
        <v>1</v>
      </c>
      <c r="G3913">
        <v>1</v>
      </c>
    </row>
    <row r="3914" spans="1:7" x14ac:dyDescent="0.25">
      <c r="A3914" t="s">
        <v>289</v>
      </c>
      <c r="F3914">
        <v>1</v>
      </c>
      <c r="G3914">
        <v>1</v>
      </c>
    </row>
    <row r="3915" spans="1:7" x14ac:dyDescent="0.25">
      <c r="A3915" t="s">
        <v>1468</v>
      </c>
      <c r="F3915">
        <v>1</v>
      </c>
      <c r="G3915">
        <v>1</v>
      </c>
    </row>
    <row r="3916" spans="1:7" x14ac:dyDescent="0.25">
      <c r="A3916" t="s">
        <v>290</v>
      </c>
      <c r="F3916">
        <v>1</v>
      </c>
      <c r="G3916">
        <v>1</v>
      </c>
    </row>
    <row r="3917" spans="1:7" x14ac:dyDescent="0.25">
      <c r="A3917" t="s">
        <v>1469</v>
      </c>
      <c r="F3917">
        <v>1</v>
      </c>
      <c r="G3917">
        <v>1</v>
      </c>
    </row>
    <row r="3918" spans="1:7" x14ac:dyDescent="0.25">
      <c r="A3918" t="s">
        <v>290</v>
      </c>
      <c r="F3918">
        <v>1</v>
      </c>
      <c r="G3918">
        <v>1</v>
      </c>
    </row>
    <row r="3919" spans="1:7" x14ac:dyDescent="0.25">
      <c r="A3919" t="s">
        <v>1470</v>
      </c>
      <c r="F3919">
        <v>2</v>
      </c>
      <c r="G3919">
        <v>2</v>
      </c>
    </row>
    <row r="3920" spans="1:7" x14ac:dyDescent="0.25">
      <c r="A3920" t="s">
        <v>288</v>
      </c>
      <c r="F3920">
        <v>1</v>
      </c>
      <c r="G3920">
        <v>1</v>
      </c>
    </row>
    <row r="3921" spans="1:7" x14ac:dyDescent="0.25">
      <c r="A3921" t="s">
        <v>380</v>
      </c>
      <c r="F3921">
        <v>1</v>
      </c>
      <c r="G3921">
        <v>1</v>
      </c>
    </row>
    <row r="3922" spans="1:7" x14ac:dyDescent="0.25">
      <c r="A3922" t="s">
        <v>1471</v>
      </c>
      <c r="F3922">
        <v>3</v>
      </c>
      <c r="G3922">
        <v>3</v>
      </c>
    </row>
    <row r="3923" spans="1:7" x14ac:dyDescent="0.25">
      <c r="A3923" t="s">
        <v>377</v>
      </c>
      <c r="F3923">
        <v>1</v>
      </c>
      <c r="G3923">
        <v>1</v>
      </c>
    </row>
    <row r="3924" spans="1:7" x14ac:dyDescent="0.25">
      <c r="A3924" t="s">
        <v>288</v>
      </c>
      <c r="F3924">
        <v>1</v>
      </c>
      <c r="G3924">
        <v>1</v>
      </c>
    </row>
    <row r="3925" spans="1:7" x14ac:dyDescent="0.25">
      <c r="A3925" t="s">
        <v>493</v>
      </c>
      <c r="F3925">
        <v>1</v>
      </c>
      <c r="G3925">
        <v>1</v>
      </c>
    </row>
    <row r="3926" spans="1:7" x14ac:dyDescent="0.25">
      <c r="A3926" t="s">
        <v>1472</v>
      </c>
      <c r="F3926">
        <v>2</v>
      </c>
      <c r="G3926">
        <v>2</v>
      </c>
    </row>
    <row r="3927" spans="1:7" x14ac:dyDescent="0.25">
      <c r="A3927" t="s">
        <v>288</v>
      </c>
      <c r="F3927">
        <v>1</v>
      </c>
      <c r="G3927">
        <v>1</v>
      </c>
    </row>
    <row r="3928" spans="1:7" x14ac:dyDescent="0.25">
      <c r="A3928" t="s">
        <v>380</v>
      </c>
      <c r="F3928">
        <v>1</v>
      </c>
      <c r="G3928">
        <v>1</v>
      </c>
    </row>
    <row r="3929" spans="1:7" x14ac:dyDescent="0.25">
      <c r="A3929" t="s">
        <v>1473</v>
      </c>
      <c r="F3929">
        <v>2</v>
      </c>
      <c r="G3929">
        <v>2</v>
      </c>
    </row>
    <row r="3930" spans="1:7" x14ac:dyDescent="0.25">
      <c r="A3930" t="s">
        <v>292</v>
      </c>
      <c r="F3930">
        <v>1</v>
      </c>
      <c r="G3930">
        <v>1</v>
      </c>
    </row>
    <row r="3931" spans="1:7" x14ac:dyDescent="0.25">
      <c r="A3931" t="s">
        <v>659</v>
      </c>
      <c r="F3931">
        <v>1</v>
      </c>
      <c r="G3931">
        <v>1</v>
      </c>
    </row>
    <row r="3932" spans="1:7" x14ac:dyDescent="0.25">
      <c r="A3932" t="s">
        <v>1474</v>
      </c>
      <c r="F3932">
        <v>3</v>
      </c>
      <c r="G3932">
        <v>3</v>
      </c>
    </row>
    <row r="3933" spans="1:7" x14ac:dyDescent="0.25">
      <c r="A3933" t="s">
        <v>290</v>
      </c>
      <c r="F3933">
        <v>1</v>
      </c>
      <c r="G3933">
        <v>1</v>
      </c>
    </row>
    <row r="3934" spans="1:7" x14ac:dyDescent="0.25">
      <c r="A3934" t="s">
        <v>291</v>
      </c>
      <c r="F3934">
        <v>1</v>
      </c>
      <c r="G3934">
        <v>1</v>
      </c>
    </row>
    <row r="3935" spans="1:7" x14ac:dyDescent="0.25">
      <c r="A3935" t="s">
        <v>380</v>
      </c>
      <c r="F3935">
        <v>1</v>
      </c>
      <c r="G3935">
        <v>1</v>
      </c>
    </row>
    <row r="3936" spans="1:7" x14ac:dyDescent="0.25">
      <c r="A3936" t="s">
        <v>1475</v>
      </c>
      <c r="F3936">
        <v>2</v>
      </c>
      <c r="G3936">
        <v>2</v>
      </c>
    </row>
    <row r="3937" spans="1:7" x14ac:dyDescent="0.25">
      <c r="A3937" t="s">
        <v>288</v>
      </c>
      <c r="F3937">
        <v>1</v>
      </c>
      <c r="G3937">
        <v>1</v>
      </c>
    </row>
    <row r="3938" spans="1:7" x14ac:dyDescent="0.25">
      <c r="A3938" t="s">
        <v>380</v>
      </c>
      <c r="F3938">
        <v>1</v>
      </c>
      <c r="G3938">
        <v>1</v>
      </c>
    </row>
    <row r="3939" spans="1:7" x14ac:dyDescent="0.25">
      <c r="A3939" t="s">
        <v>1476</v>
      </c>
      <c r="F3939">
        <v>2</v>
      </c>
      <c r="G3939">
        <v>2</v>
      </c>
    </row>
    <row r="3940" spans="1:7" x14ac:dyDescent="0.25">
      <c r="A3940" t="s">
        <v>288</v>
      </c>
      <c r="F3940">
        <v>1</v>
      </c>
      <c r="G3940">
        <v>1</v>
      </c>
    </row>
    <row r="3941" spans="1:7" x14ac:dyDescent="0.25">
      <c r="A3941" t="s">
        <v>1329</v>
      </c>
      <c r="F3941">
        <v>1</v>
      </c>
      <c r="G3941">
        <v>1</v>
      </c>
    </row>
    <row r="3942" spans="1:7" x14ac:dyDescent="0.25">
      <c r="A3942" t="s">
        <v>1477</v>
      </c>
      <c r="F3942">
        <v>2</v>
      </c>
      <c r="G3942">
        <v>2</v>
      </c>
    </row>
    <row r="3943" spans="1:7" x14ac:dyDescent="0.25">
      <c r="A3943" t="s">
        <v>288</v>
      </c>
      <c r="F3943">
        <v>1</v>
      </c>
      <c r="G3943">
        <v>1</v>
      </c>
    </row>
    <row r="3944" spans="1:7" x14ac:dyDescent="0.25">
      <c r="A3944" t="s">
        <v>1329</v>
      </c>
      <c r="F3944">
        <v>1</v>
      </c>
      <c r="G3944">
        <v>1</v>
      </c>
    </row>
    <row r="3945" spans="1:7" x14ac:dyDescent="0.25">
      <c r="A3945" t="s">
        <v>1478</v>
      </c>
      <c r="F3945">
        <v>3</v>
      </c>
      <c r="G3945">
        <v>3</v>
      </c>
    </row>
    <row r="3946" spans="1:7" x14ac:dyDescent="0.25">
      <c r="A3946" t="s">
        <v>377</v>
      </c>
      <c r="F3946">
        <v>1</v>
      </c>
      <c r="G3946">
        <v>1</v>
      </c>
    </row>
    <row r="3947" spans="1:7" x14ac:dyDescent="0.25">
      <c r="A3947" t="s">
        <v>288</v>
      </c>
      <c r="F3947">
        <v>1</v>
      </c>
      <c r="G3947">
        <v>1</v>
      </c>
    </row>
    <row r="3948" spans="1:7" x14ac:dyDescent="0.25">
      <c r="A3948" t="s">
        <v>380</v>
      </c>
      <c r="F3948">
        <v>1</v>
      </c>
      <c r="G3948">
        <v>1</v>
      </c>
    </row>
    <row r="3949" spans="1:7" x14ac:dyDescent="0.25">
      <c r="A3949" t="s">
        <v>1479</v>
      </c>
      <c r="F3949">
        <v>2</v>
      </c>
      <c r="G3949">
        <v>2</v>
      </c>
    </row>
    <row r="3950" spans="1:7" x14ac:dyDescent="0.25">
      <c r="A3950" t="s">
        <v>288</v>
      </c>
      <c r="F3950">
        <v>1</v>
      </c>
      <c r="G3950">
        <v>1</v>
      </c>
    </row>
    <row r="3951" spans="1:7" x14ac:dyDescent="0.25">
      <c r="A3951" t="s">
        <v>1329</v>
      </c>
      <c r="F3951">
        <v>1</v>
      </c>
      <c r="G3951">
        <v>1</v>
      </c>
    </row>
    <row r="3952" spans="1:7" x14ac:dyDescent="0.25">
      <c r="A3952" t="s">
        <v>1480</v>
      </c>
      <c r="F3952">
        <v>2</v>
      </c>
      <c r="G3952">
        <v>2</v>
      </c>
    </row>
    <row r="3953" spans="1:7" x14ac:dyDescent="0.25">
      <c r="A3953" t="s">
        <v>288</v>
      </c>
      <c r="F3953">
        <v>1</v>
      </c>
      <c r="G3953">
        <v>1</v>
      </c>
    </row>
    <row r="3954" spans="1:7" x14ac:dyDescent="0.25">
      <c r="A3954" t="s">
        <v>1329</v>
      </c>
      <c r="F3954">
        <v>1</v>
      </c>
      <c r="G3954">
        <v>1</v>
      </c>
    </row>
    <row r="3955" spans="1:7" x14ac:dyDescent="0.25">
      <c r="A3955" t="s">
        <v>1481</v>
      </c>
      <c r="F3955">
        <v>5</v>
      </c>
      <c r="G3955">
        <v>5</v>
      </c>
    </row>
    <row r="3956" spans="1:7" x14ac:dyDescent="0.25">
      <c r="A3956" t="s">
        <v>377</v>
      </c>
      <c r="F3956">
        <v>1</v>
      </c>
      <c r="G3956">
        <v>1</v>
      </c>
    </row>
    <row r="3957" spans="1:7" x14ac:dyDescent="0.25">
      <c r="A3957" t="s">
        <v>289</v>
      </c>
      <c r="F3957">
        <v>1</v>
      </c>
      <c r="G3957">
        <v>1</v>
      </c>
    </row>
    <row r="3958" spans="1:7" x14ac:dyDescent="0.25">
      <c r="A3958" t="s">
        <v>290</v>
      </c>
      <c r="F3958">
        <v>1</v>
      </c>
      <c r="G3958">
        <v>1</v>
      </c>
    </row>
    <row r="3959" spans="1:7" x14ac:dyDescent="0.25">
      <c r="A3959" t="s">
        <v>291</v>
      </c>
      <c r="F3959">
        <v>1</v>
      </c>
      <c r="G3959">
        <v>1</v>
      </c>
    </row>
    <row r="3960" spans="1:7" x14ac:dyDescent="0.25">
      <c r="A3960" t="s">
        <v>493</v>
      </c>
      <c r="F3960">
        <v>1</v>
      </c>
      <c r="G3960">
        <v>1</v>
      </c>
    </row>
    <row r="3961" spans="1:7" x14ac:dyDescent="0.25">
      <c r="A3961" t="s">
        <v>1482</v>
      </c>
      <c r="F3961">
        <v>4</v>
      </c>
      <c r="G3961">
        <v>4</v>
      </c>
    </row>
    <row r="3962" spans="1:7" x14ac:dyDescent="0.25">
      <c r="A3962" t="s">
        <v>289</v>
      </c>
      <c r="F3962">
        <v>1</v>
      </c>
      <c r="G3962">
        <v>1</v>
      </c>
    </row>
    <row r="3963" spans="1:7" x14ac:dyDescent="0.25">
      <c r="A3963" t="s">
        <v>290</v>
      </c>
      <c r="F3963">
        <v>1</v>
      </c>
      <c r="G3963">
        <v>1</v>
      </c>
    </row>
    <row r="3964" spans="1:7" x14ac:dyDescent="0.25">
      <c r="A3964" t="s">
        <v>291</v>
      </c>
      <c r="F3964">
        <v>1</v>
      </c>
      <c r="G3964">
        <v>1</v>
      </c>
    </row>
    <row r="3965" spans="1:7" x14ac:dyDescent="0.25">
      <c r="A3965" t="s">
        <v>493</v>
      </c>
      <c r="F3965">
        <v>1</v>
      </c>
      <c r="G3965">
        <v>1</v>
      </c>
    </row>
    <row r="3966" spans="1:7" x14ac:dyDescent="0.25">
      <c r="A3966" t="s">
        <v>1483</v>
      </c>
      <c r="F3966">
        <v>3</v>
      </c>
      <c r="G3966">
        <v>3</v>
      </c>
    </row>
    <row r="3967" spans="1:7" x14ac:dyDescent="0.25">
      <c r="A3967" t="s">
        <v>377</v>
      </c>
      <c r="F3967">
        <v>1</v>
      </c>
      <c r="G3967">
        <v>1</v>
      </c>
    </row>
    <row r="3968" spans="1:7" x14ac:dyDescent="0.25">
      <c r="A3968" t="s">
        <v>288</v>
      </c>
      <c r="F3968">
        <v>1</v>
      </c>
      <c r="G3968">
        <v>1</v>
      </c>
    </row>
    <row r="3969" spans="1:7" x14ac:dyDescent="0.25">
      <c r="A3969" t="s">
        <v>493</v>
      </c>
      <c r="F3969">
        <v>1</v>
      </c>
      <c r="G3969">
        <v>1</v>
      </c>
    </row>
    <row r="3970" spans="1:7" x14ac:dyDescent="0.25">
      <c r="A3970" t="s">
        <v>1484</v>
      </c>
      <c r="F3970">
        <v>3</v>
      </c>
      <c r="G3970">
        <v>3</v>
      </c>
    </row>
    <row r="3971" spans="1:7" x14ac:dyDescent="0.25">
      <c r="A3971" t="s">
        <v>289</v>
      </c>
      <c r="F3971">
        <v>1</v>
      </c>
      <c r="G3971">
        <v>1</v>
      </c>
    </row>
    <row r="3972" spans="1:7" x14ac:dyDescent="0.25">
      <c r="A3972" t="s">
        <v>291</v>
      </c>
      <c r="F3972">
        <v>1</v>
      </c>
      <c r="G3972">
        <v>1</v>
      </c>
    </row>
    <row r="3973" spans="1:7" x14ac:dyDescent="0.25">
      <c r="A3973" t="s">
        <v>493</v>
      </c>
      <c r="F3973">
        <v>1</v>
      </c>
      <c r="G3973">
        <v>1</v>
      </c>
    </row>
    <row r="3974" spans="1:7" x14ac:dyDescent="0.25">
      <c r="A3974" t="s">
        <v>1485</v>
      </c>
      <c r="F3974">
        <v>2</v>
      </c>
      <c r="G3974">
        <v>2</v>
      </c>
    </row>
    <row r="3975" spans="1:7" x14ac:dyDescent="0.25">
      <c r="A3975" t="s">
        <v>289</v>
      </c>
      <c r="F3975">
        <v>1</v>
      </c>
      <c r="G3975">
        <v>1</v>
      </c>
    </row>
    <row r="3976" spans="1:7" x14ac:dyDescent="0.25">
      <c r="A3976" t="s">
        <v>493</v>
      </c>
      <c r="F3976">
        <v>1</v>
      </c>
      <c r="G3976">
        <v>1</v>
      </c>
    </row>
    <row r="3977" spans="1:7" x14ac:dyDescent="0.25">
      <c r="A3977" t="s">
        <v>1486</v>
      </c>
      <c r="F3977">
        <v>6</v>
      </c>
      <c r="G3977">
        <v>6</v>
      </c>
    </row>
    <row r="3978" spans="1:7" x14ac:dyDescent="0.25">
      <c r="A3978" t="s">
        <v>377</v>
      </c>
      <c r="F3978">
        <v>1</v>
      </c>
      <c r="G3978">
        <v>1</v>
      </c>
    </row>
    <row r="3979" spans="1:7" x14ac:dyDescent="0.25">
      <c r="A3979" t="s">
        <v>289</v>
      </c>
      <c r="F3979">
        <v>1</v>
      </c>
      <c r="G3979">
        <v>1</v>
      </c>
    </row>
    <row r="3980" spans="1:7" x14ac:dyDescent="0.25">
      <c r="A3980" t="s">
        <v>290</v>
      </c>
      <c r="F3980">
        <v>1</v>
      </c>
      <c r="G3980">
        <v>1</v>
      </c>
    </row>
    <row r="3981" spans="1:7" x14ac:dyDescent="0.25">
      <c r="A3981" t="s">
        <v>291</v>
      </c>
      <c r="F3981">
        <v>1</v>
      </c>
      <c r="G3981">
        <v>1</v>
      </c>
    </row>
    <row r="3982" spans="1:7" x14ac:dyDescent="0.25">
      <c r="A3982" t="s">
        <v>288</v>
      </c>
      <c r="F3982">
        <v>1</v>
      </c>
      <c r="G3982">
        <v>1</v>
      </c>
    </row>
    <row r="3983" spans="1:7" x14ac:dyDescent="0.25">
      <c r="A3983" t="s">
        <v>493</v>
      </c>
      <c r="F3983">
        <v>1</v>
      </c>
      <c r="G3983">
        <v>1</v>
      </c>
    </row>
    <row r="3984" spans="1:7" x14ac:dyDescent="0.25">
      <c r="A3984" t="s">
        <v>1487</v>
      </c>
      <c r="F3984">
        <v>3</v>
      </c>
      <c r="G3984">
        <v>3</v>
      </c>
    </row>
    <row r="3985" spans="1:7" x14ac:dyDescent="0.25">
      <c r="A3985" t="s">
        <v>377</v>
      </c>
      <c r="F3985">
        <v>1</v>
      </c>
      <c r="G3985">
        <v>1</v>
      </c>
    </row>
    <row r="3986" spans="1:7" x14ac:dyDescent="0.25">
      <c r="A3986" t="s">
        <v>288</v>
      </c>
      <c r="F3986">
        <v>1</v>
      </c>
      <c r="G3986">
        <v>1</v>
      </c>
    </row>
    <row r="3987" spans="1:7" x14ac:dyDescent="0.25">
      <c r="A3987" t="s">
        <v>493</v>
      </c>
      <c r="F3987">
        <v>1</v>
      </c>
      <c r="G3987">
        <v>1</v>
      </c>
    </row>
    <row r="3988" spans="1:7" x14ac:dyDescent="0.25">
      <c r="A3988" t="s">
        <v>1488</v>
      </c>
      <c r="F3988">
        <v>5</v>
      </c>
      <c r="G3988">
        <v>5</v>
      </c>
    </row>
    <row r="3989" spans="1:7" x14ac:dyDescent="0.25">
      <c r="A3989" t="s">
        <v>377</v>
      </c>
      <c r="F3989">
        <v>1</v>
      </c>
      <c r="G3989">
        <v>1</v>
      </c>
    </row>
    <row r="3990" spans="1:7" x14ac:dyDescent="0.25">
      <c r="A3990" t="s">
        <v>289</v>
      </c>
      <c r="F3990">
        <v>1</v>
      </c>
      <c r="G3990">
        <v>1</v>
      </c>
    </row>
    <row r="3991" spans="1:7" x14ac:dyDescent="0.25">
      <c r="A3991" t="s">
        <v>290</v>
      </c>
      <c r="F3991">
        <v>1</v>
      </c>
      <c r="G3991">
        <v>1</v>
      </c>
    </row>
    <row r="3992" spans="1:7" x14ac:dyDescent="0.25">
      <c r="A3992" t="s">
        <v>291</v>
      </c>
      <c r="F3992">
        <v>1</v>
      </c>
      <c r="G3992">
        <v>1</v>
      </c>
    </row>
    <row r="3993" spans="1:7" x14ac:dyDescent="0.25">
      <c r="A3993" t="s">
        <v>493</v>
      </c>
      <c r="F3993">
        <v>1</v>
      </c>
      <c r="G3993">
        <v>1</v>
      </c>
    </row>
    <row r="3994" spans="1:7" x14ac:dyDescent="0.25">
      <c r="A3994" t="s">
        <v>1489</v>
      </c>
      <c r="F3994">
        <v>5</v>
      </c>
      <c r="G3994">
        <v>5</v>
      </c>
    </row>
    <row r="3995" spans="1:7" x14ac:dyDescent="0.25">
      <c r="A3995" t="s">
        <v>377</v>
      </c>
      <c r="F3995">
        <v>1</v>
      </c>
      <c r="G3995">
        <v>1</v>
      </c>
    </row>
    <row r="3996" spans="1:7" x14ac:dyDescent="0.25">
      <c r="A3996" t="s">
        <v>293</v>
      </c>
      <c r="F3996">
        <v>1</v>
      </c>
      <c r="G3996">
        <v>1</v>
      </c>
    </row>
    <row r="3997" spans="1:7" x14ac:dyDescent="0.25">
      <c r="A3997" t="s">
        <v>295</v>
      </c>
      <c r="F3997">
        <v>1</v>
      </c>
      <c r="G3997">
        <v>1</v>
      </c>
    </row>
    <row r="3998" spans="1:7" x14ac:dyDescent="0.25">
      <c r="A3998" t="s">
        <v>297</v>
      </c>
      <c r="F3998">
        <v>1</v>
      </c>
      <c r="G3998">
        <v>1</v>
      </c>
    </row>
    <row r="3999" spans="1:7" x14ac:dyDescent="0.25">
      <c r="A3999" t="s">
        <v>493</v>
      </c>
      <c r="F3999">
        <v>1</v>
      </c>
      <c r="G3999">
        <v>1</v>
      </c>
    </row>
    <row r="4000" spans="1:7" x14ac:dyDescent="0.25">
      <c r="A4000" t="s">
        <v>1490</v>
      </c>
      <c r="E4000">
        <v>2</v>
      </c>
      <c r="G4000">
        <v>2</v>
      </c>
    </row>
    <row r="4001" spans="1:7" x14ac:dyDescent="0.25">
      <c r="A4001" t="s">
        <v>288</v>
      </c>
      <c r="E4001">
        <v>1</v>
      </c>
      <c r="G4001">
        <v>1</v>
      </c>
    </row>
    <row r="4002" spans="1:7" x14ac:dyDescent="0.25">
      <c r="A4002" t="s">
        <v>1329</v>
      </c>
      <c r="E4002">
        <v>1</v>
      </c>
      <c r="G4002">
        <v>1</v>
      </c>
    </row>
    <row r="4003" spans="1:7" x14ac:dyDescent="0.25">
      <c r="A4003" t="s">
        <v>1491</v>
      </c>
      <c r="E4003">
        <v>1</v>
      </c>
      <c r="G4003">
        <v>1</v>
      </c>
    </row>
    <row r="4004" spans="1:7" x14ac:dyDescent="0.25">
      <c r="A4004" t="s">
        <v>288</v>
      </c>
      <c r="E4004">
        <v>1</v>
      </c>
      <c r="G4004">
        <v>1</v>
      </c>
    </row>
    <row r="4005" spans="1:7" x14ac:dyDescent="0.25">
      <c r="A4005" t="s">
        <v>1492</v>
      </c>
      <c r="F4005">
        <v>2</v>
      </c>
      <c r="G4005">
        <v>2</v>
      </c>
    </row>
    <row r="4006" spans="1:7" x14ac:dyDescent="0.25">
      <c r="A4006" t="s">
        <v>292</v>
      </c>
      <c r="F4006">
        <v>1</v>
      </c>
      <c r="G4006">
        <v>1</v>
      </c>
    </row>
    <row r="4007" spans="1:7" x14ac:dyDescent="0.25">
      <c r="A4007" t="s">
        <v>380</v>
      </c>
      <c r="F4007">
        <v>1</v>
      </c>
      <c r="G4007">
        <v>1</v>
      </c>
    </row>
    <row r="4008" spans="1:7" x14ac:dyDescent="0.25">
      <c r="A4008" t="s">
        <v>1493</v>
      </c>
      <c r="F4008">
        <v>2</v>
      </c>
      <c r="G4008">
        <v>2</v>
      </c>
    </row>
    <row r="4009" spans="1:7" x14ac:dyDescent="0.25">
      <c r="A4009" t="s">
        <v>291</v>
      </c>
      <c r="F4009">
        <v>1</v>
      </c>
      <c r="G4009">
        <v>1</v>
      </c>
    </row>
    <row r="4010" spans="1:7" x14ac:dyDescent="0.25">
      <c r="A4010" t="s">
        <v>380</v>
      </c>
      <c r="F4010">
        <v>1</v>
      </c>
      <c r="G4010">
        <v>1</v>
      </c>
    </row>
    <row r="4011" spans="1:7" x14ac:dyDescent="0.25">
      <c r="A4011" t="s">
        <v>1494</v>
      </c>
      <c r="F4011">
        <v>2</v>
      </c>
      <c r="G4011">
        <v>2</v>
      </c>
    </row>
    <row r="4012" spans="1:7" x14ac:dyDescent="0.25">
      <c r="A4012" t="s">
        <v>292</v>
      </c>
      <c r="F4012">
        <v>1</v>
      </c>
      <c r="G4012">
        <v>1</v>
      </c>
    </row>
    <row r="4013" spans="1:7" x14ac:dyDescent="0.25">
      <c r="A4013" t="s">
        <v>1329</v>
      </c>
      <c r="F4013">
        <v>1</v>
      </c>
      <c r="G4013">
        <v>1</v>
      </c>
    </row>
    <row r="4014" spans="1:7" x14ac:dyDescent="0.25">
      <c r="A4014" t="s">
        <v>1495</v>
      </c>
      <c r="F4014">
        <v>3</v>
      </c>
      <c r="G4014">
        <v>3</v>
      </c>
    </row>
    <row r="4015" spans="1:7" x14ac:dyDescent="0.25">
      <c r="A4015" t="s">
        <v>377</v>
      </c>
      <c r="F4015">
        <v>1</v>
      </c>
      <c r="G4015">
        <v>1</v>
      </c>
    </row>
    <row r="4016" spans="1:7" x14ac:dyDescent="0.25">
      <c r="A4016" t="s">
        <v>288</v>
      </c>
      <c r="F4016">
        <v>1</v>
      </c>
      <c r="G4016">
        <v>1</v>
      </c>
    </row>
    <row r="4017" spans="1:7" x14ac:dyDescent="0.25">
      <c r="A4017" t="s">
        <v>493</v>
      </c>
      <c r="F4017">
        <v>1</v>
      </c>
      <c r="G4017">
        <v>1</v>
      </c>
    </row>
    <row r="4018" spans="1:7" x14ac:dyDescent="0.25">
      <c r="A4018" t="s">
        <v>1496</v>
      </c>
      <c r="F4018">
        <v>2</v>
      </c>
      <c r="G4018">
        <v>2</v>
      </c>
    </row>
    <row r="4019" spans="1:7" x14ac:dyDescent="0.25">
      <c r="A4019" t="s">
        <v>292</v>
      </c>
      <c r="F4019">
        <v>1</v>
      </c>
      <c r="G4019">
        <v>1</v>
      </c>
    </row>
    <row r="4020" spans="1:7" x14ac:dyDescent="0.25">
      <c r="A4020" t="s">
        <v>659</v>
      </c>
      <c r="F4020">
        <v>1</v>
      </c>
      <c r="G4020">
        <v>1</v>
      </c>
    </row>
    <row r="4021" spans="1:7" x14ac:dyDescent="0.25">
      <c r="A4021" t="s">
        <v>1497</v>
      </c>
      <c r="F4021">
        <v>2</v>
      </c>
      <c r="G4021">
        <v>2</v>
      </c>
    </row>
    <row r="4022" spans="1:7" x14ac:dyDescent="0.25">
      <c r="A4022" t="s">
        <v>288</v>
      </c>
      <c r="F4022">
        <v>1</v>
      </c>
      <c r="G4022">
        <v>1</v>
      </c>
    </row>
    <row r="4023" spans="1:7" x14ac:dyDescent="0.25">
      <c r="A4023" t="s">
        <v>1329</v>
      </c>
      <c r="F4023">
        <v>1</v>
      </c>
      <c r="G4023">
        <v>1</v>
      </c>
    </row>
    <row r="4024" spans="1:7" x14ac:dyDescent="0.25">
      <c r="A4024" t="s">
        <v>1498</v>
      </c>
      <c r="F4024">
        <v>3</v>
      </c>
      <c r="G4024">
        <v>3</v>
      </c>
    </row>
    <row r="4025" spans="1:7" x14ac:dyDescent="0.25">
      <c r="A4025" t="s">
        <v>377</v>
      </c>
      <c r="F4025">
        <v>1</v>
      </c>
      <c r="G4025">
        <v>1</v>
      </c>
    </row>
    <row r="4026" spans="1:7" x14ac:dyDescent="0.25">
      <c r="A4026" t="s">
        <v>288</v>
      </c>
      <c r="F4026">
        <v>1</v>
      </c>
      <c r="G4026">
        <v>1</v>
      </c>
    </row>
    <row r="4027" spans="1:7" x14ac:dyDescent="0.25">
      <c r="A4027" t="s">
        <v>493</v>
      </c>
      <c r="F4027">
        <v>1</v>
      </c>
      <c r="G4027">
        <v>1</v>
      </c>
    </row>
    <row r="4028" spans="1:7" x14ac:dyDescent="0.25">
      <c r="A4028" t="s">
        <v>1499</v>
      </c>
      <c r="F4028">
        <v>3</v>
      </c>
      <c r="G4028">
        <v>3</v>
      </c>
    </row>
    <row r="4029" spans="1:7" x14ac:dyDescent="0.25">
      <c r="A4029" t="s">
        <v>377</v>
      </c>
      <c r="F4029">
        <v>1</v>
      </c>
      <c r="G4029">
        <v>1</v>
      </c>
    </row>
    <row r="4030" spans="1:7" x14ac:dyDescent="0.25">
      <c r="A4030" t="s">
        <v>288</v>
      </c>
      <c r="F4030">
        <v>1</v>
      </c>
      <c r="G4030">
        <v>1</v>
      </c>
    </row>
    <row r="4031" spans="1:7" x14ac:dyDescent="0.25">
      <c r="A4031" t="s">
        <v>493</v>
      </c>
      <c r="F4031">
        <v>1</v>
      </c>
      <c r="G4031">
        <v>1</v>
      </c>
    </row>
    <row r="4032" spans="1:7" x14ac:dyDescent="0.25">
      <c r="A4032" t="s">
        <v>1500</v>
      </c>
      <c r="F4032">
        <v>2</v>
      </c>
      <c r="G4032">
        <v>2</v>
      </c>
    </row>
    <row r="4033" spans="1:7" x14ac:dyDescent="0.25">
      <c r="A4033" t="s">
        <v>288</v>
      </c>
      <c r="F4033">
        <v>1</v>
      </c>
      <c r="G4033">
        <v>1</v>
      </c>
    </row>
    <row r="4034" spans="1:7" x14ac:dyDescent="0.25">
      <c r="A4034" t="s">
        <v>380</v>
      </c>
      <c r="F4034">
        <v>1</v>
      </c>
      <c r="G4034">
        <v>1</v>
      </c>
    </row>
    <row r="4035" spans="1:7" x14ac:dyDescent="0.25">
      <c r="A4035" t="s">
        <v>1501</v>
      </c>
      <c r="F4035">
        <v>5</v>
      </c>
      <c r="G4035">
        <v>5</v>
      </c>
    </row>
    <row r="4036" spans="1:7" x14ac:dyDescent="0.25">
      <c r="A4036" t="s">
        <v>377</v>
      </c>
      <c r="F4036">
        <v>1</v>
      </c>
      <c r="G4036">
        <v>1</v>
      </c>
    </row>
    <row r="4037" spans="1:7" x14ac:dyDescent="0.25">
      <c r="A4037" t="s">
        <v>289</v>
      </c>
      <c r="F4037">
        <v>1</v>
      </c>
      <c r="G4037">
        <v>1</v>
      </c>
    </row>
    <row r="4038" spans="1:7" x14ac:dyDescent="0.25">
      <c r="A4038" t="s">
        <v>290</v>
      </c>
      <c r="F4038">
        <v>1</v>
      </c>
      <c r="G4038">
        <v>1</v>
      </c>
    </row>
    <row r="4039" spans="1:7" x14ac:dyDescent="0.25">
      <c r="A4039" t="s">
        <v>291</v>
      </c>
      <c r="F4039">
        <v>1</v>
      </c>
      <c r="G4039">
        <v>1</v>
      </c>
    </row>
    <row r="4040" spans="1:7" x14ac:dyDescent="0.25">
      <c r="A4040" t="s">
        <v>493</v>
      </c>
      <c r="F4040">
        <v>1</v>
      </c>
      <c r="G4040">
        <v>1</v>
      </c>
    </row>
    <row r="4041" spans="1:7" x14ac:dyDescent="0.25">
      <c r="A4041" t="s">
        <v>1502</v>
      </c>
      <c r="F4041">
        <v>2</v>
      </c>
      <c r="G4041">
        <v>2</v>
      </c>
    </row>
    <row r="4042" spans="1:7" x14ac:dyDescent="0.25">
      <c r="A4042" t="s">
        <v>288</v>
      </c>
      <c r="F4042">
        <v>1</v>
      </c>
      <c r="G4042">
        <v>1</v>
      </c>
    </row>
    <row r="4043" spans="1:7" x14ac:dyDescent="0.25">
      <c r="A4043" t="s">
        <v>1329</v>
      </c>
      <c r="F4043">
        <v>1</v>
      </c>
      <c r="G4043">
        <v>1</v>
      </c>
    </row>
    <row r="4044" spans="1:7" x14ac:dyDescent="0.25">
      <c r="A4044" t="s">
        <v>1503</v>
      </c>
      <c r="F4044">
        <v>2</v>
      </c>
      <c r="G4044">
        <v>2</v>
      </c>
    </row>
    <row r="4045" spans="1:7" x14ac:dyDescent="0.25">
      <c r="A4045" t="s">
        <v>288</v>
      </c>
      <c r="F4045">
        <v>1</v>
      </c>
      <c r="G4045">
        <v>1</v>
      </c>
    </row>
    <row r="4046" spans="1:7" x14ac:dyDescent="0.25">
      <c r="A4046" t="s">
        <v>380</v>
      </c>
      <c r="F4046">
        <v>1</v>
      </c>
      <c r="G4046">
        <v>1</v>
      </c>
    </row>
    <row r="4047" spans="1:7" x14ac:dyDescent="0.25">
      <c r="A4047" t="s">
        <v>1504</v>
      </c>
      <c r="F4047">
        <v>2</v>
      </c>
      <c r="G4047">
        <v>2</v>
      </c>
    </row>
    <row r="4048" spans="1:7" x14ac:dyDescent="0.25">
      <c r="A4048" t="s">
        <v>288</v>
      </c>
      <c r="F4048">
        <v>1</v>
      </c>
      <c r="G4048">
        <v>1</v>
      </c>
    </row>
    <row r="4049" spans="1:7" x14ac:dyDescent="0.25">
      <c r="A4049" t="s">
        <v>1329</v>
      </c>
      <c r="F4049">
        <v>1</v>
      </c>
      <c r="G4049">
        <v>1</v>
      </c>
    </row>
    <row r="4050" spans="1:7" x14ac:dyDescent="0.25">
      <c r="A4050" t="s">
        <v>1505</v>
      </c>
      <c r="F4050">
        <v>5</v>
      </c>
      <c r="G4050">
        <v>5</v>
      </c>
    </row>
    <row r="4051" spans="1:7" x14ac:dyDescent="0.25">
      <c r="A4051" t="s">
        <v>377</v>
      </c>
      <c r="F4051">
        <v>1</v>
      </c>
      <c r="G4051">
        <v>1</v>
      </c>
    </row>
    <row r="4052" spans="1:7" x14ac:dyDescent="0.25">
      <c r="A4052" t="s">
        <v>289</v>
      </c>
      <c r="F4052">
        <v>1</v>
      </c>
      <c r="G4052">
        <v>1</v>
      </c>
    </row>
    <row r="4053" spans="1:7" x14ac:dyDescent="0.25">
      <c r="A4053" t="s">
        <v>290</v>
      </c>
      <c r="F4053">
        <v>1</v>
      </c>
      <c r="G4053">
        <v>1</v>
      </c>
    </row>
    <row r="4054" spans="1:7" x14ac:dyDescent="0.25">
      <c r="A4054" t="s">
        <v>291</v>
      </c>
      <c r="F4054">
        <v>1</v>
      </c>
      <c r="G4054">
        <v>1</v>
      </c>
    </row>
    <row r="4055" spans="1:7" x14ac:dyDescent="0.25">
      <c r="A4055" t="s">
        <v>493</v>
      </c>
      <c r="F4055">
        <v>1</v>
      </c>
      <c r="G4055">
        <v>1</v>
      </c>
    </row>
    <row r="4056" spans="1:7" x14ac:dyDescent="0.25">
      <c r="A4056" t="s">
        <v>1506</v>
      </c>
      <c r="F4056">
        <v>5</v>
      </c>
      <c r="G4056">
        <v>5</v>
      </c>
    </row>
    <row r="4057" spans="1:7" x14ac:dyDescent="0.25">
      <c r="A4057" t="s">
        <v>377</v>
      </c>
      <c r="F4057">
        <v>1</v>
      </c>
      <c r="G4057">
        <v>1</v>
      </c>
    </row>
    <row r="4058" spans="1:7" x14ac:dyDescent="0.25">
      <c r="A4058" t="s">
        <v>289</v>
      </c>
      <c r="F4058">
        <v>1</v>
      </c>
      <c r="G4058">
        <v>1</v>
      </c>
    </row>
    <row r="4059" spans="1:7" x14ac:dyDescent="0.25">
      <c r="A4059" t="s">
        <v>290</v>
      </c>
      <c r="F4059">
        <v>1</v>
      </c>
      <c r="G4059">
        <v>1</v>
      </c>
    </row>
    <row r="4060" spans="1:7" x14ac:dyDescent="0.25">
      <c r="A4060" t="s">
        <v>291</v>
      </c>
      <c r="F4060">
        <v>1</v>
      </c>
      <c r="G4060">
        <v>1</v>
      </c>
    </row>
    <row r="4061" spans="1:7" x14ac:dyDescent="0.25">
      <c r="A4061" t="s">
        <v>493</v>
      </c>
      <c r="F4061">
        <v>1</v>
      </c>
      <c r="G4061">
        <v>1</v>
      </c>
    </row>
    <row r="4062" spans="1:7" x14ac:dyDescent="0.25">
      <c r="A4062" t="s">
        <v>1507</v>
      </c>
      <c r="F4062">
        <v>5</v>
      </c>
      <c r="G4062">
        <v>5</v>
      </c>
    </row>
    <row r="4063" spans="1:7" x14ac:dyDescent="0.25">
      <c r="A4063" t="s">
        <v>377</v>
      </c>
      <c r="F4063">
        <v>1</v>
      </c>
      <c r="G4063">
        <v>1</v>
      </c>
    </row>
    <row r="4064" spans="1:7" x14ac:dyDescent="0.25">
      <c r="A4064" t="s">
        <v>289</v>
      </c>
      <c r="F4064">
        <v>1</v>
      </c>
      <c r="G4064">
        <v>1</v>
      </c>
    </row>
    <row r="4065" spans="1:7" x14ac:dyDescent="0.25">
      <c r="A4065" t="s">
        <v>290</v>
      </c>
      <c r="F4065">
        <v>1</v>
      </c>
      <c r="G4065">
        <v>1</v>
      </c>
    </row>
    <row r="4066" spans="1:7" x14ac:dyDescent="0.25">
      <c r="A4066" t="s">
        <v>291</v>
      </c>
      <c r="F4066">
        <v>1</v>
      </c>
      <c r="G4066">
        <v>1</v>
      </c>
    </row>
    <row r="4067" spans="1:7" x14ac:dyDescent="0.25">
      <c r="A4067" t="s">
        <v>493</v>
      </c>
      <c r="F4067">
        <v>1</v>
      </c>
      <c r="G4067">
        <v>1</v>
      </c>
    </row>
    <row r="4068" spans="1:7" x14ac:dyDescent="0.25">
      <c r="A4068" t="s">
        <v>1508</v>
      </c>
      <c r="F4068">
        <v>5</v>
      </c>
      <c r="G4068">
        <v>5</v>
      </c>
    </row>
    <row r="4069" spans="1:7" x14ac:dyDescent="0.25">
      <c r="A4069" t="s">
        <v>377</v>
      </c>
      <c r="F4069">
        <v>1</v>
      </c>
      <c r="G4069">
        <v>1</v>
      </c>
    </row>
    <row r="4070" spans="1:7" x14ac:dyDescent="0.25">
      <c r="A4070" t="s">
        <v>289</v>
      </c>
      <c r="F4070">
        <v>1</v>
      </c>
      <c r="G4070">
        <v>1</v>
      </c>
    </row>
    <row r="4071" spans="1:7" x14ac:dyDescent="0.25">
      <c r="A4071" t="s">
        <v>290</v>
      </c>
      <c r="F4071">
        <v>1</v>
      </c>
      <c r="G4071">
        <v>1</v>
      </c>
    </row>
    <row r="4072" spans="1:7" x14ac:dyDescent="0.25">
      <c r="A4072" t="s">
        <v>291</v>
      </c>
      <c r="F4072">
        <v>1</v>
      </c>
      <c r="G4072">
        <v>1</v>
      </c>
    </row>
    <row r="4073" spans="1:7" x14ac:dyDescent="0.25">
      <c r="A4073" t="s">
        <v>493</v>
      </c>
      <c r="F4073">
        <v>1</v>
      </c>
      <c r="G4073">
        <v>1</v>
      </c>
    </row>
    <row r="4074" spans="1:7" x14ac:dyDescent="0.25">
      <c r="A4074" t="s">
        <v>1509</v>
      </c>
      <c r="F4074">
        <v>5</v>
      </c>
      <c r="G4074">
        <v>5</v>
      </c>
    </row>
    <row r="4075" spans="1:7" x14ac:dyDescent="0.25">
      <c r="A4075" t="s">
        <v>377</v>
      </c>
      <c r="F4075">
        <v>1</v>
      </c>
      <c r="G4075">
        <v>1</v>
      </c>
    </row>
    <row r="4076" spans="1:7" x14ac:dyDescent="0.25">
      <c r="A4076" t="s">
        <v>289</v>
      </c>
      <c r="F4076">
        <v>1</v>
      </c>
      <c r="G4076">
        <v>1</v>
      </c>
    </row>
    <row r="4077" spans="1:7" x14ac:dyDescent="0.25">
      <c r="A4077" t="s">
        <v>290</v>
      </c>
      <c r="F4077">
        <v>1</v>
      </c>
      <c r="G4077">
        <v>1</v>
      </c>
    </row>
    <row r="4078" spans="1:7" x14ac:dyDescent="0.25">
      <c r="A4078" t="s">
        <v>291</v>
      </c>
      <c r="F4078">
        <v>1</v>
      </c>
      <c r="G4078">
        <v>1</v>
      </c>
    </row>
    <row r="4079" spans="1:7" x14ac:dyDescent="0.25">
      <c r="A4079" t="s">
        <v>493</v>
      </c>
      <c r="F4079">
        <v>1</v>
      </c>
      <c r="G4079">
        <v>1</v>
      </c>
    </row>
    <row r="4080" spans="1:7" x14ac:dyDescent="0.25">
      <c r="A4080" t="s">
        <v>1510</v>
      </c>
      <c r="F4080">
        <v>3</v>
      </c>
      <c r="G4080">
        <v>3</v>
      </c>
    </row>
    <row r="4081" spans="1:7" x14ac:dyDescent="0.25">
      <c r="A4081" t="s">
        <v>377</v>
      </c>
      <c r="F4081">
        <v>1</v>
      </c>
      <c r="G4081">
        <v>1</v>
      </c>
    </row>
    <row r="4082" spans="1:7" x14ac:dyDescent="0.25">
      <c r="A4082" t="s">
        <v>288</v>
      </c>
      <c r="F4082">
        <v>1</v>
      </c>
      <c r="G4082">
        <v>1</v>
      </c>
    </row>
    <row r="4083" spans="1:7" x14ac:dyDescent="0.25">
      <c r="A4083" t="s">
        <v>493</v>
      </c>
      <c r="F4083">
        <v>1</v>
      </c>
      <c r="G4083">
        <v>1</v>
      </c>
    </row>
    <row r="4084" spans="1:7" x14ac:dyDescent="0.25">
      <c r="A4084" t="s">
        <v>1511</v>
      </c>
      <c r="F4084">
        <v>3</v>
      </c>
      <c r="G4084">
        <v>3</v>
      </c>
    </row>
    <row r="4085" spans="1:7" x14ac:dyDescent="0.25">
      <c r="A4085" t="s">
        <v>290</v>
      </c>
      <c r="F4085">
        <v>1</v>
      </c>
      <c r="G4085">
        <v>1</v>
      </c>
    </row>
    <row r="4086" spans="1:7" x14ac:dyDescent="0.25">
      <c r="A4086" t="s">
        <v>291</v>
      </c>
      <c r="F4086">
        <v>1</v>
      </c>
      <c r="G4086">
        <v>1</v>
      </c>
    </row>
    <row r="4087" spans="1:7" x14ac:dyDescent="0.25">
      <c r="A4087" t="s">
        <v>493</v>
      </c>
      <c r="F4087">
        <v>1</v>
      </c>
      <c r="G4087">
        <v>1</v>
      </c>
    </row>
    <row r="4088" spans="1:7" x14ac:dyDescent="0.25">
      <c r="A4088" t="s">
        <v>1512</v>
      </c>
      <c r="F4088">
        <v>4</v>
      </c>
      <c r="G4088">
        <v>4</v>
      </c>
    </row>
    <row r="4089" spans="1:7" x14ac:dyDescent="0.25">
      <c r="A4089" t="s">
        <v>289</v>
      </c>
      <c r="F4089">
        <v>1</v>
      </c>
      <c r="G4089">
        <v>1</v>
      </c>
    </row>
    <row r="4090" spans="1:7" x14ac:dyDescent="0.25">
      <c r="A4090" t="s">
        <v>290</v>
      </c>
      <c r="F4090">
        <v>1</v>
      </c>
      <c r="G4090">
        <v>1</v>
      </c>
    </row>
    <row r="4091" spans="1:7" x14ac:dyDescent="0.25">
      <c r="A4091" t="s">
        <v>291</v>
      </c>
      <c r="F4091">
        <v>1</v>
      </c>
      <c r="G4091">
        <v>1</v>
      </c>
    </row>
    <row r="4092" spans="1:7" x14ac:dyDescent="0.25">
      <c r="A4092" t="s">
        <v>493</v>
      </c>
      <c r="F4092">
        <v>1</v>
      </c>
      <c r="G4092">
        <v>1</v>
      </c>
    </row>
    <row r="4093" spans="1:7" x14ac:dyDescent="0.25">
      <c r="A4093" t="s">
        <v>1513</v>
      </c>
      <c r="F4093">
        <v>2</v>
      </c>
      <c r="G4093">
        <v>2</v>
      </c>
    </row>
    <row r="4094" spans="1:7" x14ac:dyDescent="0.25">
      <c r="A4094" t="s">
        <v>290</v>
      </c>
      <c r="F4094">
        <v>1</v>
      </c>
      <c r="G4094">
        <v>1</v>
      </c>
    </row>
    <row r="4095" spans="1:7" x14ac:dyDescent="0.25">
      <c r="A4095" t="s">
        <v>493</v>
      </c>
      <c r="F4095">
        <v>1</v>
      </c>
      <c r="G4095">
        <v>1</v>
      </c>
    </row>
    <row r="4096" spans="1:7" x14ac:dyDescent="0.25">
      <c r="A4096" t="s">
        <v>1514</v>
      </c>
      <c r="F4096">
        <v>3</v>
      </c>
      <c r="G4096">
        <v>3</v>
      </c>
    </row>
    <row r="4097" spans="1:7" x14ac:dyDescent="0.25">
      <c r="A4097" t="s">
        <v>377</v>
      </c>
      <c r="F4097">
        <v>1</v>
      </c>
      <c r="G4097">
        <v>1</v>
      </c>
    </row>
    <row r="4098" spans="1:7" x14ac:dyDescent="0.25">
      <c r="A4098" t="s">
        <v>288</v>
      </c>
      <c r="F4098">
        <v>1</v>
      </c>
      <c r="G4098">
        <v>1</v>
      </c>
    </row>
    <row r="4099" spans="1:7" x14ac:dyDescent="0.25">
      <c r="A4099" t="s">
        <v>493</v>
      </c>
      <c r="F4099">
        <v>1</v>
      </c>
      <c r="G4099">
        <v>1</v>
      </c>
    </row>
    <row r="4100" spans="1:7" x14ac:dyDescent="0.25">
      <c r="A4100" t="s">
        <v>1515</v>
      </c>
      <c r="F4100">
        <v>2</v>
      </c>
      <c r="G4100">
        <v>2</v>
      </c>
    </row>
    <row r="4101" spans="1:7" x14ac:dyDescent="0.25">
      <c r="A4101" t="s">
        <v>289</v>
      </c>
      <c r="F4101">
        <v>1</v>
      </c>
      <c r="G4101">
        <v>1</v>
      </c>
    </row>
    <row r="4102" spans="1:7" x14ac:dyDescent="0.25">
      <c r="A4102" t="s">
        <v>493</v>
      </c>
      <c r="F4102">
        <v>1</v>
      </c>
      <c r="G4102">
        <v>1</v>
      </c>
    </row>
    <row r="4103" spans="1:7" x14ac:dyDescent="0.25">
      <c r="A4103" t="s">
        <v>1516</v>
      </c>
      <c r="F4103">
        <v>5</v>
      </c>
      <c r="G4103">
        <v>5</v>
      </c>
    </row>
    <row r="4104" spans="1:7" x14ac:dyDescent="0.25">
      <c r="A4104" t="s">
        <v>377</v>
      </c>
      <c r="F4104">
        <v>1</v>
      </c>
      <c r="G4104">
        <v>1</v>
      </c>
    </row>
    <row r="4105" spans="1:7" x14ac:dyDescent="0.25">
      <c r="A4105" t="s">
        <v>289</v>
      </c>
      <c r="F4105">
        <v>1</v>
      </c>
      <c r="G4105">
        <v>1</v>
      </c>
    </row>
    <row r="4106" spans="1:7" x14ac:dyDescent="0.25">
      <c r="A4106" t="s">
        <v>290</v>
      </c>
      <c r="F4106">
        <v>1</v>
      </c>
      <c r="G4106">
        <v>1</v>
      </c>
    </row>
    <row r="4107" spans="1:7" x14ac:dyDescent="0.25">
      <c r="A4107" t="s">
        <v>291</v>
      </c>
      <c r="F4107">
        <v>1</v>
      </c>
      <c r="G4107">
        <v>1</v>
      </c>
    </row>
    <row r="4108" spans="1:7" x14ac:dyDescent="0.25">
      <c r="A4108" t="s">
        <v>493</v>
      </c>
      <c r="F4108">
        <v>1</v>
      </c>
      <c r="G4108">
        <v>1</v>
      </c>
    </row>
    <row r="4109" spans="1:7" x14ac:dyDescent="0.25">
      <c r="A4109" t="s">
        <v>1517</v>
      </c>
      <c r="F4109">
        <v>2</v>
      </c>
      <c r="G4109">
        <v>2</v>
      </c>
    </row>
    <row r="4110" spans="1:7" x14ac:dyDescent="0.25">
      <c r="A4110" t="s">
        <v>289</v>
      </c>
      <c r="F4110">
        <v>1</v>
      </c>
      <c r="G4110">
        <v>1</v>
      </c>
    </row>
    <row r="4111" spans="1:7" x14ac:dyDescent="0.25">
      <c r="A4111" t="s">
        <v>1329</v>
      </c>
      <c r="F4111">
        <v>1</v>
      </c>
      <c r="G4111">
        <v>1</v>
      </c>
    </row>
    <row r="4112" spans="1:7" x14ac:dyDescent="0.25">
      <c r="A4112" t="s">
        <v>1518</v>
      </c>
      <c r="F4112">
        <v>2</v>
      </c>
      <c r="G4112">
        <v>2</v>
      </c>
    </row>
    <row r="4113" spans="1:7" x14ac:dyDescent="0.25">
      <c r="A4113" t="s">
        <v>288</v>
      </c>
      <c r="F4113">
        <v>1</v>
      </c>
      <c r="G4113">
        <v>1</v>
      </c>
    </row>
    <row r="4114" spans="1:7" x14ac:dyDescent="0.25">
      <c r="A4114" t="s">
        <v>1329</v>
      </c>
      <c r="F4114">
        <v>1</v>
      </c>
      <c r="G4114">
        <v>1</v>
      </c>
    </row>
    <row r="4115" spans="1:7" x14ac:dyDescent="0.25">
      <c r="A4115" t="s">
        <v>1519</v>
      </c>
      <c r="F4115">
        <v>2</v>
      </c>
      <c r="G4115">
        <v>2</v>
      </c>
    </row>
    <row r="4116" spans="1:7" x14ac:dyDescent="0.25">
      <c r="A4116" t="s">
        <v>291</v>
      </c>
      <c r="F4116">
        <v>1</v>
      </c>
      <c r="G4116">
        <v>1</v>
      </c>
    </row>
    <row r="4117" spans="1:7" x14ac:dyDescent="0.25">
      <c r="A4117" t="s">
        <v>380</v>
      </c>
      <c r="F4117">
        <v>1</v>
      </c>
      <c r="G4117">
        <v>1</v>
      </c>
    </row>
    <row r="4118" spans="1:7" x14ac:dyDescent="0.25">
      <c r="A4118" t="s">
        <v>1520</v>
      </c>
      <c r="F4118">
        <v>2</v>
      </c>
      <c r="G4118">
        <v>2</v>
      </c>
    </row>
    <row r="4119" spans="1:7" x14ac:dyDescent="0.25">
      <c r="A4119" t="s">
        <v>290</v>
      </c>
      <c r="F4119">
        <v>1</v>
      </c>
      <c r="G4119">
        <v>1</v>
      </c>
    </row>
    <row r="4120" spans="1:7" x14ac:dyDescent="0.25">
      <c r="A4120" t="s">
        <v>659</v>
      </c>
      <c r="F4120">
        <v>1</v>
      </c>
      <c r="G4120">
        <v>1</v>
      </c>
    </row>
    <row r="4121" spans="1:7" x14ac:dyDescent="0.25">
      <c r="A4121" t="s">
        <v>1521</v>
      </c>
      <c r="F4121">
        <v>5</v>
      </c>
      <c r="G4121">
        <v>5</v>
      </c>
    </row>
    <row r="4122" spans="1:7" x14ac:dyDescent="0.25">
      <c r="A4122" t="s">
        <v>377</v>
      </c>
      <c r="F4122">
        <v>1</v>
      </c>
      <c r="G4122">
        <v>1</v>
      </c>
    </row>
    <row r="4123" spans="1:7" x14ac:dyDescent="0.25">
      <c r="A4123" t="s">
        <v>289</v>
      </c>
      <c r="F4123">
        <v>1</v>
      </c>
      <c r="G4123">
        <v>1</v>
      </c>
    </row>
    <row r="4124" spans="1:7" x14ac:dyDescent="0.25">
      <c r="A4124" t="s">
        <v>290</v>
      </c>
      <c r="F4124">
        <v>1</v>
      </c>
      <c r="G4124">
        <v>1</v>
      </c>
    </row>
    <row r="4125" spans="1:7" x14ac:dyDescent="0.25">
      <c r="A4125" t="s">
        <v>291</v>
      </c>
      <c r="F4125">
        <v>1</v>
      </c>
      <c r="G4125">
        <v>1</v>
      </c>
    </row>
    <row r="4126" spans="1:7" x14ac:dyDescent="0.25">
      <c r="A4126" t="s">
        <v>493</v>
      </c>
      <c r="F4126">
        <v>1</v>
      </c>
      <c r="G4126">
        <v>1</v>
      </c>
    </row>
    <row r="4127" spans="1:7" x14ac:dyDescent="0.25">
      <c r="A4127" t="s">
        <v>1522</v>
      </c>
      <c r="F4127">
        <v>3</v>
      </c>
      <c r="G4127">
        <v>3</v>
      </c>
    </row>
    <row r="4128" spans="1:7" x14ac:dyDescent="0.25">
      <c r="A4128" t="s">
        <v>377</v>
      </c>
      <c r="F4128">
        <v>1</v>
      </c>
      <c r="G4128">
        <v>1</v>
      </c>
    </row>
    <row r="4129" spans="1:7" x14ac:dyDescent="0.25">
      <c r="A4129" t="s">
        <v>297</v>
      </c>
      <c r="F4129">
        <v>1</v>
      </c>
      <c r="G4129">
        <v>1</v>
      </c>
    </row>
    <row r="4130" spans="1:7" x14ac:dyDescent="0.25">
      <c r="A4130" t="s">
        <v>493</v>
      </c>
      <c r="F4130">
        <v>1</v>
      </c>
      <c r="G4130">
        <v>1</v>
      </c>
    </row>
    <row r="4131" spans="1:7" x14ac:dyDescent="0.25">
      <c r="A4131" t="s">
        <v>1523</v>
      </c>
      <c r="F4131">
        <v>5</v>
      </c>
      <c r="G4131">
        <v>5</v>
      </c>
    </row>
    <row r="4132" spans="1:7" x14ac:dyDescent="0.25">
      <c r="A4132" t="s">
        <v>377</v>
      </c>
      <c r="F4132">
        <v>1</v>
      </c>
      <c r="G4132">
        <v>1</v>
      </c>
    </row>
    <row r="4133" spans="1:7" x14ac:dyDescent="0.25">
      <c r="A4133" t="s">
        <v>289</v>
      </c>
      <c r="F4133">
        <v>1</v>
      </c>
      <c r="G4133">
        <v>1</v>
      </c>
    </row>
    <row r="4134" spans="1:7" x14ac:dyDescent="0.25">
      <c r="A4134" t="s">
        <v>290</v>
      </c>
      <c r="F4134">
        <v>1</v>
      </c>
      <c r="G4134">
        <v>1</v>
      </c>
    </row>
    <row r="4135" spans="1:7" x14ac:dyDescent="0.25">
      <c r="A4135" t="s">
        <v>291</v>
      </c>
      <c r="F4135">
        <v>1</v>
      </c>
      <c r="G4135">
        <v>1</v>
      </c>
    </row>
    <row r="4136" spans="1:7" x14ac:dyDescent="0.25">
      <c r="A4136" t="s">
        <v>493</v>
      </c>
      <c r="F4136">
        <v>1</v>
      </c>
      <c r="G4136">
        <v>1</v>
      </c>
    </row>
    <row r="4137" spans="1:7" x14ac:dyDescent="0.25">
      <c r="A4137" t="s">
        <v>1524</v>
      </c>
      <c r="F4137">
        <v>5</v>
      </c>
      <c r="G4137">
        <v>5</v>
      </c>
    </row>
    <row r="4138" spans="1:7" x14ac:dyDescent="0.25">
      <c r="A4138" t="s">
        <v>377</v>
      </c>
      <c r="F4138">
        <v>1</v>
      </c>
      <c r="G4138">
        <v>1</v>
      </c>
    </row>
    <row r="4139" spans="1:7" x14ac:dyDescent="0.25">
      <c r="A4139" t="s">
        <v>289</v>
      </c>
      <c r="F4139">
        <v>1</v>
      </c>
      <c r="G4139">
        <v>1</v>
      </c>
    </row>
    <row r="4140" spans="1:7" x14ac:dyDescent="0.25">
      <c r="A4140" t="s">
        <v>290</v>
      </c>
      <c r="F4140">
        <v>1</v>
      </c>
      <c r="G4140">
        <v>1</v>
      </c>
    </row>
    <row r="4141" spans="1:7" x14ac:dyDescent="0.25">
      <c r="A4141" t="s">
        <v>291</v>
      </c>
      <c r="F4141">
        <v>1</v>
      </c>
      <c r="G4141">
        <v>1</v>
      </c>
    </row>
    <row r="4142" spans="1:7" x14ac:dyDescent="0.25">
      <c r="A4142" t="s">
        <v>493</v>
      </c>
      <c r="F4142">
        <v>1</v>
      </c>
      <c r="G4142">
        <v>1</v>
      </c>
    </row>
    <row r="4143" spans="1:7" x14ac:dyDescent="0.25">
      <c r="A4143" t="s">
        <v>1525</v>
      </c>
      <c r="F4143">
        <v>3</v>
      </c>
      <c r="G4143">
        <v>3</v>
      </c>
    </row>
    <row r="4144" spans="1:7" x14ac:dyDescent="0.25">
      <c r="A4144" t="s">
        <v>377</v>
      </c>
      <c r="F4144">
        <v>1</v>
      </c>
      <c r="G4144">
        <v>1</v>
      </c>
    </row>
    <row r="4145" spans="1:7" x14ac:dyDescent="0.25">
      <c r="A4145" t="s">
        <v>288</v>
      </c>
      <c r="F4145">
        <v>1</v>
      </c>
      <c r="G4145">
        <v>1</v>
      </c>
    </row>
    <row r="4146" spans="1:7" x14ac:dyDescent="0.25">
      <c r="A4146" t="s">
        <v>493</v>
      </c>
      <c r="F4146">
        <v>1</v>
      </c>
      <c r="G4146">
        <v>1</v>
      </c>
    </row>
    <row r="4147" spans="1:7" x14ac:dyDescent="0.25">
      <c r="A4147" t="s">
        <v>1526</v>
      </c>
      <c r="F4147">
        <v>2</v>
      </c>
      <c r="G4147">
        <v>2</v>
      </c>
    </row>
    <row r="4148" spans="1:7" x14ac:dyDescent="0.25">
      <c r="A4148" t="s">
        <v>288</v>
      </c>
      <c r="F4148">
        <v>1</v>
      </c>
      <c r="G4148">
        <v>1</v>
      </c>
    </row>
    <row r="4149" spans="1:7" x14ac:dyDescent="0.25">
      <c r="A4149" t="s">
        <v>380</v>
      </c>
      <c r="F4149">
        <v>1</v>
      </c>
      <c r="G4149">
        <v>1</v>
      </c>
    </row>
    <row r="4150" spans="1:7" x14ac:dyDescent="0.25">
      <c r="A4150" t="s">
        <v>1527</v>
      </c>
      <c r="F4150">
        <v>2</v>
      </c>
      <c r="G4150">
        <v>2</v>
      </c>
    </row>
    <row r="4151" spans="1:7" x14ac:dyDescent="0.25">
      <c r="A4151" t="s">
        <v>290</v>
      </c>
      <c r="F4151">
        <v>1</v>
      </c>
      <c r="G4151">
        <v>1</v>
      </c>
    </row>
    <row r="4152" spans="1:7" x14ac:dyDescent="0.25">
      <c r="A4152" t="s">
        <v>493</v>
      </c>
      <c r="F4152">
        <v>1</v>
      </c>
      <c r="G4152">
        <v>1</v>
      </c>
    </row>
    <row r="4153" spans="1:7" x14ac:dyDescent="0.25">
      <c r="A4153" t="s">
        <v>1528</v>
      </c>
      <c r="F4153">
        <v>5</v>
      </c>
      <c r="G4153">
        <v>5</v>
      </c>
    </row>
    <row r="4154" spans="1:7" x14ac:dyDescent="0.25">
      <c r="A4154" t="s">
        <v>377</v>
      </c>
      <c r="F4154">
        <v>1</v>
      </c>
      <c r="G4154">
        <v>1</v>
      </c>
    </row>
    <row r="4155" spans="1:7" x14ac:dyDescent="0.25">
      <c r="A4155" t="s">
        <v>289</v>
      </c>
      <c r="F4155">
        <v>1</v>
      </c>
      <c r="G4155">
        <v>1</v>
      </c>
    </row>
    <row r="4156" spans="1:7" x14ac:dyDescent="0.25">
      <c r="A4156" t="s">
        <v>290</v>
      </c>
      <c r="F4156">
        <v>1</v>
      </c>
      <c r="G4156">
        <v>1</v>
      </c>
    </row>
    <row r="4157" spans="1:7" x14ac:dyDescent="0.25">
      <c r="A4157" t="s">
        <v>291</v>
      </c>
      <c r="F4157">
        <v>1</v>
      </c>
      <c r="G4157">
        <v>1</v>
      </c>
    </row>
    <row r="4158" spans="1:7" x14ac:dyDescent="0.25">
      <c r="A4158" t="s">
        <v>493</v>
      </c>
      <c r="F4158">
        <v>1</v>
      </c>
      <c r="G4158">
        <v>1</v>
      </c>
    </row>
    <row r="4159" spans="1:7" x14ac:dyDescent="0.25">
      <c r="A4159" t="s">
        <v>1529</v>
      </c>
      <c r="F4159">
        <v>2</v>
      </c>
      <c r="G4159">
        <v>2</v>
      </c>
    </row>
    <row r="4160" spans="1:7" x14ac:dyDescent="0.25">
      <c r="A4160" t="s">
        <v>288</v>
      </c>
      <c r="F4160">
        <v>1</v>
      </c>
      <c r="G4160">
        <v>1</v>
      </c>
    </row>
    <row r="4161" spans="1:7" x14ac:dyDescent="0.25">
      <c r="A4161" t="s">
        <v>380</v>
      </c>
      <c r="F4161">
        <v>1</v>
      </c>
      <c r="G4161">
        <v>1</v>
      </c>
    </row>
    <row r="4162" spans="1:7" x14ac:dyDescent="0.25">
      <c r="A4162" t="s">
        <v>1530</v>
      </c>
      <c r="F4162">
        <v>5</v>
      </c>
      <c r="G4162">
        <v>5</v>
      </c>
    </row>
    <row r="4163" spans="1:7" x14ac:dyDescent="0.25">
      <c r="A4163" t="s">
        <v>377</v>
      </c>
      <c r="F4163">
        <v>1</v>
      </c>
      <c r="G4163">
        <v>1</v>
      </c>
    </row>
    <row r="4164" spans="1:7" x14ac:dyDescent="0.25">
      <c r="A4164" t="s">
        <v>289</v>
      </c>
      <c r="F4164">
        <v>1</v>
      </c>
      <c r="G4164">
        <v>1</v>
      </c>
    </row>
    <row r="4165" spans="1:7" x14ac:dyDescent="0.25">
      <c r="A4165" t="s">
        <v>290</v>
      </c>
      <c r="F4165">
        <v>1</v>
      </c>
      <c r="G4165">
        <v>1</v>
      </c>
    </row>
    <row r="4166" spans="1:7" x14ac:dyDescent="0.25">
      <c r="A4166" t="s">
        <v>291</v>
      </c>
      <c r="F4166">
        <v>1</v>
      </c>
      <c r="G4166">
        <v>1</v>
      </c>
    </row>
    <row r="4167" spans="1:7" x14ac:dyDescent="0.25">
      <c r="A4167" t="s">
        <v>493</v>
      </c>
      <c r="F4167">
        <v>1</v>
      </c>
      <c r="G4167">
        <v>1</v>
      </c>
    </row>
    <row r="4168" spans="1:7" x14ac:dyDescent="0.25">
      <c r="A4168" t="s">
        <v>1531</v>
      </c>
      <c r="F4168">
        <v>5</v>
      </c>
      <c r="G4168">
        <v>5</v>
      </c>
    </row>
    <row r="4169" spans="1:7" x14ac:dyDescent="0.25">
      <c r="A4169" t="s">
        <v>377</v>
      </c>
      <c r="F4169">
        <v>1</v>
      </c>
      <c r="G4169">
        <v>1</v>
      </c>
    </row>
    <row r="4170" spans="1:7" x14ac:dyDescent="0.25">
      <c r="A4170" t="s">
        <v>289</v>
      </c>
      <c r="F4170">
        <v>1</v>
      </c>
      <c r="G4170">
        <v>1</v>
      </c>
    </row>
    <row r="4171" spans="1:7" x14ac:dyDescent="0.25">
      <c r="A4171" t="s">
        <v>290</v>
      </c>
      <c r="F4171">
        <v>1</v>
      </c>
      <c r="G4171">
        <v>1</v>
      </c>
    </row>
    <row r="4172" spans="1:7" x14ac:dyDescent="0.25">
      <c r="A4172" t="s">
        <v>291</v>
      </c>
      <c r="F4172">
        <v>1</v>
      </c>
      <c r="G4172">
        <v>1</v>
      </c>
    </row>
    <row r="4173" spans="1:7" x14ac:dyDescent="0.25">
      <c r="A4173" t="s">
        <v>493</v>
      </c>
      <c r="F4173">
        <v>1</v>
      </c>
      <c r="G4173">
        <v>1</v>
      </c>
    </row>
    <row r="4174" spans="1:7" x14ac:dyDescent="0.25">
      <c r="A4174" t="s">
        <v>1532</v>
      </c>
      <c r="F4174">
        <v>4</v>
      </c>
      <c r="G4174">
        <v>4</v>
      </c>
    </row>
    <row r="4175" spans="1:7" x14ac:dyDescent="0.25">
      <c r="A4175" t="s">
        <v>377</v>
      </c>
      <c r="F4175">
        <v>1</v>
      </c>
      <c r="G4175">
        <v>1</v>
      </c>
    </row>
    <row r="4176" spans="1:7" x14ac:dyDescent="0.25">
      <c r="A4176" t="s">
        <v>290</v>
      </c>
      <c r="F4176">
        <v>1</v>
      </c>
      <c r="G4176">
        <v>1</v>
      </c>
    </row>
    <row r="4177" spans="1:7" x14ac:dyDescent="0.25">
      <c r="A4177" t="s">
        <v>291</v>
      </c>
      <c r="F4177">
        <v>1</v>
      </c>
      <c r="G4177">
        <v>1</v>
      </c>
    </row>
    <row r="4178" spans="1:7" x14ac:dyDescent="0.25">
      <c r="A4178" t="s">
        <v>493</v>
      </c>
      <c r="F4178">
        <v>1</v>
      </c>
      <c r="G4178">
        <v>1</v>
      </c>
    </row>
    <row r="4179" spans="1:7" x14ac:dyDescent="0.25">
      <c r="A4179" t="s">
        <v>1533</v>
      </c>
      <c r="F4179">
        <v>5</v>
      </c>
      <c r="G4179">
        <v>5</v>
      </c>
    </row>
    <row r="4180" spans="1:7" x14ac:dyDescent="0.25">
      <c r="A4180" t="s">
        <v>377</v>
      </c>
      <c r="F4180">
        <v>1</v>
      </c>
      <c r="G4180">
        <v>1</v>
      </c>
    </row>
    <row r="4181" spans="1:7" x14ac:dyDescent="0.25">
      <c r="A4181" t="s">
        <v>289</v>
      </c>
      <c r="F4181">
        <v>1</v>
      </c>
      <c r="G4181">
        <v>1</v>
      </c>
    </row>
    <row r="4182" spans="1:7" x14ac:dyDescent="0.25">
      <c r="A4182" t="s">
        <v>290</v>
      </c>
      <c r="F4182">
        <v>1</v>
      </c>
      <c r="G4182">
        <v>1</v>
      </c>
    </row>
    <row r="4183" spans="1:7" x14ac:dyDescent="0.25">
      <c r="A4183" t="s">
        <v>291</v>
      </c>
      <c r="F4183">
        <v>1</v>
      </c>
      <c r="G4183">
        <v>1</v>
      </c>
    </row>
    <row r="4184" spans="1:7" x14ac:dyDescent="0.25">
      <c r="A4184" t="s">
        <v>493</v>
      </c>
      <c r="F4184">
        <v>1</v>
      </c>
      <c r="G4184">
        <v>1</v>
      </c>
    </row>
    <row r="4185" spans="1:7" x14ac:dyDescent="0.25">
      <c r="A4185" t="s">
        <v>346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1534</v>
      </c>
      <c r="B1" t="s">
        <v>1535</v>
      </c>
      <c r="D1" t="s">
        <v>1536</v>
      </c>
      <c r="L1" t="s">
        <v>1537</v>
      </c>
    </row>
    <row r="2" ht="26.25" customHeight="1" spans="1:6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</row>
    <row r="3" ht="26.25" customHeight="1" spans="1:4" x14ac:dyDescent="0.25">
      <c r="A3" t="s">
        <v>1544</v>
      </c>
      <c r="B3" t="s">
        <v>1535</v>
      </c>
      <c r="D3" t="s">
        <v>1536</v>
      </c>
    </row>
    <row r="4" ht="16.5" customHeight="1" spans="1:1" x14ac:dyDescent="0.25">
      <c r="A4" t="s">
        <v>1545</v>
      </c>
    </row>
    <row r="5" ht="16.5" customHeight="1" spans="20:26" x14ac:dyDescent="0.25">
      <c r="T5" t="s">
        <v>346</v>
      </c>
      <c r="U5" t="s">
        <v>346</v>
      </c>
      <c r="V5" t="s">
        <v>346</v>
      </c>
      <c r="W5" t="s">
        <v>346</v>
      </c>
      <c r="X5" t="s">
        <v>346</v>
      </c>
      <c r="Y5" t="s">
        <v>346</v>
      </c>
      <c r="Z5" t="s">
        <v>346</v>
      </c>
    </row>
    <row r="6" spans="1:26" x14ac:dyDescent="0.25">
      <c r="A6" s="12" t="s">
        <v>221</v>
      </c>
      <c r="B6" s="12" t="s">
        <v>1546</v>
      </c>
      <c r="C6" s="12" t="s">
        <v>1547</v>
      </c>
      <c r="D6" s="12" t="s">
        <v>1548</v>
      </c>
      <c r="E6" s="12" t="s">
        <v>1549</v>
      </c>
      <c r="F6" s="12" t="s">
        <v>277</v>
      </c>
      <c r="G6" s="12" t="s">
        <v>336</v>
      </c>
      <c r="H6" s="12" t="s">
        <v>1550</v>
      </c>
      <c r="I6" s="12" t="s">
        <v>67</v>
      </c>
      <c r="J6" s="12" t="s">
        <v>1551</v>
      </c>
      <c r="K6" s="12" t="s">
        <v>1552</v>
      </c>
      <c r="L6" s="12" t="s">
        <v>1553</v>
      </c>
      <c r="M6" s="12" t="s">
        <v>1554</v>
      </c>
      <c r="N6" s="12" t="s">
        <v>1555</v>
      </c>
      <c r="O6" s="12" t="s">
        <v>1556</v>
      </c>
      <c r="P6" s="12" t="s">
        <v>1557</v>
      </c>
      <c r="Q6" s="12" t="s">
        <v>1558</v>
      </c>
      <c r="R6" s="12" t="s">
        <v>1559</v>
      </c>
      <c r="S6" s="12" t="s">
        <v>1560</v>
      </c>
      <c r="T6" s="12" t="s">
        <v>1561</v>
      </c>
      <c r="U6" s="12" t="s">
        <v>1562</v>
      </c>
      <c r="V6" s="12" t="s">
        <v>194</v>
      </c>
      <c r="W6" s="12" t="s">
        <v>1563</v>
      </c>
      <c r="X6" s="12" t="s">
        <v>1564</v>
      </c>
      <c r="Y6" s="12" t="s">
        <v>1565</v>
      </c>
      <c r="Z6" s="12" t="s">
        <v>1565</v>
      </c>
    </row>
    <row r="7" spans="1:26" x14ac:dyDescent="0.25">
      <c r="A7" t="s">
        <v>1566</v>
      </c>
      <c r="B7" s="13">
        <v>46254</v>
      </c>
      <c r="C7" t="s">
        <v>1567</v>
      </c>
      <c r="D7" s="13">
        <v>46254</v>
      </c>
      <c r="E7" t="s">
        <v>1568</v>
      </c>
      <c r="F7" t="s">
        <v>1569</v>
      </c>
      <c r="G7" t="s">
        <v>1570</v>
      </c>
      <c r="H7" t="s">
        <v>1571</v>
      </c>
      <c r="I7" t="s">
        <v>1572</v>
      </c>
      <c r="J7" t="s">
        <v>255</v>
      </c>
      <c r="K7" t="s">
        <v>1573</v>
      </c>
      <c r="L7" t="s">
        <v>1574</v>
      </c>
      <c r="M7" t="s">
        <v>1575</v>
      </c>
      <c r="N7" t="s">
        <v>1576</v>
      </c>
      <c r="O7" t="s">
        <v>1577</v>
      </c>
      <c r="P7" t="s">
        <v>1578</v>
      </c>
      <c r="Q7" t="s">
        <v>1579</v>
      </c>
      <c r="R7" t="s">
        <v>1580</v>
      </c>
      <c r="S7">
        <v>1</v>
      </c>
      <c r="T7">
        <v>14500</v>
      </c>
      <c r="U7">
        <v>14500</v>
      </c>
      <c r="V7">
        <v>7975</v>
      </c>
      <c r="W7">
        <v>6525</v>
      </c>
      <c r="X7">
        <v>0</v>
      </c>
      <c r="Y7">
        <v>6525</v>
      </c>
      <c r="Z7">
        <v>0.45</v>
      </c>
    </row>
    <row r="8" spans="1:26" x14ac:dyDescent="0.25">
      <c r="A8" t="s">
        <v>1566</v>
      </c>
      <c r="B8" s="13">
        <v>46255</v>
      </c>
      <c r="C8" t="s">
        <v>1581</v>
      </c>
      <c r="D8" s="13">
        <v>46255</v>
      </c>
      <c r="E8" t="s">
        <v>1582</v>
      </c>
      <c r="F8" t="s">
        <v>1583</v>
      </c>
      <c r="G8" t="s">
        <v>1584</v>
      </c>
      <c r="H8" t="s">
        <v>1571</v>
      </c>
      <c r="I8" t="s">
        <v>1572</v>
      </c>
      <c r="J8" t="s">
        <v>255</v>
      </c>
      <c r="K8" t="s">
        <v>1573</v>
      </c>
      <c r="L8" t="s">
        <v>1585</v>
      </c>
      <c r="M8" t="s">
        <v>1575</v>
      </c>
      <c r="N8" t="s">
        <v>1576</v>
      </c>
      <c r="O8" t="s">
        <v>1577</v>
      </c>
      <c r="P8" t="s">
        <v>1578</v>
      </c>
      <c r="Q8" t="s">
        <v>1579</v>
      </c>
      <c r="R8" t="s">
        <v>1580</v>
      </c>
      <c r="S8">
        <v>1</v>
      </c>
      <c r="T8">
        <v>8900.5</v>
      </c>
      <c r="U8">
        <v>8900.5</v>
      </c>
      <c r="V8">
        <v>4895.28</v>
      </c>
      <c r="W8">
        <v>4005.22</v>
      </c>
      <c r="X8">
        <v>0</v>
      </c>
      <c r="Y8">
        <v>4005.22</v>
      </c>
      <c r="Z8">
        <v>0.45</v>
      </c>
    </row>
    <row r="9" spans="1:26" x14ac:dyDescent="0.25">
      <c r="A9" t="s">
        <v>1566</v>
      </c>
      <c r="B9" s="13">
        <v>46256</v>
      </c>
      <c r="C9" t="s">
        <v>1586</v>
      </c>
      <c r="D9" s="13">
        <v>46256</v>
      </c>
      <c r="E9" t="s">
        <v>1587</v>
      </c>
      <c r="F9" t="s">
        <v>1588</v>
      </c>
      <c r="G9" t="s">
        <v>1589</v>
      </c>
      <c r="H9" t="s">
        <v>1571</v>
      </c>
      <c r="I9" t="s">
        <v>1572</v>
      </c>
      <c r="J9" t="s">
        <v>255</v>
      </c>
      <c r="K9" t="s">
        <v>1573</v>
      </c>
      <c r="L9" t="s">
        <v>1590</v>
      </c>
      <c r="M9" t="s">
        <v>1591</v>
      </c>
      <c r="N9" t="s">
        <v>1576</v>
      </c>
      <c r="O9" t="s">
        <v>1577</v>
      </c>
      <c r="P9" t="s">
        <v>1578</v>
      </c>
      <c r="Q9" t="s">
        <v>1579</v>
      </c>
      <c r="R9" t="s">
        <v>1580</v>
      </c>
      <c r="S9">
        <v>1</v>
      </c>
      <c r="T9">
        <v>3200</v>
      </c>
      <c r="U9">
        <v>3200</v>
      </c>
      <c r="V9">
        <v>1760</v>
      </c>
      <c r="W9">
        <v>1440</v>
      </c>
      <c r="X9">
        <v>0</v>
      </c>
      <c r="Y9">
        <v>1440</v>
      </c>
      <c r="Z9">
        <v>0.45</v>
      </c>
    </row>
    <row r="10" spans="1:26" x14ac:dyDescent="0.25">
      <c r="A10" t="s">
        <v>1566</v>
      </c>
      <c r="B10" s="13">
        <v>46257</v>
      </c>
      <c r="C10" t="s">
        <v>1592</v>
      </c>
      <c r="D10" s="13">
        <v>46257</v>
      </c>
      <c r="E10" t="s">
        <v>1593</v>
      </c>
      <c r="F10" t="s">
        <v>1594</v>
      </c>
      <c r="G10" t="s">
        <v>1595</v>
      </c>
      <c r="H10" t="s">
        <v>1571</v>
      </c>
      <c r="I10" t="s">
        <v>1572</v>
      </c>
      <c r="J10" t="s">
        <v>255</v>
      </c>
      <c r="K10" t="s">
        <v>1573</v>
      </c>
      <c r="L10" t="s">
        <v>1596</v>
      </c>
      <c r="M10" t="s">
        <v>1575</v>
      </c>
      <c r="N10" t="s">
        <v>1576</v>
      </c>
      <c r="O10" t="s">
        <v>1577</v>
      </c>
      <c r="P10" t="s">
        <v>1578</v>
      </c>
      <c r="Q10" t="s">
        <v>1579</v>
      </c>
      <c r="R10" t="s">
        <v>1580</v>
      </c>
      <c r="S10">
        <v>1</v>
      </c>
      <c r="T10">
        <v>27400.75</v>
      </c>
      <c r="U10">
        <v>27400.75</v>
      </c>
      <c r="V10">
        <v>15070.41</v>
      </c>
      <c r="W10">
        <v>12330.34</v>
      </c>
      <c r="X10">
        <v>0</v>
      </c>
      <c r="Y10">
        <v>12330.34</v>
      </c>
      <c r="Z10">
        <v>0.45</v>
      </c>
    </row>
    <row r="11" spans="1:26" x14ac:dyDescent="0.25">
      <c r="A11" t="s">
        <v>1566</v>
      </c>
      <c r="B11" s="13">
        <v>46258</v>
      </c>
      <c r="C11" t="s">
        <v>1597</v>
      </c>
      <c r="D11" s="13">
        <v>46258</v>
      </c>
      <c r="E11" t="s">
        <v>1598</v>
      </c>
      <c r="F11" t="s">
        <v>1599</v>
      </c>
      <c r="G11" t="s">
        <v>1600</v>
      </c>
      <c r="H11" t="s">
        <v>1571</v>
      </c>
      <c r="I11" t="s">
        <v>1572</v>
      </c>
      <c r="J11" t="s">
        <v>255</v>
      </c>
      <c r="K11" t="s">
        <v>1573</v>
      </c>
      <c r="L11" t="s">
        <v>1601</v>
      </c>
      <c r="M11" t="s">
        <v>1602</v>
      </c>
      <c r="N11" t="s">
        <v>1576</v>
      </c>
      <c r="O11" t="s">
        <v>1577</v>
      </c>
      <c r="P11" t="s">
        <v>1578</v>
      </c>
      <c r="Q11" t="s">
        <v>1579</v>
      </c>
      <c r="R11" t="s">
        <v>1580</v>
      </c>
      <c r="S11">
        <v>1</v>
      </c>
      <c r="T11">
        <v>11250</v>
      </c>
      <c r="U11">
        <v>11250</v>
      </c>
      <c r="V11">
        <v>6187.5</v>
      </c>
      <c r="W11">
        <v>5062.5</v>
      </c>
      <c r="X11">
        <v>0</v>
      </c>
      <c r="Y11">
        <v>5062.5</v>
      </c>
      <c r="Z11">
        <v>0.45</v>
      </c>
    </row>
    <row r="12" spans="1:26" x14ac:dyDescent="0.25">
      <c r="A12" t="s">
        <v>1566</v>
      </c>
      <c r="B12" s="13">
        <v>46250</v>
      </c>
      <c r="C12" t="s">
        <v>1603</v>
      </c>
      <c r="D12" s="13">
        <v>46250</v>
      </c>
      <c r="E12" t="s">
        <v>1604</v>
      </c>
      <c r="F12" t="s">
        <v>1605</v>
      </c>
      <c r="G12" t="s">
        <v>1606</v>
      </c>
      <c r="H12" t="s">
        <v>1571</v>
      </c>
      <c r="I12" t="s">
        <v>1572</v>
      </c>
      <c r="J12" t="s">
        <v>255</v>
      </c>
      <c r="K12" t="s">
        <v>1573</v>
      </c>
      <c r="L12" t="s">
        <v>1607</v>
      </c>
      <c r="M12" t="s">
        <v>1608</v>
      </c>
      <c r="N12" t="s">
        <v>1576</v>
      </c>
      <c r="O12" t="s">
        <v>1577</v>
      </c>
      <c r="P12" t="s">
        <v>1578</v>
      </c>
      <c r="Q12" t="s">
        <v>1579</v>
      </c>
      <c r="R12" t="s">
        <v>1580</v>
      </c>
      <c r="S12">
        <v>1</v>
      </c>
      <c r="T12">
        <v>NaN</v>
      </c>
      <c r="U12">
        <v>NaN</v>
      </c>
      <c r="V12">
        <v>NaN</v>
      </c>
      <c r="W12">
        <v>NaN</v>
      </c>
      <c r="X12">
        <v>0</v>
      </c>
      <c r="Y12">
        <v>NaN</v>
      </c>
      <c r="Z12">
        <v>0</v>
      </c>
    </row>
    <row r="13" spans="1:26" x14ac:dyDescent="0.25">
      <c r="A13" t="s">
        <v>1566</v>
      </c>
      <c r="B13" s="13">
        <v>46251</v>
      </c>
      <c r="C13" t="s">
        <v>1603</v>
      </c>
      <c r="D13" s="13">
        <v>46251</v>
      </c>
      <c r="E13" t="s">
        <v>1604</v>
      </c>
      <c r="F13" t="s">
        <v>1605</v>
      </c>
      <c r="G13" t="s">
        <v>1606</v>
      </c>
      <c r="H13" t="s">
        <v>1571</v>
      </c>
      <c r="I13" t="s">
        <v>1572</v>
      </c>
      <c r="J13" t="s">
        <v>255</v>
      </c>
      <c r="K13" t="s">
        <v>1573</v>
      </c>
      <c r="L13" t="s">
        <v>1609</v>
      </c>
      <c r="M13" t="s">
        <v>1610</v>
      </c>
      <c r="N13" t="s">
        <v>1576</v>
      </c>
      <c r="O13" t="s">
        <v>1577</v>
      </c>
      <c r="P13" t="s">
        <v>1578</v>
      </c>
      <c r="Q13" t="s">
        <v>1579</v>
      </c>
      <c r="R13" t="s">
        <v>1580</v>
      </c>
      <c r="S13">
        <v>1</v>
      </c>
      <c r="T13">
        <v>NaN</v>
      </c>
      <c r="U13">
        <v>NaN</v>
      </c>
      <c r="V13">
        <v>NaN</v>
      </c>
      <c r="W13">
        <v>NaN</v>
      </c>
      <c r="X13">
        <v>0</v>
      </c>
      <c r="Y13">
        <v>NaN</v>
      </c>
      <c r="Z13">
        <v>0</v>
      </c>
    </row>
    <row r="14" spans="1:26" x14ac:dyDescent="0.25">
      <c r="A14" t="s">
        <v>1566</v>
      </c>
      <c r="B14" s="13">
        <v>46252</v>
      </c>
      <c r="C14" t="s">
        <v>1603</v>
      </c>
      <c r="D14" s="13">
        <v>46252</v>
      </c>
      <c r="E14" t="s">
        <v>1604</v>
      </c>
      <c r="F14" t="s">
        <v>1605</v>
      </c>
      <c r="G14" t="s">
        <v>1606</v>
      </c>
      <c r="H14" t="s">
        <v>1571</v>
      </c>
      <c r="I14" t="s">
        <v>1572</v>
      </c>
      <c r="J14" t="s">
        <v>255</v>
      </c>
      <c r="K14" t="s">
        <v>1573</v>
      </c>
      <c r="L14" t="s">
        <v>1611</v>
      </c>
      <c r="M14" t="s">
        <v>1612</v>
      </c>
      <c r="N14" t="s">
        <v>1576</v>
      </c>
      <c r="O14" t="s">
        <v>1577</v>
      </c>
      <c r="P14" t="s">
        <v>1578</v>
      </c>
      <c r="Q14" t="s">
        <v>1579</v>
      </c>
      <c r="R14" t="s">
        <v>1580</v>
      </c>
      <c r="S14">
        <v>1</v>
      </c>
      <c r="T14">
        <v>NaN</v>
      </c>
      <c r="U14">
        <v>NaN</v>
      </c>
      <c r="V14">
        <v>NaN</v>
      </c>
      <c r="W14">
        <v>NaN</v>
      </c>
      <c r="X14">
        <v>0</v>
      </c>
      <c r="Y14">
        <v>NaN</v>
      </c>
      <c r="Z14">
        <v>0</v>
      </c>
    </row>
    <row r="15" spans="1:26" x14ac:dyDescent="0.25">
      <c r="A15" t="s">
        <v>1566</v>
      </c>
      <c r="B15" s="13">
        <v>46253</v>
      </c>
      <c r="C15" t="s">
        <v>1603</v>
      </c>
      <c r="D15" s="13">
        <v>46253</v>
      </c>
      <c r="E15" t="s">
        <v>1604</v>
      </c>
      <c r="F15" t="s">
        <v>1605</v>
      </c>
      <c r="G15" t="s">
        <v>1606</v>
      </c>
      <c r="H15" t="s">
        <v>1571</v>
      </c>
      <c r="I15" t="s">
        <v>1572</v>
      </c>
      <c r="J15" t="s">
        <v>255</v>
      </c>
      <c r="K15" t="s">
        <v>1573</v>
      </c>
      <c r="L15" t="s">
        <v>1613</v>
      </c>
      <c r="M15" t="s">
        <v>1614</v>
      </c>
      <c r="N15" t="s">
        <v>1576</v>
      </c>
      <c r="O15" t="s">
        <v>1577</v>
      </c>
      <c r="P15" t="s">
        <v>1578</v>
      </c>
      <c r="Q15" t="s">
        <v>1579</v>
      </c>
      <c r="R15" t="s">
        <v>1580</v>
      </c>
      <c r="S15">
        <v>1</v>
      </c>
      <c r="T15">
        <v>NaN</v>
      </c>
      <c r="U15">
        <v>NaN</v>
      </c>
      <c r="V15">
        <v>NaN</v>
      </c>
      <c r="W15">
        <v>NaN</v>
      </c>
      <c r="X15">
        <v>0</v>
      </c>
      <c r="Y15">
        <v>NaN</v>
      </c>
      <c r="Z15">
        <v>0</v>
      </c>
    </row>
    <row r="16" spans="1:26" x14ac:dyDescent="0.25">
      <c r="A16" t="s">
        <v>1566</v>
      </c>
      <c r="B16" s="13">
        <v>46254</v>
      </c>
      <c r="C16" t="s">
        <v>1603</v>
      </c>
      <c r="D16" s="13">
        <v>46254</v>
      </c>
      <c r="E16" t="s">
        <v>1604</v>
      </c>
      <c r="F16" t="s">
        <v>1605</v>
      </c>
      <c r="G16" t="s">
        <v>1606</v>
      </c>
      <c r="H16" t="s">
        <v>1571</v>
      </c>
      <c r="I16" t="s">
        <v>1572</v>
      </c>
      <c r="J16" t="s">
        <v>255</v>
      </c>
      <c r="K16" t="s">
        <v>1573</v>
      </c>
      <c r="L16" t="s">
        <v>1615</v>
      </c>
      <c r="M16" t="s">
        <v>1616</v>
      </c>
      <c r="N16" t="s">
        <v>1576</v>
      </c>
      <c r="O16" t="s">
        <v>1577</v>
      </c>
      <c r="P16" t="s">
        <v>1578</v>
      </c>
      <c r="Q16" t="s">
        <v>1579</v>
      </c>
      <c r="R16" t="s">
        <v>1580</v>
      </c>
      <c r="S16">
        <v>1</v>
      </c>
      <c r="T16">
        <v>NaN</v>
      </c>
      <c r="U16">
        <v>NaN</v>
      </c>
      <c r="V16">
        <v>NaN</v>
      </c>
      <c r="W16">
        <v>NaN</v>
      </c>
      <c r="X16">
        <v>0</v>
      </c>
      <c r="Y16">
        <v>NaN</v>
      </c>
      <c r="Z16">
        <v>0</v>
      </c>
    </row>
    <row r="17" spans="1:26" x14ac:dyDescent="0.25">
      <c r="A17" t="s">
        <v>1566</v>
      </c>
      <c r="B17" s="13">
        <v>46255</v>
      </c>
      <c r="C17" t="s">
        <v>312</v>
      </c>
      <c r="D17" s="13">
        <v>46255</v>
      </c>
      <c r="E17" t="s">
        <v>1617</v>
      </c>
      <c r="F17" t="s">
        <v>1605</v>
      </c>
      <c r="G17" t="s">
        <v>1618</v>
      </c>
      <c r="H17" t="s">
        <v>1571</v>
      </c>
      <c r="I17" t="s">
        <v>1572</v>
      </c>
      <c r="J17" t="s">
        <v>255</v>
      </c>
      <c r="K17" t="s">
        <v>1573</v>
      </c>
      <c r="L17" t="s">
        <v>1619</v>
      </c>
      <c r="M17" t="s">
        <v>1620</v>
      </c>
      <c r="N17" t="s">
        <v>1576</v>
      </c>
      <c r="O17" t="s">
        <v>1577</v>
      </c>
      <c r="P17" t="s">
        <v>1578</v>
      </c>
      <c r="Q17" t="s">
        <v>1579</v>
      </c>
      <c r="R17" t="s">
        <v>1580</v>
      </c>
      <c r="S17">
        <v>1</v>
      </c>
      <c r="T17">
        <v>NaN</v>
      </c>
      <c r="U17">
        <v>NaN</v>
      </c>
      <c r="V17">
        <v>NaN</v>
      </c>
      <c r="W17">
        <v>NaN</v>
      </c>
      <c r="X17">
        <v>0</v>
      </c>
      <c r="Y17">
        <v>NaN</v>
      </c>
      <c r="Z17">
        <v>0</v>
      </c>
    </row>
    <row r="18" spans="1:26" x14ac:dyDescent="0.25">
      <c r="A18" t="s">
        <v>1566</v>
      </c>
      <c r="B18" s="13">
        <v>46256</v>
      </c>
      <c r="C18" t="s">
        <v>312</v>
      </c>
      <c r="D18" s="13">
        <v>46256</v>
      </c>
      <c r="E18" t="s">
        <v>1617</v>
      </c>
      <c r="F18" t="s">
        <v>1605</v>
      </c>
      <c r="G18" t="s">
        <v>1618</v>
      </c>
      <c r="H18" t="s">
        <v>1571</v>
      </c>
      <c r="I18" t="s">
        <v>1572</v>
      </c>
      <c r="J18" t="s">
        <v>255</v>
      </c>
      <c r="K18" t="s">
        <v>1573</v>
      </c>
      <c r="L18" t="s">
        <v>1621</v>
      </c>
      <c r="M18" t="s">
        <v>1622</v>
      </c>
      <c r="N18" t="s">
        <v>1576</v>
      </c>
      <c r="O18" t="s">
        <v>1577</v>
      </c>
      <c r="P18" t="s">
        <v>1578</v>
      </c>
      <c r="Q18" t="s">
        <v>1579</v>
      </c>
      <c r="R18" t="s">
        <v>1580</v>
      </c>
      <c r="S18">
        <v>1</v>
      </c>
      <c r="T18">
        <v>NaN</v>
      </c>
      <c r="U18">
        <v>NaN</v>
      </c>
      <c r="V18">
        <v>NaN</v>
      </c>
      <c r="W18">
        <v>NaN</v>
      </c>
      <c r="X18">
        <v>0</v>
      </c>
      <c r="Y18">
        <v>NaN</v>
      </c>
      <c r="Z18">
        <v>0</v>
      </c>
    </row>
    <row r="19" spans="1:26" x14ac:dyDescent="0.25">
      <c r="A19" t="s">
        <v>1566</v>
      </c>
      <c r="B19" s="13">
        <v>46257</v>
      </c>
      <c r="C19" t="s">
        <v>312</v>
      </c>
      <c r="D19" s="13">
        <v>46257</v>
      </c>
      <c r="E19" t="s">
        <v>1617</v>
      </c>
      <c r="F19" t="s">
        <v>1605</v>
      </c>
      <c r="G19" t="s">
        <v>1618</v>
      </c>
      <c r="H19" t="s">
        <v>1571</v>
      </c>
      <c r="I19" t="s">
        <v>1572</v>
      </c>
      <c r="J19" t="s">
        <v>255</v>
      </c>
      <c r="K19" t="s">
        <v>1573</v>
      </c>
      <c r="L19" t="s">
        <v>1623</v>
      </c>
      <c r="M19" t="s">
        <v>1624</v>
      </c>
      <c r="N19" t="s">
        <v>1576</v>
      </c>
      <c r="O19" t="s">
        <v>1577</v>
      </c>
      <c r="P19" t="s">
        <v>1578</v>
      </c>
      <c r="Q19" t="s">
        <v>1579</v>
      </c>
      <c r="R19" t="s">
        <v>1580</v>
      </c>
      <c r="S19">
        <v>1</v>
      </c>
      <c r="T19">
        <v>NaN</v>
      </c>
      <c r="U19">
        <v>NaN</v>
      </c>
      <c r="V19">
        <v>NaN</v>
      </c>
      <c r="W19">
        <v>NaN</v>
      </c>
      <c r="X19">
        <v>0</v>
      </c>
      <c r="Y19">
        <v>NaN</v>
      </c>
      <c r="Z19">
        <v>0</v>
      </c>
    </row>
    <row r="20" spans="1:26" x14ac:dyDescent="0.25">
      <c r="A20" t="s">
        <v>1566</v>
      </c>
      <c r="B20" s="13">
        <v>46258</v>
      </c>
      <c r="C20" t="s">
        <v>312</v>
      </c>
      <c r="D20" s="13">
        <v>46258</v>
      </c>
      <c r="E20" t="s">
        <v>1617</v>
      </c>
      <c r="F20" t="s">
        <v>1605</v>
      </c>
      <c r="G20" t="s">
        <v>1618</v>
      </c>
      <c r="H20" t="s">
        <v>1571</v>
      </c>
      <c r="I20" t="s">
        <v>1572</v>
      </c>
      <c r="J20" t="s">
        <v>255</v>
      </c>
      <c r="K20" t="s">
        <v>1573</v>
      </c>
      <c r="L20" t="s">
        <v>1625</v>
      </c>
      <c r="M20" t="s">
        <v>1626</v>
      </c>
      <c r="N20" t="s">
        <v>1576</v>
      </c>
      <c r="O20" t="s">
        <v>1577</v>
      </c>
      <c r="P20" t="s">
        <v>1578</v>
      </c>
      <c r="Q20" t="s">
        <v>1579</v>
      </c>
      <c r="R20" t="s">
        <v>1580</v>
      </c>
      <c r="S20">
        <v>1</v>
      </c>
      <c r="T20">
        <v>NaN</v>
      </c>
      <c r="U20">
        <v>NaN</v>
      </c>
      <c r="V20">
        <v>NaN</v>
      </c>
      <c r="W20">
        <v>NaN</v>
      </c>
      <c r="X20">
        <v>0</v>
      </c>
      <c r="Y20">
        <v>NaN</v>
      </c>
      <c r="Z20">
        <v>0</v>
      </c>
    </row>
    <row r="21" spans="1:26" x14ac:dyDescent="0.25">
      <c r="A21" t="s">
        <v>1566</v>
      </c>
      <c r="B21" s="13">
        <v>46259</v>
      </c>
      <c r="C21" t="s">
        <v>312</v>
      </c>
      <c r="D21" s="13">
        <v>46259</v>
      </c>
      <c r="E21" t="s">
        <v>1617</v>
      </c>
      <c r="F21" t="s">
        <v>1605</v>
      </c>
      <c r="G21" t="s">
        <v>1618</v>
      </c>
      <c r="H21" t="s">
        <v>1571</v>
      </c>
      <c r="I21" t="s">
        <v>1572</v>
      </c>
      <c r="J21" t="s">
        <v>255</v>
      </c>
      <c r="K21" t="s">
        <v>1573</v>
      </c>
      <c r="L21" t="s">
        <v>1627</v>
      </c>
      <c r="M21" t="s">
        <v>1628</v>
      </c>
      <c r="N21" t="s">
        <v>1576</v>
      </c>
      <c r="O21" t="s">
        <v>1577</v>
      </c>
      <c r="P21" t="s">
        <v>1578</v>
      </c>
      <c r="Q21" t="s">
        <v>1579</v>
      </c>
      <c r="R21" t="s">
        <v>1580</v>
      </c>
      <c r="S21">
        <v>1</v>
      </c>
      <c r="T21">
        <v>NaN</v>
      </c>
      <c r="U21">
        <v>NaN</v>
      </c>
      <c r="V21">
        <v>NaN</v>
      </c>
      <c r="W21">
        <v>NaN</v>
      </c>
      <c r="X21">
        <v>0</v>
      </c>
      <c r="Y21">
        <v>NaN</v>
      </c>
      <c r="Z21">
        <v>0</v>
      </c>
    </row>
    <row r="22" spans="1:26" x14ac:dyDescent="0.25">
      <c r="A22" t="s">
        <v>1566</v>
      </c>
      <c r="B22" s="13">
        <v>46245</v>
      </c>
      <c r="C22" t="s">
        <v>1629</v>
      </c>
      <c r="D22" s="13">
        <v>46245</v>
      </c>
      <c r="E22" t="s">
        <v>1630</v>
      </c>
      <c r="F22" t="s">
        <v>1605</v>
      </c>
      <c r="G22" t="s">
        <v>1631</v>
      </c>
      <c r="H22" t="s">
        <v>1571</v>
      </c>
      <c r="I22" t="s">
        <v>1572</v>
      </c>
      <c r="J22" t="s">
        <v>255</v>
      </c>
      <c r="K22" t="s">
        <v>1573</v>
      </c>
      <c r="L22" t="s">
        <v>1632</v>
      </c>
      <c r="M22" t="s">
        <v>1633</v>
      </c>
      <c r="N22" t="s">
        <v>1576</v>
      </c>
      <c r="O22" t="s">
        <v>1577</v>
      </c>
      <c r="P22" t="s">
        <v>1578</v>
      </c>
      <c r="Q22" t="s">
        <v>1579</v>
      </c>
      <c r="R22" t="s">
        <v>1580</v>
      </c>
      <c r="S22">
        <v>1</v>
      </c>
      <c r="T22">
        <v>NaN</v>
      </c>
      <c r="U22">
        <v>NaN</v>
      </c>
      <c r="V22">
        <v>NaN</v>
      </c>
      <c r="W22">
        <v>NaN</v>
      </c>
      <c r="X22">
        <v>0</v>
      </c>
      <c r="Y22">
        <v>NaN</v>
      </c>
      <c r="Z22">
        <v>0</v>
      </c>
    </row>
    <row r="23" spans="1:26" x14ac:dyDescent="0.25">
      <c r="A23" t="s">
        <v>1566</v>
      </c>
      <c r="B23" s="13">
        <v>46246</v>
      </c>
      <c r="C23" t="s">
        <v>1629</v>
      </c>
      <c r="D23" s="13">
        <v>46246</v>
      </c>
      <c r="E23" t="s">
        <v>1630</v>
      </c>
      <c r="F23" t="s">
        <v>1605</v>
      </c>
      <c r="G23" t="s">
        <v>1631</v>
      </c>
      <c r="H23" t="s">
        <v>1571</v>
      </c>
      <c r="I23" t="s">
        <v>1572</v>
      </c>
      <c r="J23" t="s">
        <v>255</v>
      </c>
      <c r="K23" t="s">
        <v>1573</v>
      </c>
      <c r="L23" t="s">
        <v>1634</v>
      </c>
      <c r="M23" t="s">
        <v>1635</v>
      </c>
      <c r="N23" t="s">
        <v>1576</v>
      </c>
      <c r="O23" t="s">
        <v>1577</v>
      </c>
      <c r="P23" t="s">
        <v>1578</v>
      </c>
      <c r="Q23" t="s">
        <v>1579</v>
      </c>
      <c r="R23" t="s">
        <v>1580</v>
      </c>
      <c r="S23">
        <v>1</v>
      </c>
      <c r="T23">
        <v>NaN</v>
      </c>
      <c r="U23">
        <v>NaN</v>
      </c>
      <c r="V23">
        <v>NaN</v>
      </c>
      <c r="W23">
        <v>NaN</v>
      </c>
      <c r="X23">
        <v>0</v>
      </c>
      <c r="Y23">
        <v>NaN</v>
      </c>
      <c r="Z23">
        <v>0</v>
      </c>
    </row>
    <row r="24" spans="1:26" x14ac:dyDescent="0.25">
      <c r="A24" t="s">
        <v>1566</v>
      </c>
      <c r="B24" s="13">
        <v>46247</v>
      </c>
      <c r="C24" t="s">
        <v>1629</v>
      </c>
      <c r="D24" s="13">
        <v>46247</v>
      </c>
      <c r="E24" t="s">
        <v>1630</v>
      </c>
      <c r="F24" t="s">
        <v>1605</v>
      </c>
      <c r="G24" t="s">
        <v>1631</v>
      </c>
      <c r="H24" t="s">
        <v>1571</v>
      </c>
      <c r="I24" t="s">
        <v>1572</v>
      </c>
      <c r="J24" t="s">
        <v>255</v>
      </c>
      <c r="K24" t="s">
        <v>1573</v>
      </c>
      <c r="L24" t="s">
        <v>1636</v>
      </c>
      <c r="M24" t="s">
        <v>1637</v>
      </c>
      <c r="N24" t="s">
        <v>1576</v>
      </c>
      <c r="O24" t="s">
        <v>1577</v>
      </c>
      <c r="P24" t="s">
        <v>1578</v>
      </c>
      <c r="Q24" t="s">
        <v>1579</v>
      </c>
      <c r="R24" t="s">
        <v>1580</v>
      </c>
      <c r="S24">
        <v>1</v>
      </c>
      <c r="T24">
        <v>NaN</v>
      </c>
      <c r="U24">
        <v>NaN</v>
      </c>
      <c r="V24">
        <v>NaN</v>
      </c>
      <c r="W24">
        <v>NaN</v>
      </c>
      <c r="X24">
        <v>0</v>
      </c>
      <c r="Y24">
        <v>NaN</v>
      </c>
      <c r="Z24">
        <v>0</v>
      </c>
    </row>
    <row r="25" spans="1:26" x14ac:dyDescent="0.25">
      <c r="A25" t="s">
        <v>1566</v>
      </c>
      <c r="B25" s="13">
        <v>46248</v>
      </c>
      <c r="C25" t="s">
        <v>1629</v>
      </c>
      <c r="D25" s="13">
        <v>46248</v>
      </c>
      <c r="E25" t="s">
        <v>1630</v>
      </c>
      <c r="F25" t="s">
        <v>1605</v>
      </c>
      <c r="G25" t="s">
        <v>1631</v>
      </c>
      <c r="H25" t="s">
        <v>1571</v>
      </c>
      <c r="I25" t="s">
        <v>1572</v>
      </c>
      <c r="J25" t="s">
        <v>255</v>
      </c>
      <c r="K25" t="s">
        <v>1573</v>
      </c>
      <c r="L25" t="s">
        <v>1638</v>
      </c>
      <c r="M25" t="s">
        <v>1639</v>
      </c>
      <c r="N25" t="s">
        <v>1576</v>
      </c>
      <c r="O25" t="s">
        <v>1577</v>
      </c>
      <c r="P25" t="s">
        <v>1578</v>
      </c>
      <c r="Q25" t="s">
        <v>1579</v>
      </c>
      <c r="R25" t="s">
        <v>1580</v>
      </c>
      <c r="S25">
        <v>1</v>
      </c>
      <c r="T25">
        <v>NaN</v>
      </c>
      <c r="U25">
        <v>NaN</v>
      </c>
      <c r="V25">
        <v>NaN</v>
      </c>
      <c r="W25">
        <v>NaN</v>
      </c>
      <c r="X25">
        <v>0</v>
      </c>
      <c r="Y25">
        <v>NaN</v>
      </c>
      <c r="Z25">
        <v>0</v>
      </c>
    </row>
    <row r="26" spans="1:26" x14ac:dyDescent="0.25">
      <c r="A26" t="s">
        <v>1566</v>
      </c>
      <c r="B26" s="13">
        <v>46249</v>
      </c>
      <c r="C26" t="s">
        <v>1629</v>
      </c>
      <c r="D26" s="13">
        <v>46249</v>
      </c>
      <c r="E26" t="s">
        <v>1630</v>
      </c>
      <c r="F26" t="s">
        <v>1605</v>
      </c>
      <c r="G26" t="s">
        <v>1631</v>
      </c>
      <c r="H26" t="s">
        <v>1571</v>
      </c>
      <c r="I26" t="s">
        <v>1572</v>
      </c>
      <c r="J26" t="s">
        <v>255</v>
      </c>
      <c r="K26" t="s">
        <v>1573</v>
      </c>
      <c r="L26" t="s">
        <v>1640</v>
      </c>
      <c r="M26" t="s">
        <v>1641</v>
      </c>
      <c r="N26" t="s">
        <v>1576</v>
      </c>
      <c r="O26" t="s">
        <v>1577</v>
      </c>
      <c r="P26" t="s">
        <v>1578</v>
      </c>
      <c r="Q26" t="s">
        <v>1579</v>
      </c>
      <c r="R26" t="s">
        <v>1580</v>
      </c>
      <c r="S26">
        <v>1</v>
      </c>
      <c r="T26">
        <v>NaN</v>
      </c>
      <c r="U26">
        <v>NaN</v>
      </c>
      <c r="V26">
        <v>NaN</v>
      </c>
      <c r="W26">
        <v>NaN</v>
      </c>
      <c r="X26">
        <v>0</v>
      </c>
      <c r="Y26">
        <v>NaN</v>
      </c>
      <c r="Z26">
        <v>0</v>
      </c>
    </row>
    <row r="27" spans="1:26" x14ac:dyDescent="0.25">
      <c r="A27" t="s">
        <v>1566</v>
      </c>
      <c r="B27" s="13">
        <v>46250</v>
      </c>
      <c r="C27" t="s">
        <v>1642</v>
      </c>
      <c r="D27" s="13">
        <v>46250</v>
      </c>
      <c r="E27" t="s">
        <v>1643</v>
      </c>
      <c r="F27" t="s">
        <v>1605</v>
      </c>
      <c r="G27" t="s">
        <v>1644</v>
      </c>
      <c r="H27" t="s">
        <v>1571</v>
      </c>
      <c r="I27" t="s">
        <v>1572</v>
      </c>
      <c r="J27" t="s">
        <v>255</v>
      </c>
      <c r="K27" t="s">
        <v>1573</v>
      </c>
      <c r="L27" t="s">
        <v>1645</v>
      </c>
      <c r="M27" t="s">
        <v>1646</v>
      </c>
      <c r="N27" t="s">
        <v>1576</v>
      </c>
      <c r="O27" t="s">
        <v>1577</v>
      </c>
      <c r="P27" t="s">
        <v>1578</v>
      </c>
      <c r="Q27" t="s">
        <v>1579</v>
      </c>
      <c r="R27" t="s">
        <v>1580</v>
      </c>
      <c r="S27">
        <v>1</v>
      </c>
      <c r="T27">
        <v>NaN</v>
      </c>
      <c r="U27">
        <v>NaN</v>
      </c>
      <c r="V27">
        <v>NaN</v>
      </c>
      <c r="W27">
        <v>NaN</v>
      </c>
      <c r="X27">
        <v>0</v>
      </c>
      <c r="Y27">
        <v>NaN</v>
      </c>
      <c r="Z27">
        <v>0</v>
      </c>
    </row>
    <row r="28" spans="1:26" x14ac:dyDescent="0.25">
      <c r="A28" t="s">
        <v>1566</v>
      </c>
      <c r="B28" s="13">
        <v>46251</v>
      </c>
      <c r="C28" t="s">
        <v>1642</v>
      </c>
      <c r="D28" s="13">
        <v>46251</v>
      </c>
      <c r="E28" t="s">
        <v>1643</v>
      </c>
      <c r="F28" t="s">
        <v>1605</v>
      </c>
      <c r="G28" t="s">
        <v>1644</v>
      </c>
      <c r="H28" t="s">
        <v>1571</v>
      </c>
      <c r="I28" t="s">
        <v>1572</v>
      </c>
      <c r="J28" t="s">
        <v>255</v>
      </c>
      <c r="K28" t="s">
        <v>1573</v>
      </c>
      <c r="L28" t="s">
        <v>1647</v>
      </c>
      <c r="M28" t="s">
        <v>1648</v>
      </c>
      <c r="N28" t="s">
        <v>1576</v>
      </c>
      <c r="O28" t="s">
        <v>1577</v>
      </c>
      <c r="P28" t="s">
        <v>1578</v>
      </c>
      <c r="Q28" t="s">
        <v>1579</v>
      </c>
      <c r="R28" t="s">
        <v>1580</v>
      </c>
      <c r="S28">
        <v>1</v>
      </c>
      <c r="T28">
        <v>NaN</v>
      </c>
      <c r="U28">
        <v>NaN</v>
      </c>
      <c r="V28">
        <v>NaN</v>
      </c>
      <c r="W28">
        <v>NaN</v>
      </c>
      <c r="X28">
        <v>0</v>
      </c>
      <c r="Y28">
        <v>NaN</v>
      </c>
      <c r="Z28">
        <v>0</v>
      </c>
    </row>
    <row r="29" spans="1:26" x14ac:dyDescent="0.25">
      <c r="A29" t="s">
        <v>1566</v>
      </c>
      <c r="B29" s="13">
        <v>46252</v>
      </c>
      <c r="C29" t="s">
        <v>1642</v>
      </c>
      <c r="D29" s="13">
        <v>46252</v>
      </c>
      <c r="E29" t="s">
        <v>1643</v>
      </c>
      <c r="F29" t="s">
        <v>1605</v>
      </c>
      <c r="G29" t="s">
        <v>1644</v>
      </c>
      <c r="H29" t="s">
        <v>1571</v>
      </c>
      <c r="I29" t="s">
        <v>1572</v>
      </c>
      <c r="J29" t="s">
        <v>255</v>
      </c>
      <c r="K29" t="s">
        <v>1573</v>
      </c>
      <c r="L29" t="s">
        <v>1649</v>
      </c>
      <c r="M29" t="s">
        <v>1650</v>
      </c>
      <c r="N29" t="s">
        <v>1576</v>
      </c>
      <c r="O29" t="s">
        <v>1577</v>
      </c>
      <c r="P29" t="s">
        <v>1578</v>
      </c>
      <c r="Q29" t="s">
        <v>1579</v>
      </c>
      <c r="R29" t="s">
        <v>1580</v>
      </c>
      <c r="S29">
        <v>1</v>
      </c>
      <c r="T29">
        <v>NaN</v>
      </c>
      <c r="U29">
        <v>NaN</v>
      </c>
      <c r="V29">
        <v>NaN</v>
      </c>
      <c r="W29">
        <v>NaN</v>
      </c>
      <c r="X29">
        <v>0</v>
      </c>
      <c r="Y29">
        <v>NaN</v>
      </c>
      <c r="Z29">
        <v>0</v>
      </c>
    </row>
    <row r="30" spans="1:26" x14ac:dyDescent="0.25">
      <c r="A30" t="s">
        <v>1566</v>
      </c>
      <c r="B30" s="13">
        <v>46253</v>
      </c>
      <c r="C30" t="s">
        <v>1642</v>
      </c>
      <c r="D30" s="13">
        <v>46253</v>
      </c>
      <c r="E30" t="s">
        <v>1643</v>
      </c>
      <c r="F30" t="s">
        <v>1605</v>
      </c>
      <c r="G30" t="s">
        <v>1644</v>
      </c>
      <c r="H30" t="s">
        <v>1571</v>
      </c>
      <c r="I30" t="s">
        <v>1572</v>
      </c>
      <c r="J30" t="s">
        <v>255</v>
      </c>
      <c r="K30" t="s">
        <v>1573</v>
      </c>
      <c r="L30" t="s">
        <v>1651</v>
      </c>
      <c r="M30" t="s">
        <v>1652</v>
      </c>
      <c r="N30" t="s">
        <v>1576</v>
      </c>
      <c r="O30" t="s">
        <v>1577</v>
      </c>
      <c r="P30" t="s">
        <v>1578</v>
      </c>
      <c r="Q30" t="s">
        <v>1579</v>
      </c>
      <c r="R30" t="s">
        <v>1580</v>
      </c>
      <c r="S30">
        <v>1</v>
      </c>
      <c r="T30">
        <v>NaN</v>
      </c>
      <c r="U30">
        <v>NaN</v>
      </c>
      <c r="V30">
        <v>NaN</v>
      </c>
      <c r="W30">
        <v>NaN</v>
      </c>
      <c r="X30">
        <v>0</v>
      </c>
      <c r="Y30">
        <v>NaN</v>
      </c>
      <c r="Z30">
        <v>0</v>
      </c>
    </row>
    <row r="31" spans="1:26" x14ac:dyDescent="0.25">
      <c r="A31" t="s">
        <v>1566</v>
      </c>
      <c r="B31" s="13">
        <v>46254</v>
      </c>
      <c r="C31" t="s">
        <v>1642</v>
      </c>
      <c r="D31" s="13">
        <v>46254</v>
      </c>
      <c r="E31" t="s">
        <v>1643</v>
      </c>
      <c r="F31" t="s">
        <v>1605</v>
      </c>
      <c r="G31" t="s">
        <v>1644</v>
      </c>
      <c r="H31" t="s">
        <v>1571</v>
      </c>
      <c r="I31" t="s">
        <v>1572</v>
      </c>
      <c r="J31" t="s">
        <v>255</v>
      </c>
      <c r="K31" t="s">
        <v>1573</v>
      </c>
      <c r="L31" t="s">
        <v>1653</v>
      </c>
      <c r="M31" t="s">
        <v>1654</v>
      </c>
      <c r="N31" t="s">
        <v>1576</v>
      </c>
      <c r="O31" t="s">
        <v>1577</v>
      </c>
      <c r="P31" t="s">
        <v>1578</v>
      </c>
      <c r="Q31" t="s">
        <v>1579</v>
      </c>
      <c r="R31" t="s">
        <v>1580</v>
      </c>
      <c r="S31">
        <v>1</v>
      </c>
      <c r="T31">
        <v>NaN</v>
      </c>
      <c r="U31">
        <v>NaN</v>
      </c>
      <c r="V31">
        <v>NaN</v>
      </c>
      <c r="W31">
        <v>NaN</v>
      </c>
      <c r="X31">
        <v>0</v>
      </c>
      <c r="Y31">
        <v>NaN</v>
      </c>
      <c r="Z31">
        <v>0</v>
      </c>
    </row>
    <row r="32" spans="1:26" x14ac:dyDescent="0.25">
      <c r="A32" t="s">
        <v>1566</v>
      </c>
      <c r="B32" s="13">
        <v>46255</v>
      </c>
      <c r="C32" t="s">
        <v>1655</v>
      </c>
      <c r="D32" s="13">
        <v>46255</v>
      </c>
      <c r="E32" t="s">
        <v>1656</v>
      </c>
      <c r="F32" t="s">
        <v>1605</v>
      </c>
      <c r="G32" t="s">
        <v>1657</v>
      </c>
      <c r="H32" t="s">
        <v>1571</v>
      </c>
      <c r="I32" t="s">
        <v>1572</v>
      </c>
      <c r="J32" t="s">
        <v>255</v>
      </c>
      <c r="K32" t="s">
        <v>1573</v>
      </c>
      <c r="L32" t="s">
        <v>1658</v>
      </c>
      <c r="M32" t="s">
        <v>1659</v>
      </c>
      <c r="N32" t="s">
        <v>1576</v>
      </c>
      <c r="O32" t="s">
        <v>1577</v>
      </c>
      <c r="P32" t="s">
        <v>1578</v>
      </c>
      <c r="Q32" t="s">
        <v>1579</v>
      </c>
      <c r="R32" t="s">
        <v>1580</v>
      </c>
      <c r="S32">
        <v>1</v>
      </c>
      <c r="T32">
        <v>NaN</v>
      </c>
      <c r="U32">
        <v>NaN</v>
      </c>
      <c r="V32">
        <v>NaN</v>
      </c>
      <c r="W32">
        <v>NaN</v>
      </c>
      <c r="X32">
        <v>0</v>
      </c>
      <c r="Y32">
        <v>NaN</v>
      </c>
      <c r="Z32">
        <v>0</v>
      </c>
    </row>
    <row r="33" spans="1:26" x14ac:dyDescent="0.25">
      <c r="A33" t="s">
        <v>1566</v>
      </c>
      <c r="B33" s="13">
        <v>46256</v>
      </c>
      <c r="C33" t="s">
        <v>1655</v>
      </c>
      <c r="D33" s="13">
        <v>46256</v>
      </c>
      <c r="E33" t="s">
        <v>1656</v>
      </c>
      <c r="F33" t="s">
        <v>1605</v>
      </c>
      <c r="G33" t="s">
        <v>1657</v>
      </c>
      <c r="H33" t="s">
        <v>1571</v>
      </c>
      <c r="I33" t="s">
        <v>1572</v>
      </c>
      <c r="J33" t="s">
        <v>255</v>
      </c>
      <c r="K33" t="s">
        <v>1573</v>
      </c>
      <c r="L33" t="s">
        <v>1660</v>
      </c>
      <c r="M33" t="s">
        <v>1661</v>
      </c>
      <c r="N33" t="s">
        <v>1576</v>
      </c>
      <c r="O33" t="s">
        <v>1577</v>
      </c>
      <c r="P33" t="s">
        <v>1578</v>
      </c>
      <c r="Q33" t="s">
        <v>1579</v>
      </c>
      <c r="R33" t="s">
        <v>1580</v>
      </c>
      <c r="S33">
        <v>1</v>
      </c>
      <c r="T33">
        <v>NaN</v>
      </c>
      <c r="U33">
        <v>NaN</v>
      </c>
      <c r="V33">
        <v>NaN</v>
      </c>
      <c r="W33">
        <v>NaN</v>
      </c>
      <c r="X33">
        <v>0</v>
      </c>
      <c r="Y33">
        <v>NaN</v>
      </c>
      <c r="Z33">
        <v>0</v>
      </c>
    </row>
    <row r="34" spans="1:26" x14ac:dyDescent="0.25">
      <c r="A34" t="s">
        <v>1566</v>
      </c>
      <c r="B34" s="13">
        <v>46257</v>
      </c>
      <c r="C34" t="s">
        <v>1655</v>
      </c>
      <c r="D34" s="13">
        <v>46257</v>
      </c>
      <c r="E34" t="s">
        <v>1656</v>
      </c>
      <c r="F34" t="s">
        <v>1605</v>
      </c>
      <c r="G34" t="s">
        <v>1657</v>
      </c>
      <c r="H34" t="s">
        <v>1571</v>
      </c>
      <c r="I34" t="s">
        <v>1572</v>
      </c>
      <c r="J34" t="s">
        <v>255</v>
      </c>
      <c r="K34" t="s">
        <v>1573</v>
      </c>
      <c r="L34" t="s">
        <v>1662</v>
      </c>
      <c r="M34" t="s">
        <v>1663</v>
      </c>
      <c r="N34" t="s">
        <v>1576</v>
      </c>
      <c r="O34" t="s">
        <v>1577</v>
      </c>
      <c r="P34" t="s">
        <v>1578</v>
      </c>
      <c r="Q34" t="s">
        <v>1579</v>
      </c>
      <c r="R34" t="s">
        <v>1580</v>
      </c>
      <c r="S34">
        <v>1</v>
      </c>
      <c r="T34">
        <v>NaN</v>
      </c>
      <c r="U34">
        <v>NaN</v>
      </c>
      <c r="V34">
        <v>NaN</v>
      </c>
      <c r="W34">
        <v>NaN</v>
      </c>
      <c r="X34">
        <v>0</v>
      </c>
      <c r="Y34">
        <v>NaN</v>
      </c>
      <c r="Z34">
        <v>0</v>
      </c>
    </row>
    <row r="35" spans="1:26" x14ac:dyDescent="0.25">
      <c r="A35" t="s">
        <v>1566</v>
      </c>
      <c r="B35" s="13">
        <v>46258</v>
      </c>
      <c r="C35" t="s">
        <v>1655</v>
      </c>
      <c r="D35" s="13">
        <v>46258</v>
      </c>
      <c r="E35" t="s">
        <v>1656</v>
      </c>
      <c r="F35" t="s">
        <v>1605</v>
      </c>
      <c r="G35" t="s">
        <v>1657</v>
      </c>
      <c r="H35" t="s">
        <v>1571</v>
      </c>
      <c r="I35" t="s">
        <v>1572</v>
      </c>
      <c r="J35" t="s">
        <v>255</v>
      </c>
      <c r="K35" t="s">
        <v>1573</v>
      </c>
      <c r="L35" t="s">
        <v>1664</v>
      </c>
      <c r="M35" t="s">
        <v>1665</v>
      </c>
      <c r="N35" t="s">
        <v>1576</v>
      </c>
      <c r="O35" t="s">
        <v>1577</v>
      </c>
      <c r="P35" t="s">
        <v>1578</v>
      </c>
      <c r="Q35" t="s">
        <v>1579</v>
      </c>
      <c r="R35" t="s">
        <v>1580</v>
      </c>
      <c r="S35">
        <v>1</v>
      </c>
      <c r="T35">
        <v>NaN</v>
      </c>
      <c r="U35">
        <v>NaN</v>
      </c>
      <c r="V35">
        <v>NaN</v>
      </c>
      <c r="W35">
        <v>NaN</v>
      </c>
      <c r="X35">
        <v>0</v>
      </c>
      <c r="Y35">
        <v>NaN</v>
      </c>
      <c r="Z35">
        <v>0</v>
      </c>
    </row>
    <row r="36" spans="1:26" x14ac:dyDescent="0.25">
      <c r="A36" t="s">
        <v>1566</v>
      </c>
      <c r="B36" s="13">
        <v>46259</v>
      </c>
      <c r="C36" t="s">
        <v>1655</v>
      </c>
      <c r="D36" s="13">
        <v>46259</v>
      </c>
      <c r="E36" t="s">
        <v>1656</v>
      </c>
      <c r="F36" t="s">
        <v>1605</v>
      </c>
      <c r="G36" t="s">
        <v>1657</v>
      </c>
      <c r="H36" t="s">
        <v>1571</v>
      </c>
      <c r="I36" t="s">
        <v>1572</v>
      </c>
      <c r="J36" t="s">
        <v>255</v>
      </c>
      <c r="K36" t="s">
        <v>1573</v>
      </c>
      <c r="L36" t="s">
        <v>1666</v>
      </c>
      <c r="M36" t="s">
        <v>1667</v>
      </c>
      <c r="N36" t="s">
        <v>1576</v>
      </c>
      <c r="O36" t="s">
        <v>1577</v>
      </c>
      <c r="P36" t="s">
        <v>1578</v>
      </c>
      <c r="Q36" t="s">
        <v>1579</v>
      </c>
      <c r="R36" t="s">
        <v>1580</v>
      </c>
      <c r="S36">
        <v>1</v>
      </c>
      <c r="T36">
        <v>NaN</v>
      </c>
      <c r="U36">
        <v>NaN</v>
      </c>
      <c r="V36">
        <v>NaN</v>
      </c>
      <c r="W36">
        <v>NaN</v>
      </c>
      <c r="X36">
        <v>0</v>
      </c>
      <c r="Y36">
        <v>NaN</v>
      </c>
      <c r="Z36">
        <v>0</v>
      </c>
    </row>
    <row r="37" spans="1:26" x14ac:dyDescent="0.25">
      <c r="A37" t="s">
        <v>1566</v>
      </c>
      <c r="B37" s="13">
        <v>46245</v>
      </c>
      <c r="C37" t="s">
        <v>313</v>
      </c>
      <c r="D37" s="13">
        <v>46245</v>
      </c>
      <c r="E37" t="s">
        <v>1668</v>
      </c>
      <c r="F37" t="s">
        <v>1605</v>
      </c>
      <c r="G37" t="s">
        <v>1669</v>
      </c>
      <c r="H37" t="s">
        <v>1571</v>
      </c>
      <c r="I37" t="s">
        <v>1572</v>
      </c>
      <c r="J37" t="s">
        <v>255</v>
      </c>
      <c r="K37" t="s">
        <v>1573</v>
      </c>
      <c r="L37" t="s">
        <v>1670</v>
      </c>
      <c r="M37" t="s">
        <v>1671</v>
      </c>
      <c r="N37" t="s">
        <v>1576</v>
      </c>
      <c r="O37" t="s">
        <v>1577</v>
      </c>
      <c r="P37" t="s">
        <v>1578</v>
      </c>
      <c r="Q37" t="s">
        <v>1579</v>
      </c>
      <c r="R37" t="s">
        <v>1580</v>
      </c>
      <c r="S37">
        <v>1</v>
      </c>
      <c r="T37">
        <v>NaN</v>
      </c>
      <c r="U37">
        <v>NaN</v>
      </c>
      <c r="V37">
        <v>NaN</v>
      </c>
      <c r="W37">
        <v>NaN</v>
      </c>
      <c r="X37">
        <v>0</v>
      </c>
      <c r="Y37">
        <v>NaN</v>
      </c>
      <c r="Z37">
        <v>0</v>
      </c>
    </row>
    <row r="38" spans="1:26" x14ac:dyDescent="0.25">
      <c r="A38" t="s">
        <v>1566</v>
      </c>
      <c r="B38" s="13">
        <v>46246</v>
      </c>
      <c r="C38" t="s">
        <v>313</v>
      </c>
      <c r="D38" s="13">
        <v>46246</v>
      </c>
      <c r="E38" t="s">
        <v>1668</v>
      </c>
      <c r="F38" t="s">
        <v>1605</v>
      </c>
      <c r="G38" t="s">
        <v>1669</v>
      </c>
      <c r="H38" t="s">
        <v>1571</v>
      </c>
      <c r="I38" t="s">
        <v>1572</v>
      </c>
      <c r="J38" t="s">
        <v>255</v>
      </c>
      <c r="K38" t="s">
        <v>1573</v>
      </c>
      <c r="L38" t="s">
        <v>1672</v>
      </c>
      <c r="M38" t="s">
        <v>1673</v>
      </c>
      <c r="N38" t="s">
        <v>1576</v>
      </c>
      <c r="O38" t="s">
        <v>1577</v>
      </c>
      <c r="P38" t="s">
        <v>1578</v>
      </c>
      <c r="Q38" t="s">
        <v>1579</v>
      </c>
      <c r="R38" t="s">
        <v>1580</v>
      </c>
      <c r="S38">
        <v>1</v>
      </c>
      <c r="T38">
        <v>NaN</v>
      </c>
      <c r="U38">
        <v>NaN</v>
      </c>
      <c r="V38">
        <v>NaN</v>
      </c>
      <c r="W38">
        <v>NaN</v>
      </c>
      <c r="X38">
        <v>0</v>
      </c>
      <c r="Y38">
        <v>NaN</v>
      </c>
      <c r="Z38">
        <v>0</v>
      </c>
    </row>
    <row r="39" spans="1:26" x14ac:dyDescent="0.25">
      <c r="A39" t="s">
        <v>1566</v>
      </c>
      <c r="B39" s="13">
        <v>46247</v>
      </c>
      <c r="C39" t="s">
        <v>313</v>
      </c>
      <c r="D39" s="13">
        <v>46247</v>
      </c>
      <c r="E39" t="s">
        <v>1668</v>
      </c>
      <c r="F39" t="s">
        <v>1605</v>
      </c>
      <c r="G39" t="s">
        <v>1669</v>
      </c>
      <c r="H39" t="s">
        <v>1571</v>
      </c>
      <c r="I39" t="s">
        <v>1572</v>
      </c>
      <c r="J39" t="s">
        <v>255</v>
      </c>
      <c r="K39" t="s">
        <v>1573</v>
      </c>
      <c r="L39" t="s">
        <v>1674</v>
      </c>
      <c r="M39" t="s">
        <v>1675</v>
      </c>
      <c r="N39" t="s">
        <v>1576</v>
      </c>
      <c r="O39" t="s">
        <v>1577</v>
      </c>
      <c r="P39" t="s">
        <v>1578</v>
      </c>
      <c r="Q39" t="s">
        <v>1579</v>
      </c>
      <c r="R39" t="s">
        <v>1580</v>
      </c>
      <c r="S39">
        <v>1</v>
      </c>
      <c r="T39">
        <v>NaN</v>
      </c>
      <c r="U39">
        <v>NaN</v>
      </c>
      <c r="V39">
        <v>NaN</v>
      </c>
      <c r="W39">
        <v>NaN</v>
      </c>
      <c r="X39">
        <v>0</v>
      </c>
      <c r="Y39">
        <v>NaN</v>
      </c>
      <c r="Z39">
        <v>0</v>
      </c>
    </row>
    <row r="40" spans="1:26" x14ac:dyDescent="0.25">
      <c r="A40" t="s">
        <v>1566</v>
      </c>
      <c r="B40" s="13">
        <v>46248</v>
      </c>
      <c r="C40" t="s">
        <v>313</v>
      </c>
      <c r="D40" s="13">
        <v>46248</v>
      </c>
      <c r="E40" t="s">
        <v>1668</v>
      </c>
      <c r="F40" t="s">
        <v>1605</v>
      </c>
      <c r="G40" t="s">
        <v>1669</v>
      </c>
      <c r="H40" t="s">
        <v>1571</v>
      </c>
      <c r="I40" t="s">
        <v>1572</v>
      </c>
      <c r="J40" t="s">
        <v>255</v>
      </c>
      <c r="K40" t="s">
        <v>1573</v>
      </c>
      <c r="L40" t="s">
        <v>1676</v>
      </c>
      <c r="M40" t="s">
        <v>1677</v>
      </c>
      <c r="N40" t="s">
        <v>1576</v>
      </c>
      <c r="O40" t="s">
        <v>1577</v>
      </c>
      <c r="P40" t="s">
        <v>1578</v>
      </c>
      <c r="Q40" t="s">
        <v>1579</v>
      </c>
      <c r="R40" t="s">
        <v>1580</v>
      </c>
      <c r="S40">
        <v>1</v>
      </c>
      <c r="T40">
        <v>NaN</v>
      </c>
      <c r="U40">
        <v>NaN</v>
      </c>
      <c r="V40">
        <v>NaN</v>
      </c>
      <c r="W40">
        <v>NaN</v>
      </c>
      <c r="X40">
        <v>0</v>
      </c>
      <c r="Y40">
        <v>NaN</v>
      </c>
      <c r="Z40">
        <v>0</v>
      </c>
    </row>
    <row r="41" spans="1:26" x14ac:dyDescent="0.25">
      <c r="A41" t="s">
        <v>1566</v>
      </c>
      <c r="B41" s="13">
        <v>46249</v>
      </c>
      <c r="C41" t="s">
        <v>313</v>
      </c>
      <c r="D41" s="13">
        <v>46249</v>
      </c>
      <c r="E41" t="s">
        <v>1668</v>
      </c>
      <c r="F41" t="s">
        <v>1605</v>
      </c>
      <c r="G41" t="s">
        <v>1669</v>
      </c>
      <c r="H41" t="s">
        <v>1571</v>
      </c>
      <c r="I41" t="s">
        <v>1572</v>
      </c>
      <c r="J41" t="s">
        <v>255</v>
      </c>
      <c r="K41" t="s">
        <v>1573</v>
      </c>
      <c r="L41" t="s">
        <v>1678</v>
      </c>
      <c r="M41" t="s">
        <v>1679</v>
      </c>
      <c r="N41" t="s">
        <v>1576</v>
      </c>
      <c r="O41" t="s">
        <v>1577</v>
      </c>
      <c r="P41" t="s">
        <v>1578</v>
      </c>
      <c r="Q41" t="s">
        <v>1579</v>
      </c>
      <c r="R41" t="s">
        <v>1580</v>
      </c>
      <c r="S41">
        <v>1</v>
      </c>
      <c r="T41">
        <v>NaN</v>
      </c>
      <c r="U41">
        <v>NaN</v>
      </c>
      <c r="V41">
        <v>NaN</v>
      </c>
      <c r="W41">
        <v>NaN</v>
      </c>
      <c r="X41">
        <v>0</v>
      </c>
      <c r="Y41">
        <v>NaN</v>
      </c>
      <c r="Z41">
        <v>0</v>
      </c>
    </row>
    <row r="42" spans="1:26" x14ac:dyDescent="0.25">
      <c r="A42" t="s">
        <v>1566</v>
      </c>
      <c r="B42" s="13">
        <v>46250</v>
      </c>
      <c r="C42" t="s">
        <v>314</v>
      </c>
      <c r="D42" s="13">
        <v>46250</v>
      </c>
      <c r="E42" t="s">
        <v>1680</v>
      </c>
      <c r="F42" t="s">
        <v>1605</v>
      </c>
      <c r="G42" t="s">
        <v>1681</v>
      </c>
      <c r="H42" t="s">
        <v>1571</v>
      </c>
      <c r="I42" t="s">
        <v>1572</v>
      </c>
      <c r="J42" t="s">
        <v>255</v>
      </c>
      <c r="K42" t="s">
        <v>1573</v>
      </c>
      <c r="L42" t="s">
        <v>1682</v>
      </c>
      <c r="M42" t="s">
        <v>1683</v>
      </c>
      <c r="N42" t="s">
        <v>1576</v>
      </c>
      <c r="O42" t="s">
        <v>1577</v>
      </c>
      <c r="P42" t="s">
        <v>1578</v>
      </c>
      <c r="Q42" t="s">
        <v>1579</v>
      </c>
      <c r="R42" t="s">
        <v>1580</v>
      </c>
      <c r="S42">
        <v>1</v>
      </c>
      <c r="T42">
        <v>NaN</v>
      </c>
      <c r="U42">
        <v>NaN</v>
      </c>
      <c r="V42">
        <v>NaN</v>
      </c>
      <c r="W42">
        <v>NaN</v>
      </c>
      <c r="X42">
        <v>0</v>
      </c>
      <c r="Y42">
        <v>NaN</v>
      </c>
      <c r="Z42">
        <v>0</v>
      </c>
    </row>
    <row r="43" spans="1:26" x14ac:dyDescent="0.25">
      <c r="A43" t="s">
        <v>1566</v>
      </c>
      <c r="B43" s="13">
        <v>46251</v>
      </c>
      <c r="C43" t="s">
        <v>314</v>
      </c>
      <c r="D43" s="13">
        <v>46251</v>
      </c>
      <c r="E43" t="s">
        <v>1680</v>
      </c>
      <c r="F43" t="s">
        <v>1605</v>
      </c>
      <c r="G43" t="s">
        <v>1681</v>
      </c>
      <c r="H43" t="s">
        <v>1571</v>
      </c>
      <c r="I43" t="s">
        <v>1572</v>
      </c>
      <c r="J43" t="s">
        <v>255</v>
      </c>
      <c r="K43" t="s">
        <v>1573</v>
      </c>
      <c r="L43" t="s">
        <v>1684</v>
      </c>
      <c r="M43" t="s">
        <v>1685</v>
      </c>
      <c r="N43" t="s">
        <v>1576</v>
      </c>
      <c r="O43" t="s">
        <v>1577</v>
      </c>
      <c r="P43" t="s">
        <v>1578</v>
      </c>
      <c r="Q43" t="s">
        <v>1579</v>
      </c>
      <c r="R43" t="s">
        <v>1580</v>
      </c>
      <c r="S43">
        <v>1</v>
      </c>
      <c r="T43">
        <v>NaN</v>
      </c>
      <c r="U43">
        <v>NaN</v>
      </c>
      <c r="V43">
        <v>NaN</v>
      </c>
      <c r="W43">
        <v>NaN</v>
      </c>
      <c r="X43">
        <v>0</v>
      </c>
      <c r="Y43">
        <v>NaN</v>
      </c>
      <c r="Z43">
        <v>0</v>
      </c>
    </row>
    <row r="44" spans="1:26" x14ac:dyDescent="0.25">
      <c r="A44" t="s">
        <v>1566</v>
      </c>
      <c r="B44" s="13">
        <v>46252</v>
      </c>
      <c r="C44" t="s">
        <v>314</v>
      </c>
      <c r="D44" s="13">
        <v>46252</v>
      </c>
      <c r="E44" t="s">
        <v>1680</v>
      </c>
      <c r="F44" t="s">
        <v>1605</v>
      </c>
      <c r="G44" t="s">
        <v>1681</v>
      </c>
      <c r="H44" t="s">
        <v>1571</v>
      </c>
      <c r="I44" t="s">
        <v>1572</v>
      </c>
      <c r="J44" t="s">
        <v>255</v>
      </c>
      <c r="K44" t="s">
        <v>1573</v>
      </c>
      <c r="L44" t="s">
        <v>1686</v>
      </c>
      <c r="M44" t="s">
        <v>1687</v>
      </c>
      <c r="N44" t="s">
        <v>1576</v>
      </c>
      <c r="O44" t="s">
        <v>1577</v>
      </c>
      <c r="P44" t="s">
        <v>1578</v>
      </c>
      <c r="Q44" t="s">
        <v>1579</v>
      </c>
      <c r="R44" t="s">
        <v>1580</v>
      </c>
      <c r="S44">
        <v>1</v>
      </c>
      <c r="T44">
        <v>NaN</v>
      </c>
      <c r="U44">
        <v>NaN</v>
      </c>
      <c r="V44">
        <v>NaN</v>
      </c>
      <c r="W44">
        <v>NaN</v>
      </c>
      <c r="X44">
        <v>0</v>
      </c>
      <c r="Y44">
        <v>NaN</v>
      </c>
      <c r="Z44">
        <v>0</v>
      </c>
    </row>
    <row r="45" spans="1:26" x14ac:dyDescent="0.25">
      <c r="A45" t="s">
        <v>1566</v>
      </c>
      <c r="B45" s="13">
        <v>46253</v>
      </c>
      <c r="C45" t="s">
        <v>314</v>
      </c>
      <c r="D45" s="13">
        <v>46253</v>
      </c>
      <c r="E45" t="s">
        <v>1680</v>
      </c>
      <c r="F45" t="s">
        <v>1605</v>
      </c>
      <c r="G45" t="s">
        <v>1681</v>
      </c>
      <c r="H45" t="s">
        <v>1571</v>
      </c>
      <c r="I45" t="s">
        <v>1572</v>
      </c>
      <c r="J45" t="s">
        <v>255</v>
      </c>
      <c r="K45" t="s">
        <v>1573</v>
      </c>
      <c r="L45" t="s">
        <v>1688</v>
      </c>
      <c r="M45" t="s">
        <v>1689</v>
      </c>
      <c r="N45" t="s">
        <v>1576</v>
      </c>
      <c r="O45" t="s">
        <v>1577</v>
      </c>
      <c r="P45" t="s">
        <v>1578</v>
      </c>
      <c r="Q45" t="s">
        <v>1579</v>
      </c>
      <c r="R45" t="s">
        <v>1580</v>
      </c>
      <c r="S45">
        <v>1</v>
      </c>
      <c r="T45">
        <v>NaN</v>
      </c>
      <c r="U45">
        <v>NaN</v>
      </c>
      <c r="V45">
        <v>NaN</v>
      </c>
      <c r="W45">
        <v>NaN</v>
      </c>
      <c r="X45">
        <v>0</v>
      </c>
      <c r="Y45">
        <v>NaN</v>
      </c>
      <c r="Z45">
        <v>0</v>
      </c>
    </row>
    <row r="46" spans="1:26" x14ac:dyDescent="0.25">
      <c r="A46" t="s">
        <v>1566</v>
      </c>
      <c r="B46" s="13">
        <v>46254</v>
      </c>
      <c r="C46" t="s">
        <v>314</v>
      </c>
      <c r="D46" s="13">
        <v>46254</v>
      </c>
      <c r="E46" t="s">
        <v>1680</v>
      </c>
      <c r="F46" t="s">
        <v>1605</v>
      </c>
      <c r="G46" t="s">
        <v>1681</v>
      </c>
      <c r="H46" t="s">
        <v>1571</v>
      </c>
      <c r="I46" t="s">
        <v>1572</v>
      </c>
      <c r="J46" t="s">
        <v>255</v>
      </c>
      <c r="K46" t="s">
        <v>1573</v>
      </c>
      <c r="L46" t="s">
        <v>1690</v>
      </c>
      <c r="M46" t="s">
        <v>1691</v>
      </c>
      <c r="N46" t="s">
        <v>1576</v>
      </c>
      <c r="O46" t="s">
        <v>1577</v>
      </c>
      <c r="P46" t="s">
        <v>1578</v>
      </c>
      <c r="Q46" t="s">
        <v>1579</v>
      </c>
      <c r="R46" t="s">
        <v>1580</v>
      </c>
      <c r="S46">
        <v>1</v>
      </c>
      <c r="T46">
        <v>NaN</v>
      </c>
      <c r="U46">
        <v>NaN</v>
      </c>
      <c r="V46">
        <v>NaN</v>
      </c>
      <c r="W46">
        <v>NaN</v>
      </c>
      <c r="X46">
        <v>0</v>
      </c>
      <c r="Y46">
        <v>NaN</v>
      </c>
      <c r="Z46">
        <v>0</v>
      </c>
    </row>
    <row r="47" spans="1:26" x14ac:dyDescent="0.25">
      <c r="A47" t="s">
        <v>1566</v>
      </c>
      <c r="B47" s="13">
        <v>46255</v>
      </c>
      <c r="C47" t="s">
        <v>315</v>
      </c>
      <c r="D47" s="13">
        <v>46255</v>
      </c>
      <c r="E47" t="s">
        <v>1692</v>
      </c>
      <c r="F47" t="s">
        <v>1605</v>
      </c>
      <c r="G47" t="s">
        <v>1693</v>
      </c>
      <c r="H47" t="s">
        <v>1571</v>
      </c>
      <c r="I47" t="s">
        <v>1572</v>
      </c>
      <c r="J47" t="s">
        <v>255</v>
      </c>
      <c r="K47" t="s">
        <v>1573</v>
      </c>
      <c r="L47" t="s">
        <v>1694</v>
      </c>
      <c r="M47" t="s">
        <v>1695</v>
      </c>
      <c r="N47" t="s">
        <v>1576</v>
      </c>
      <c r="O47" t="s">
        <v>1577</v>
      </c>
      <c r="P47" t="s">
        <v>1578</v>
      </c>
      <c r="Q47" t="s">
        <v>1579</v>
      </c>
      <c r="R47" t="s">
        <v>1580</v>
      </c>
      <c r="S47">
        <v>1</v>
      </c>
      <c r="T47">
        <v>NaN</v>
      </c>
      <c r="U47">
        <v>NaN</v>
      </c>
      <c r="V47">
        <v>NaN</v>
      </c>
      <c r="W47">
        <v>NaN</v>
      </c>
      <c r="X47">
        <v>0</v>
      </c>
      <c r="Y47">
        <v>NaN</v>
      </c>
      <c r="Z47">
        <v>0</v>
      </c>
    </row>
    <row r="48" spans="1:26" x14ac:dyDescent="0.25">
      <c r="A48" t="s">
        <v>1566</v>
      </c>
      <c r="B48" s="13">
        <v>46256</v>
      </c>
      <c r="C48" t="s">
        <v>315</v>
      </c>
      <c r="D48" s="13">
        <v>46256</v>
      </c>
      <c r="E48" t="s">
        <v>1692</v>
      </c>
      <c r="F48" t="s">
        <v>1605</v>
      </c>
      <c r="G48" t="s">
        <v>1693</v>
      </c>
      <c r="H48" t="s">
        <v>1571</v>
      </c>
      <c r="I48" t="s">
        <v>1572</v>
      </c>
      <c r="J48" t="s">
        <v>255</v>
      </c>
      <c r="K48" t="s">
        <v>1573</v>
      </c>
      <c r="L48" t="s">
        <v>1696</v>
      </c>
      <c r="M48" t="s">
        <v>1697</v>
      </c>
      <c r="N48" t="s">
        <v>1576</v>
      </c>
      <c r="O48" t="s">
        <v>1577</v>
      </c>
      <c r="P48" t="s">
        <v>1578</v>
      </c>
      <c r="Q48" t="s">
        <v>1579</v>
      </c>
      <c r="R48" t="s">
        <v>1580</v>
      </c>
      <c r="S48">
        <v>1</v>
      </c>
      <c r="T48">
        <v>NaN</v>
      </c>
      <c r="U48">
        <v>NaN</v>
      </c>
      <c r="V48">
        <v>NaN</v>
      </c>
      <c r="W48">
        <v>NaN</v>
      </c>
      <c r="X48">
        <v>0</v>
      </c>
      <c r="Y48">
        <v>NaN</v>
      </c>
      <c r="Z48">
        <v>0</v>
      </c>
    </row>
    <row r="49" spans="1:26" x14ac:dyDescent="0.25">
      <c r="A49" t="s">
        <v>1566</v>
      </c>
      <c r="B49" s="13">
        <v>46257</v>
      </c>
      <c r="C49" t="s">
        <v>315</v>
      </c>
      <c r="D49" s="13">
        <v>46257</v>
      </c>
      <c r="E49" t="s">
        <v>1692</v>
      </c>
      <c r="F49" t="s">
        <v>1605</v>
      </c>
      <c r="G49" t="s">
        <v>1693</v>
      </c>
      <c r="H49" t="s">
        <v>1571</v>
      </c>
      <c r="I49" t="s">
        <v>1572</v>
      </c>
      <c r="J49" t="s">
        <v>255</v>
      </c>
      <c r="K49" t="s">
        <v>1573</v>
      </c>
      <c r="L49" t="s">
        <v>1698</v>
      </c>
      <c r="M49" t="s">
        <v>1699</v>
      </c>
      <c r="N49" t="s">
        <v>1576</v>
      </c>
      <c r="O49" t="s">
        <v>1577</v>
      </c>
      <c r="P49" t="s">
        <v>1578</v>
      </c>
      <c r="Q49" t="s">
        <v>1579</v>
      </c>
      <c r="R49" t="s">
        <v>1580</v>
      </c>
      <c r="S49">
        <v>1</v>
      </c>
      <c r="T49">
        <v>NaN</v>
      </c>
      <c r="U49">
        <v>NaN</v>
      </c>
      <c r="V49">
        <v>NaN</v>
      </c>
      <c r="W49">
        <v>NaN</v>
      </c>
      <c r="X49">
        <v>0</v>
      </c>
      <c r="Y49">
        <v>NaN</v>
      </c>
      <c r="Z49">
        <v>0</v>
      </c>
    </row>
    <row r="50" spans="1:26" x14ac:dyDescent="0.25">
      <c r="A50" t="s">
        <v>1566</v>
      </c>
      <c r="B50" s="13">
        <v>46258</v>
      </c>
      <c r="C50" t="s">
        <v>315</v>
      </c>
      <c r="D50" s="13">
        <v>46258</v>
      </c>
      <c r="E50" t="s">
        <v>1692</v>
      </c>
      <c r="F50" t="s">
        <v>1605</v>
      </c>
      <c r="G50" t="s">
        <v>1693</v>
      </c>
      <c r="H50" t="s">
        <v>1571</v>
      </c>
      <c r="I50" t="s">
        <v>1572</v>
      </c>
      <c r="J50" t="s">
        <v>255</v>
      </c>
      <c r="K50" t="s">
        <v>1573</v>
      </c>
      <c r="L50" t="s">
        <v>1700</v>
      </c>
      <c r="M50" t="s">
        <v>1701</v>
      </c>
      <c r="N50" t="s">
        <v>1576</v>
      </c>
      <c r="O50" t="s">
        <v>1577</v>
      </c>
      <c r="P50" t="s">
        <v>1578</v>
      </c>
      <c r="Q50" t="s">
        <v>1579</v>
      </c>
      <c r="R50" t="s">
        <v>1580</v>
      </c>
      <c r="S50">
        <v>1</v>
      </c>
      <c r="T50">
        <v>NaN</v>
      </c>
      <c r="U50">
        <v>NaN</v>
      </c>
      <c r="V50">
        <v>NaN</v>
      </c>
      <c r="W50">
        <v>NaN</v>
      </c>
      <c r="X50">
        <v>0</v>
      </c>
      <c r="Y50">
        <v>NaN</v>
      </c>
      <c r="Z50">
        <v>0</v>
      </c>
    </row>
    <row r="51" spans="1:26" x14ac:dyDescent="0.25">
      <c r="A51" t="s">
        <v>1566</v>
      </c>
      <c r="B51" s="13">
        <v>46259</v>
      </c>
      <c r="C51" t="s">
        <v>315</v>
      </c>
      <c r="D51" s="13">
        <v>46259</v>
      </c>
      <c r="E51" t="s">
        <v>1692</v>
      </c>
      <c r="F51" t="s">
        <v>1605</v>
      </c>
      <c r="G51" t="s">
        <v>1693</v>
      </c>
      <c r="H51" t="s">
        <v>1571</v>
      </c>
      <c r="I51" t="s">
        <v>1572</v>
      </c>
      <c r="J51" t="s">
        <v>255</v>
      </c>
      <c r="K51" t="s">
        <v>1573</v>
      </c>
      <c r="L51" t="s">
        <v>1702</v>
      </c>
      <c r="M51" t="s">
        <v>1703</v>
      </c>
      <c r="N51" t="s">
        <v>1576</v>
      </c>
      <c r="O51" t="s">
        <v>1577</v>
      </c>
      <c r="P51" t="s">
        <v>1578</v>
      </c>
      <c r="Q51" t="s">
        <v>1579</v>
      </c>
      <c r="R51" t="s">
        <v>1580</v>
      </c>
      <c r="S51">
        <v>1</v>
      </c>
      <c r="T51">
        <v>NaN</v>
      </c>
      <c r="U51">
        <v>NaN</v>
      </c>
      <c r="V51">
        <v>NaN</v>
      </c>
      <c r="W51">
        <v>NaN</v>
      </c>
      <c r="X51">
        <v>0</v>
      </c>
      <c r="Y51">
        <v>NaN</v>
      </c>
      <c r="Z51">
        <v>0</v>
      </c>
    </row>
    <row r="52" spans="1:26" x14ac:dyDescent="0.25">
      <c r="A52" t="s">
        <v>1566</v>
      </c>
      <c r="B52" s="13">
        <v>46245</v>
      </c>
      <c r="C52" t="s">
        <v>316</v>
      </c>
      <c r="D52" s="13">
        <v>46245</v>
      </c>
      <c r="E52" t="s">
        <v>1704</v>
      </c>
      <c r="F52" t="s">
        <v>1605</v>
      </c>
      <c r="G52" t="s">
        <v>1705</v>
      </c>
      <c r="H52" t="s">
        <v>1571</v>
      </c>
      <c r="I52" t="s">
        <v>1572</v>
      </c>
      <c r="J52" t="s">
        <v>255</v>
      </c>
      <c r="K52" t="s">
        <v>1573</v>
      </c>
      <c r="L52" t="s">
        <v>1706</v>
      </c>
      <c r="M52" t="s">
        <v>1707</v>
      </c>
      <c r="N52" t="s">
        <v>1576</v>
      </c>
      <c r="O52" t="s">
        <v>1577</v>
      </c>
      <c r="P52" t="s">
        <v>1578</v>
      </c>
      <c r="Q52" t="s">
        <v>1579</v>
      </c>
      <c r="R52" t="s">
        <v>1580</v>
      </c>
      <c r="S52">
        <v>1</v>
      </c>
      <c r="T52">
        <v>NaN</v>
      </c>
      <c r="U52">
        <v>NaN</v>
      </c>
      <c r="V52">
        <v>NaN</v>
      </c>
      <c r="W52">
        <v>NaN</v>
      </c>
      <c r="X52">
        <v>0</v>
      </c>
      <c r="Y52">
        <v>NaN</v>
      </c>
      <c r="Z52">
        <v>0</v>
      </c>
    </row>
    <row r="53" spans="1:26" x14ac:dyDescent="0.25">
      <c r="A53" t="s">
        <v>1566</v>
      </c>
      <c r="B53" s="13">
        <v>46246</v>
      </c>
      <c r="C53" t="s">
        <v>316</v>
      </c>
      <c r="D53" s="13">
        <v>46246</v>
      </c>
      <c r="E53" t="s">
        <v>1704</v>
      </c>
      <c r="F53" t="s">
        <v>1605</v>
      </c>
      <c r="G53" t="s">
        <v>1705</v>
      </c>
      <c r="H53" t="s">
        <v>1571</v>
      </c>
      <c r="I53" t="s">
        <v>1572</v>
      </c>
      <c r="J53" t="s">
        <v>255</v>
      </c>
      <c r="K53" t="s">
        <v>1573</v>
      </c>
      <c r="L53" t="s">
        <v>1708</v>
      </c>
      <c r="M53" t="s">
        <v>1709</v>
      </c>
      <c r="N53" t="s">
        <v>1576</v>
      </c>
      <c r="O53" t="s">
        <v>1577</v>
      </c>
      <c r="P53" t="s">
        <v>1578</v>
      </c>
      <c r="Q53" t="s">
        <v>1579</v>
      </c>
      <c r="R53" t="s">
        <v>1580</v>
      </c>
      <c r="S53">
        <v>1</v>
      </c>
      <c r="T53">
        <v>NaN</v>
      </c>
      <c r="U53">
        <v>NaN</v>
      </c>
      <c r="V53">
        <v>NaN</v>
      </c>
      <c r="W53">
        <v>NaN</v>
      </c>
      <c r="X53">
        <v>0</v>
      </c>
      <c r="Y53">
        <v>NaN</v>
      </c>
      <c r="Z53">
        <v>0</v>
      </c>
    </row>
    <row r="54" spans="1:26" x14ac:dyDescent="0.25">
      <c r="A54" t="s">
        <v>1566</v>
      </c>
      <c r="B54" s="13">
        <v>46247</v>
      </c>
      <c r="C54" t="s">
        <v>316</v>
      </c>
      <c r="D54" s="13">
        <v>46247</v>
      </c>
      <c r="E54" t="s">
        <v>1704</v>
      </c>
      <c r="F54" t="s">
        <v>1605</v>
      </c>
      <c r="G54" t="s">
        <v>1705</v>
      </c>
      <c r="H54" t="s">
        <v>1571</v>
      </c>
      <c r="I54" t="s">
        <v>1572</v>
      </c>
      <c r="J54" t="s">
        <v>255</v>
      </c>
      <c r="K54" t="s">
        <v>1573</v>
      </c>
      <c r="L54" t="s">
        <v>1710</v>
      </c>
      <c r="M54" t="s">
        <v>1711</v>
      </c>
      <c r="N54" t="s">
        <v>1576</v>
      </c>
      <c r="O54" t="s">
        <v>1577</v>
      </c>
      <c r="P54" t="s">
        <v>1578</v>
      </c>
      <c r="Q54" t="s">
        <v>1579</v>
      </c>
      <c r="R54" t="s">
        <v>1580</v>
      </c>
      <c r="S54">
        <v>1</v>
      </c>
      <c r="T54">
        <v>NaN</v>
      </c>
      <c r="U54">
        <v>NaN</v>
      </c>
      <c r="V54">
        <v>NaN</v>
      </c>
      <c r="W54">
        <v>NaN</v>
      </c>
      <c r="X54">
        <v>0</v>
      </c>
      <c r="Y54">
        <v>NaN</v>
      </c>
      <c r="Z54">
        <v>0</v>
      </c>
    </row>
    <row r="55" spans="1:26" x14ac:dyDescent="0.25">
      <c r="A55" t="s">
        <v>1566</v>
      </c>
      <c r="B55" s="13">
        <v>46248</v>
      </c>
      <c r="C55" t="s">
        <v>316</v>
      </c>
      <c r="D55" s="13">
        <v>46248</v>
      </c>
      <c r="E55" t="s">
        <v>1704</v>
      </c>
      <c r="F55" t="s">
        <v>1605</v>
      </c>
      <c r="G55" t="s">
        <v>1705</v>
      </c>
      <c r="H55" t="s">
        <v>1571</v>
      </c>
      <c r="I55" t="s">
        <v>1572</v>
      </c>
      <c r="J55" t="s">
        <v>255</v>
      </c>
      <c r="K55" t="s">
        <v>1573</v>
      </c>
      <c r="L55" t="s">
        <v>1712</v>
      </c>
      <c r="M55" t="s">
        <v>1713</v>
      </c>
      <c r="N55" t="s">
        <v>1576</v>
      </c>
      <c r="O55" t="s">
        <v>1577</v>
      </c>
      <c r="P55" t="s">
        <v>1578</v>
      </c>
      <c r="Q55" t="s">
        <v>1579</v>
      </c>
      <c r="R55" t="s">
        <v>1580</v>
      </c>
      <c r="S55">
        <v>1</v>
      </c>
      <c r="T55">
        <v>NaN</v>
      </c>
      <c r="U55">
        <v>NaN</v>
      </c>
      <c r="V55">
        <v>NaN</v>
      </c>
      <c r="W55">
        <v>NaN</v>
      </c>
      <c r="X55">
        <v>0</v>
      </c>
      <c r="Y55">
        <v>NaN</v>
      </c>
      <c r="Z55">
        <v>0</v>
      </c>
    </row>
    <row r="56" spans="1:26" x14ac:dyDescent="0.25">
      <c r="A56" t="s">
        <v>1566</v>
      </c>
      <c r="B56" s="13">
        <v>46249</v>
      </c>
      <c r="C56" t="s">
        <v>316</v>
      </c>
      <c r="D56" s="13">
        <v>46249</v>
      </c>
      <c r="E56" t="s">
        <v>1704</v>
      </c>
      <c r="F56" t="s">
        <v>1605</v>
      </c>
      <c r="G56" t="s">
        <v>1705</v>
      </c>
      <c r="H56" t="s">
        <v>1571</v>
      </c>
      <c r="I56" t="s">
        <v>1572</v>
      </c>
      <c r="J56" t="s">
        <v>255</v>
      </c>
      <c r="K56" t="s">
        <v>1573</v>
      </c>
      <c r="L56" t="s">
        <v>1714</v>
      </c>
      <c r="M56" t="s">
        <v>1715</v>
      </c>
      <c r="N56" t="s">
        <v>1576</v>
      </c>
      <c r="O56" t="s">
        <v>1577</v>
      </c>
      <c r="P56" t="s">
        <v>1578</v>
      </c>
      <c r="Q56" t="s">
        <v>1579</v>
      </c>
      <c r="R56" t="s">
        <v>1580</v>
      </c>
      <c r="S56">
        <v>1</v>
      </c>
      <c r="T56">
        <v>NaN</v>
      </c>
      <c r="U56">
        <v>NaN</v>
      </c>
      <c r="V56">
        <v>NaN</v>
      </c>
      <c r="W56">
        <v>NaN</v>
      </c>
      <c r="X56">
        <v>0</v>
      </c>
      <c r="Y56">
        <v>NaN</v>
      </c>
      <c r="Z56">
        <v>0</v>
      </c>
    </row>
    <row r="57" spans="1:26" x14ac:dyDescent="0.25">
      <c r="A57" t="s">
        <v>1566</v>
      </c>
      <c r="B57" s="13">
        <v>46250</v>
      </c>
      <c r="C57" t="s">
        <v>317</v>
      </c>
      <c r="D57" s="13">
        <v>46250</v>
      </c>
      <c r="E57" t="s">
        <v>1716</v>
      </c>
      <c r="F57" t="s">
        <v>1605</v>
      </c>
      <c r="G57" t="s">
        <v>1717</v>
      </c>
      <c r="H57" t="s">
        <v>1571</v>
      </c>
      <c r="I57" t="s">
        <v>1572</v>
      </c>
      <c r="J57" t="s">
        <v>255</v>
      </c>
      <c r="K57" t="s">
        <v>1573</v>
      </c>
      <c r="L57" t="s">
        <v>1718</v>
      </c>
      <c r="M57" t="s">
        <v>1719</v>
      </c>
      <c r="N57" t="s">
        <v>1576</v>
      </c>
      <c r="O57" t="s">
        <v>1577</v>
      </c>
      <c r="P57" t="s">
        <v>1578</v>
      </c>
      <c r="Q57" t="s">
        <v>1579</v>
      </c>
      <c r="R57" t="s">
        <v>1580</v>
      </c>
      <c r="S57">
        <v>1</v>
      </c>
      <c r="T57">
        <v>NaN</v>
      </c>
      <c r="U57">
        <v>NaN</v>
      </c>
      <c r="V57">
        <v>NaN</v>
      </c>
      <c r="W57">
        <v>NaN</v>
      </c>
      <c r="X57">
        <v>0</v>
      </c>
      <c r="Y57">
        <v>NaN</v>
      </c>
      <c r="Z57">
        <v>0</v>
      </c>
    </row>
    <row r="58" spans="1:26" x14ac:dyDescent="0.25">
      <c r="A58" t="s">
        <v>1566</v>
      </c>
      <c r="B58" s="13">
        <v>46251</v>
      </c>
      <c r="C58" t="s">
        <v>317</v>
      </c>
      <c r="D58" s="13">
        <v>46251</v>
      </c>
      <c r="E58" t="s">
        <v>1716</v>
      </c>
      <c r="F58" t="s">
        <v>1605</v>
      </c>
      <c r="G58" t="s">
        <v>1717</v>
      </c>
      <c r="H58" t="s">
        <v>1571</v>
      </c>
      <c r="I58" t="s">
        <v>1572</v>
      </c>
      <c r="J58" t="s">
        <v>255</v>
      </c>
      <c r="K58" t="s">
        <v>1573</v>
      </c>
      <c r="L58" t="s">
        <v>1720</v>
      </c>
      <c r="M58" t="s">
        <v>1721</v>
      </c>
      <c r="N58" t="s">
        <v>1576</v>
      </c>
      <c r="O58" t="s">
        <v>1577</v>
      </c>
      <c r="P58" t="s">
        <v>1578</v>
      </c>
      <c r="Q58" t="s">
        <v>1579</v>
      </c>
      <c r="R58" t="s">
        <v>1580</v>
      </c>
      <c r="S58">
        <v>1</v>
      </c>
      <c r="T58">
        <v>NaN</v>
      </c>
      <c r="U58">
        <v>NaN</v>
      </c>
      <c r="V58">
        <v>NaN</v>
      </c>
      <c r="W58">
        <v>NaN</v>
      </c>
      <c r="X58">
        <v>0</v>
      </c>
      <c r="Y58">
        <v>NaN</v>
      </c>
      <c r="Z58">
        <v>0</v>
      </c>
    </row>
    <row r="59" spans="1:26" x14ac:dyDescent="0.25">
      <c r="A59" t="s">
        <v>1566</v>
      </c>
      <c r="B59" s="13">
        <v>46252</v>
      </c>
      <c r="C59" t="s">
        <v>317</v>
      </c>
      <c r="D59" s="13">
        <v>46252</v>
      </c>
      <c r="E59" t="s">
        <v>1716</v>
      </c>
      <c r="F59" t="s">
        <v>1605</v>
      </c>
      <c r="G59" t="s">
        <v>1717</v>
      </c>
      <c r="H59" t="s">
        <v>1571</v>
      </c>
      <c r="I59" t="s">
        <v>1572</v>
      </c>
      <c r="J59" t="s">
        <v>255</v>
      </c>
      <c r="K59" t="s">
        <v>1573</v>
      </c>
      <c r="L59" t="s">
        <v>1722</v>
      </c>
      <c r="M59" t="s">
        <v>1723</v>
      </c>
      <c r="N59" t="s">
        <v>1576</v>
      </c>
      <c r="O59" t="s">
        <v>1577</v>
      </c>
      <c r="P59" t="s">
        <v>1578</v>
      </c>
      <c r="Q59" t="s">
        <v>1579</v>
      </c>
      <c r="R59" t="s">
        <v>1580</v>
      </c>
      <c r="S59">
        <v>1</v>
      </c>
      <c r="T59">
        <v>NaN</v>
      </c>
      <c r="U59">
        <v>NaN</v>
      </c>
      <c r="V59">
        <v>NaN</v>
      </c>
      <c r="W59">
        <v>NaN</v>
      </c>
      <c r="X59">
        <v>0</v>
      </c>
      <c r="Y59">
        <v>NaN</v>
      </c>
      <c r="Z59">
        <v>0</v>
      </c>
    </row>
    <row r="60" spans="1:26" x14ac:dyDescent="0.25">
      <c r="A60" t="s">
        <v>1566</v>
      </c>
      <c r="B60" s="13">
        <v>46253</v>
      </c>
      <c r="C60" t="s">
        <v>317</v>
      </c>
      <c r="D60" s="13">
        <v>46253</v>
      </c>
      <c r="E60" t="s">
        <v>1716</v>
      </c>
      <c r="F60" t="s">
        <v>1605</v>
      </c>
      <c r="G60" t="s">
        <v>1717</v>
      </c>
      <c r="H60" t="s">
        <v>1571</v>
      </c>
      <c r="I60" t="s">
        <v>1572</v>
      </c>
      <c r="J60" t="s">
        <v>255</v>
      </c>
      <c r="K60" t="s">
        <v>1573</v>
      </c>
      <c r="L60" t="s">
        <v>1724</v>
      </c>
      <c r="M60" t="s">
        <v>1725</v>
      </c>
      <c r="N60" t="s">
        <v>1576</v>
      </c>
      <c r="O60" t="s">
        <v>1577</v>
      </c>
      <c r="P60" t="s">
        <v>1578</v>
      </c>
      <c r="Q60" t="s">
        <v>1579</v>
      </c>
      <c r="R60" t="s">
        <v>1580</v>
      </c>
      <c r="S60">
        <v>1</v>
      </c>
      <c r="T60">
        <v>NaN</v>
      </c>
      <c r="U60">
        <v>NaN</v>
      </c>
      <c r="V60">
        <v>NaN</v>
      </c>
      <c r="W60">
        <v>NaN</v>
      </c>
      <c r="X60">
        <v>0</v>
      </c>
      <c r="Y60">
        <v>NaN</v>
      </c>
      <c r="Z60">
        <v>0</v>
      </c>
    </row>
    <row r="61" spans="1:26" x14ac:dyDescent="0.25">
      <c r="A61" t="s">
        <v>1566</v>
      </c>
      <c r="B61" s="13">
        <v>46254</v>
      </c>
      <c r="C61" t="s">
        <v>317</v>
      </c>
      <c r="D61" s="13">
        <v>46254</v>
      </c>
      <c r="E61" t="s">
        <v>1716</v>
      </c>
      <c r="F61" t="s">
        <v>1605</v>
      </c>
      <c r="G61" t="s">
        <v>1717</v>
      </c>
      <c r="H61" t="s">
        <v>1571</v>
      </c>
      <c r="I61" t="s">
        <v>1572</v>
      </c>
      <c r="J61" t="s">
        <v>255</v>
      </c>
      <c r="K61" t="s">
        <v>1573</v>
      </c>
      <c r="L61" t="s">
        <v>1726</v>
      </c>
      <c r="M61" t="s">
        <v>1727</v>
      </c>
      <c r="N61" t="s">
        <v>1576</v>
      </c>
      <c r="O61" t="s">
        <v>1577</v>
      </c>
      <c r="P61" t="s">
        <v>1578</v>
      </c>
      <c r="Q61" t="s">
        <v>1579</v>
      </c>
      <c r="R61" t="s">
        <v>1580</v>
      </c>
      <c r="S61">
        <v>1</v>
      </c>
      <c r="T61">
        <v>NaN</v>
      </c>
      <c r="U61">
        <v>NaN</v>
      </c>
      <c r="V61">
        <v>NaN</v>
      </c>
      <c r="W61">
        <v>NaN</v>
      </c>
      <c r="X61">
        <v>0</v>
      </c>
      <c r="Y61">
        <v>NaN</v>
      </c>
      <c r="Z61">
        <v>0</v>
      </c>
    </row>
    <row r="62" spans="1:26" x14ac:dyDescent="0.25">
      <c r="A62" t="s">
        <v>1566</v>
      </c>
      <c r="B62" s="13">
        <v>46255</v>
      </c>
      <c r="C62" t="s">
        <v>1728</v>
      </c>
      <c r="D62" s="13">
        <v>46255</v>
      </c>
      <c r="E62" t="s">
        <v>1729</v>
      </c>
      <c r="F62" t="s">
        <v>1605</v>
      </c>
      <c r="G62" t="s">
        <v>1730</v>
      </c>
      <c r="H62" t="s">
        <v>1571</v>
      </c>
      <c r="I62" t="s">
        <v>1572</v>
      </c>
      <c r="J62" t="s">
        <v>255</v>
      </c>
      <c r="K62" t="s">
        <v>1573</v>
      </c>
      <c r="L62" t="s">
        <v>1731</v>
      </c>
      <c r="M62" t="s">
        <v>1732</v>
      </c>
      <c r="N62" t="s">
        <v>1576</v>
      </c>
      <c r="O62" t="s">
        <v>1577</v>
      </c>
      <c r="P62" t="s">
        <v>1578</v>
      </c>
      <c r="Q62" t="s">
        <v>1579</v>
      </c>
      <c r="R62" t="s">
        <v>1580</v>
      </c>
      <c r="S62">
        <v>1</v>
      </c>
      <c r="T62">
        <v>NaN</v>
      </c>
      <c r="U62">
        <v>NaN</v>
      </c>
      <c r="V62">
        <v>NaN</v>
      </c>
      <c r="W62">
        <v>NaN</v>
      </c>
      <c r="X62">
        <v>0</v>
      </c>
      <c r="Y62">
        <v>NaN</v>
      </c>
      <c r="Z62">
        <v>0</v>
      </c>
    </row>
    <row r="63" spans="1:26" x14ac:dyDescent="0.25">
      <c r="A63" t="s">
        <v>1566</v>
      </c>
      <c r="B63" s="13">
        <v>46256</v>
      </c>
      <c r="C63" t="s">
        <v>1728</v>
      </c>
      <c r="D63" s="13">
        <v>46256</v>
      </c>
      <c r="E63" t="s">
        <v>1729</v>
      </c>
      <c r="F63" t="s">
        <v>1605</v>
      </c>
      <c r="G63" t="s">
        <v>1730</v>
      </c>
      <c r="H63" t="s">
        <v>1571</v>
      </c>
      <c r="I63" t="s">
        <v>1572</v>
      </c>
      <c r="J63" t="s">
        <v>255</v>
      </c>
      <c r="K63" t="s">
        <v>1573</v>
      </c>
      <c r="L63" t="s">
        <v>1733</v>
      </c>
      <c r="M63" t="s">
        <v>1734</v>
      </c>
      <c r="N63" t="s">
        <v>1576</v>
      </c>
      <c r="O63" t="s">
        <v>1577</v>
      </c>
      <c r="P63" t="s">
        <v>1578</v>
      </c>
      <c r="Q63" t="s">
        <v>1579</v>
      </c>
      <c r="R63" t="s">
        <v>1580</v>
      </c>
      <c r="S63">
        <v>1</v>
      </c>
      <c r="T63">
        <v>NaN</v>
      </c>
      <c r="U63">
        <v>NaN</v>
      </c>
      <c r="V63">
        <v>NaN</v>
      </c>
      <c r="W63">
        <v>NaN</v>
      </c>
      <c r="X63">
        <v>0</v>
      </c>
      <c r="Y63">
        <v>NaN</v>
      </c>
      <c r="Z63">
        <v>0</v>
      </c>
    </row>
    <row r="64" spans="1:26" x14ac:dyDescent="0.25">
      <c r="A64" t="s">
        <v>1566</v>
      </c>
      <c r="B64" s="13">
        <v>46257</v>
      </c>
      <c r="C64" t="s">
        <v>1728</v>
      </c>
      <c r="D64" s="13">
        <v>46257</v>
      </c>
      <c r="E64" t="s">
        <v>1729</v>
      </c>
      <c r="F64" t="s">
        <v>1605</v>
      </c>
      <c r="G64" t="s">
        <v>1730</v>
      </c>
      <c r="H64" t="s">
        <v>1571</v>
      </c>
      <c r="I64" t="s">
        <v>1572</v>
      </c>
      <c r="J64" t="s">
        <v>255</v>
      </c>
      <c r="K64" t="s">
        <v>1573</v>
      </c>
      <c r="L64" t="s">
        <v>1735</v>
      </c>
      <c r="M64" t="s">
        <v>1736</v>
      </c>
      <c r="N64" t="s">
        <v>1576</v>
      </c>
      <c r="O64" t="s">
        <v>1577</v>
      </c>
      <c r="P64" t="s">
        <v>1578</v>
      </c>
      <c r="Q64" t="s">
        <v>1579</v>
      </c>
      <c r="R64" t="s">
        <v>1580</v>
      </c>
      <c r="S64">
        <v>1</v>
      </c>
      <c r="T64">
        <v>NaN</v>
      </c>
      <c r="U64">
        <v>NaN</v>
      </c>
      <c r="V64">
        <v>NaN</v>
      </c>
      <c r="W64">
        <v>NaN</v>
      </c>
      <c r="X64">
        <v>0</v>
      </c>
      <c r="Y64">
        <v>NaN</v>
      </c>
      <c r="Z64">
        <v>0</v>
      </c>
    </row>
    <row r="65" spans="1:26" x14ac:dyDescent="0.25">
      <c r="A65" t="s">
        <v>1566</v>
      </c>
      <c r="B65" s="13">
        <v>46258</v>
      </c>
      <c r="C65" t="s">
        <v>1728</v>
      </c>
      <c r="D65" s="13">
        <v>46258</v>
      </c>
      <c r="E65" t="s">
        <v>1729</v>
      </c>
      <c r="F65" t="s">
        <v>1605</v>
      </c>
      <c r="G65" t="s">
        <v>1730</v>
      </c>
      <c r="H65" t="s">
        <v>1571</v>
      </c>
      <c r="I65" t="s">
        <v>1572</v>
      </c>
      <c r="J65" t="s">
        <v>255</v>
      </c>
      <c r="K65" t="s">
        <v>1573</v>
      </c>
      <c r="L65" t="s">
        <v>1737</v>
      </c>
      <c r="M65" t="s">
        <v>1738</v>
      </c>
      <c r="N65" t="s">
        <v>1576</v>
      </c>
      <c r="O65" t="s">
        <v>1577</v>
      </c>
      <c r="P65" t="s">
        <v>1578</v>
      </c>
      <c r="Q65" t="s">
        <v>1579</v>
      </c>
      <c r="R65" t="s">
        <v>1580</v>
      </c>
      <c r="S65">
        <v>1</v>
      </c>
      <c r="T65">
        <v>NaN</v>
      </c>
      <c r="U65">
        <v>NaN</v>
      </c>
      <c r="V65">
        <v>NaN</v>
      </c>
      <c r="W65">
        <v>NaN</v>
      </c>
      <c r="X65">
        <v>0</v>
      </c>
      <c r="Y65">
        <v>NaN</v>
      </c>
      <c r="Z65">
        <v>0</v>
      </c>
    </row>
    <row r="66" spans="1:26" x14ac:dyDescent="0.25">
      <c r="A66" t="s">
        <v>1566</v>
      </c>
      <c r="B66" s="13">
        <v>46259</v>
      </c>
      <c r="C66" t="s">
        <v>1728</v>
      </c>
      <c r="D66" s="13">
        <v>46259</v>
      </c>
      <c r="E66" t="s">
        <v>1729</v>
      </c>
      <c r="F66" t="s">
        <v>1605</v>
      </c>
      <c r="G66" t="s">
        <v>1730</v>
      </c>
      <c r="H66" t="s">
        <v>1571</v>
      </c>
      <c r="I66" t="s">
        <v>1572</v>
      </c>
      <c r="J66" t="s">
        <v>255</v>
      </c>
      <c r="K66" t="s">
        <v>1573</v>
      </c>
      <c r="L66" t="s">
        <v>1739</v>
      </c>
      <c r="M66" t="s">
        <v>1740</v>
      </c>
      <c r="N66" t="s">
        <v>1576</v>
      </c>
      <c r="O66" t="s">
        <v>1577</v>
      </c>
      <c r="P66" t="s">
        <v>1578</v>
      </c>
      <c r="Q66" t="s">
        <v>1579</v>
      </c>
      <c r="R66" t="s">
        <v>1580</v>
      </c>
      <c r="S66">
        <v>1</v>
      </c>
      <c r="T66">
        <v>NaN</v>
      </c>
      <c r="U66">
        <v>NaN</v>
      </c>
      <c r="V66">
        <v>NaN</v>
      </c>
      <c r="W66">
        <v>NaN</v>
      </c>
      <c r="X66">
        <v>0</v>
      </c>
      <c r="Y66">
        <v>NaN</v>
      </c>
      <c r="Z66">
        <v>0</v>
      </c>
    </row>
    <row r="67" spans="1:26" x14ac:dyDescent="0.25">
      <c r="A67" t="s">
        <v>1566</v>
      </c>
      <c r="B67" s="13">
        <v>46245</v>
      </c>
      <c r="C67" t="s">
        <v>1741</v>
      </c>
      <c r="D67" s="13">
        <v>46245</v>
      </c>
      <c r="E67" t="s">
        <v>1742</v>
      </c>
      <c r="F67" t="s">
        <v>1743</v>
      </c>
      <c r="G67" t="s">
        <v>1744</v>
      </c>
      <c r="H67" t="s">
        <v>1571</v>
      </c>
      <c r="I67" t="s">
        <v>1572</v>
      </c>
      <c r="J67" t="s">
        <v>255</v>
      </c>
      <c r="K67" t="s">
        <v>1573</v>
      </c>
      <c r="L67" t="s">
        <v>1745</v>
      </c>
      <c r="M67" t="s">
        <v>1746</v>
      </c>
      <c r="N67" t="s">
        <v>1576</v>
      </c>
      <c r="O67" t="s">
        <v>1577</v>
      </c>
      <c r="P67" t="s">
        <v>1578</v>
      </c>
      <c r="Q67" t="s">
        <v>1579</v>
      </c>
      <c r="R67" t="s">
        <v>1580</v>
      </c>
      <c r="S67">
        <v>1</v>
      </c>
      <c r="T67">
        <v>NaN</v>
      </c>
      <c r="U67">
        <v>NaN</v>
      </c>
      <c r="V67">
        <v>NaN</v>
      </c>
      <c r="W67">
        <v>NaN</v>
      </c>
      <c r="X67">
        <v>0</v>
      </c>
      <c r="Y67">
        <v>NaN</v>
      </c>
      <c r="Z67">
        <v>0</v>
      </c>
    </row>
    <row r="68" spans="1:26" x14ac:dyDescent="0.25">
      <c r="A68" t="s">
        <v>1566</v>
      </c>
      <c r="B68" s="13">
        <v>46246</v>
      </c>
      <c r="C68" t="s">
        <v>1741</v>
      </c>
      <c r="D68" s="13">
        <v>46246</v>
      </c>
      <c r="E68" t="s">
        <v>1742</v>
      </c>
      <c r="F68" t="s">
        <v>1743</v>
      </c>
      <c r="G68" t="s">
        <v>1744</v>
      </c>
      <c r="H68" t="s">
        <v>1571</v>
      </c>
      <c r="I68" t="s">
        <v>1572</v>
      </c>
      <c r="J68" t="s">
        <v>255</v>
      </c>
      <c r="K68" t="s">
        <v>1573</v>
      </c>
      <c r="L68" t="s">
        <v>1747</v>
      </c>
      <c r="M68" t="s">
        <v>1748</v>
      </c>
      <c r="N68" t="s">
        <v>1576</v>
      </c>
      <c r="O68" t="s">
        <v>1577</v>
      </c>
      <c r="P68" t="s">
        <v>1578</v>
      </c>
      <c r="Q68" t="s">
        <v>1579</v>
      </c>
      <c r="R68" t="s">
        <v>1580</v>
      </c>
      <c r="S68">
        <v>1</v>
      </c>
      <c r="T68">
        <v>NaN</v>
      </c>
      <c r="U68">
        <v>NaN</v>
      </c>
      <c r="V68">
        <v>NaN</v>
      </c>
      <c r="W68">
        <v>NaN</v>
      </c>
      <c r="X68">
        <v>0</v>
      </c>
      <c r="Y68">
        <v>NaN</v>
      </c>
      <c r="Z68">
        <v>0</v>
      </c>
    </row>
    <row r="69" spans="1:26" x14ac:dyDescent="0.25">
      <c r="A69" t="s">
        <v>1566</v>
      </c>
      <c r="B69" s="13">
        <v>46247</v>
      </c>
      <c r="C69" t="s">
        <v>1741</v>
      </c>
      <c r="D69" s="13">
        <v>46247</v>
      </c>
      <c r="E69" t="s">
        <v>1742</v>
      </c>
      <c r="F69" t="s">
        <v>1743</v>
      </c>
      <c r="G69" t="s">
        <v>1744</v>
      </c>
      <c r="H69" t="s">
        <v>1571</v>
      </c>
      <c r="I69" t="s">
        <v>1572</v>
      </c>
      <c r="J69" t="s">
        <v>255</v>
      </c>
      <c r="K69" t="s">
        <v>1573</v>
      </c>
      <c r="L69" t="s">
        <v>1749</v>
      </c>
      <c r="M69" t="s">
        <v>1750</v>
      </c>
      <c r="N69" t="s">
        <v>1576</v>
      </c>
      <c r="O69" t="s">
        <v>1577</v>
      </c>
      <c r="P69" t="s">
        <v>1578</v>
      </c>
      <c r="Q69" t="s">
        <v>1579</v>
      </c>
      <c r="R69" t="s">
        <v>1580</v>
      </c>
      <c r="S69">
        <v>1</v>
      </c>
      <c r="T69">
        <v>NaN</v>
      </c>
      <c r="U69">
        <v>NaN</v>
      </c>
      <c r="V69">
        <v>NaN</v>
      </c>
      <c r="W69">
        <v>NaN</v>
      </c>
      <c r="X69">
        <v>0</v>
      </c>
      <c r="Y69">
        <v>NaN</v>
      </c>
      <c r="Z69">
        <v>0</v>
      </c>
    </row>
    <row r="70" spans="1:26" x14ac:dyDescent="0.25">
      <c r="A70" t="s">
        <v>1566</v>
      </c>
      <c r="B70" s="13">
        <v>46248</v>
      </c>
      <c r="C70" t="s">
        <v>1741</v>
      </c>
      <c r="D70" s="13">
        <v>46248</v>
      </c>
      <c r="E70" t="s">
        <v>1742</v>
      </c>
      <c r="F70" t="s">
        <v>1743</v>
      </c>
      <c r="G70" t="s">
        <v>1744</v>
      </c>
      <c r="H70" t="s">
        <v>1571</v>
      </c>
      <c r="I70" t="s">
        <v>1572</v>
      </c>
      <c r="J70" t="s">
        <v>255</v>
      </c>
      <c r="K70" t="s">
        <v>1573</v>
      </c>
      <c r="L70" t="s">
        <v>1751</v>
      </c>
      <c r="M70" t="s">
        <v>1752</v>
      </c>
      <c r="N70" t="s">
        <v>1576</v>
      </c>
      <c r="O70" t="s">
        <v>1577</v>
      </c>
      <c r="P70" t="s">
        <v>1578</v>
      </c>
      <c r="Q70" t="s">
        <v>1579</v>
      </c>
      <c r="R70" t="s">
        <v>1580</v>
      </c>
      <c r="S70">
        <v>1</v>
      </c>
      <c r="T70">
        <v>NaN</v>
      </c>
      <c r="U70">
        <v>NaN</v>
      </c>
      <c r="V70">
        <v>NaN</v>
      </c>
      <c r="W70">
        <v>NaN</v>
      </c>
      <c r="X70">
        <v>0</v>
      </c>
      <c r="Y70">
        <v>NaN</v>
      </c>
      <c r="Z70">
        <v>0</v>
      </c>
    </row>
    <row r="71" spans="1:26" x14ac:dyDescent="0.25">
      <c r="A71" t="s">
        <v>1566</v>
      </c>
      <c r="B71" s="13">
        <v>46249</v>
      </c>
      <c r="C71" t="s">
        <v>1741</v>
      </c>
      <c r="D71" s="13">
        <v>46249</v>
      </c>
      <c r="E71" t="s">
        <v>1742</v>
      </c>
      <c r="F71" t="s">
        <v>1743</v>
      </c>
      <c r="G71" t="s">
        <v>1744</v>
      </c>
      <c r="H71" t="s">
        <v>1571</v>
      </c>
      <c r="I71" t="s">
        <v>1572</v>
      </c>
      <c r="J71" t="s">
        <v>255</v>
      </c>
      <c r="K71" t="s">
        <v>1573</v>
      </c>
      <c r="L71" t="s">
        <v>1753</v>
      </c>
      <c r="M71" t="s">
        <v>1754</v>
      </c>
      <c r="N71" t="s">
        <v>1576</v>
      </c>
      <c r="O71" t="s">
        <v>1577</v>
      </c>
      <c r="P71" t="s">
        <v>1578</v>
      </c>
      <c r="Q71" t="s">
        <v>1579</v>
      </c>
      <c r="R71" t="s">
        <v>1580</v>
      </c>
      <c r="S71">
        <v>1</v>
      </c>
      <c r="T71">
        <v>NaN</v>
      </c>
      <c r="U71">
        <v>NaN</v>
      </c>
      <c r="V71">
        <v>NaN</v>
      </c>
      <c r="W71">
        <v>NaN</v>
      </c>
      <c r="X71">
        <v>0</v>
      </c>
      <c r="Y71">
        <v>NaN</v>
      </c>
      <c r="Z71">
        <v>0</v>
      </c>
    </row>
    <row r="72" spans="1:26" x14ac:dyDescent="0.25">
      <c r="A72" t="s">
        <v>1566</v>
      </c>
      <c r="B72" s="13">
        <v>46250</v>
      </c>
      <c r="C72" t="s">
        <v>1603</v>
      </c>
      <c r="D72" s="13">
        <v>46250</v>
      </c>
      <c r="E72" t="s">
        <v>1604</v>
      </c>
      <c r="F72" t="s">
        <v>1743</v>
      </c>
      <c r="G72" t="s">
        <v>1606</v>
      </c>
      <c r="H72" t="s">
        <v>1571</v>
      </c>
      <c r="I72" t="s">
        <v>1572</v>
      </c>
      <c r="J72" t="s">
        <v>255</v>
      </c>
      <c r="K72" t="s">
        <v>1573</v>
      </c>
      <c r="L72" t="s">
        <v>1755</v>
      </c>
      <c r="M72" t="s">
        <v>1756</v>
      </c>
      <c r="N72" t="s">
        <v>1576</v>
      </c>
      <c r="O72" t="s">
        <v>1577</v>
      </c>
      <c r="P72" t="s">
        <v>1578</v>
      </c>
      <c r="Q72" t="s">
        <v>1579</v>
      </c>
      <c r="R72" t="s">
        <v>1580</v>
      </c>
      <c r="S72">
        <v>1</v>
      </c>
      <c r="T72">
        <v>NaN</v>
      </c>
      <c r="U72">
        <v>NaN</v>
      </c>
      <c r="V72">
        <v>NaN</v>
      </c>
      <c r="W72">
        <v>NaN</v>
      </c>
      <c r="X72">
        <v>0</v>
      </c>
      <c r="Y72">
        <v>NaN</v>
      </c>
      <c r="Z72">
        <v>0</v>
      </c>
    </row>
    <row r="73" spans="1:26" x14ac:dyDescent="0.25">
      <c r="A73" t="s">
        <v>1566</v>
      </c>
      <c r="B73" s="13">
        <v>46251</v>
      </c>
      <c r="C73" t="s">
        <v>1603</v>
      </c>
      <c r="D73" s="13">
        <v>46251</v>
      </c>
      <c r="E73" t="s">
        <v>1604</v>
      </c>
      <c r="F73" t="s">
        <v>1743</v>
      </c>
      <c r="G73" t="s">
        <v>1606</v>
      </c>
      <c r="H73" t="s">
        <v>1571</v>
      </c>
      <c r="I73" t="s">
        <v>1572</v>
      </c>
      <c r="J73" t="s">
        <v>255</v>
      </c>
      <c r="K73" t="s">
        <v>1573</v>
      </c>
      <c r="L73" t="s">
        <v>1757</v>
      </c>
      <c r="M73" t="s">
        <v>1758</v>
      </c>
      <c r="N73" t="s">
        <v>1576</v>
      </c>
      <c r="O73" t="s">
        <v>1577</v>
      </c>
      <c r="P73" t="s">
        <v>1578</v>
      </c>
      <c r="Q73" t="s">
        <v>1579</v>
      </c>
      <c r="R73" t="s">
        <v>1580</v>
      </c>
      <c r="S73">
        <v>1</v>
      </c>
      <c r="T73">
        <v>NaN</v>
      </c>
      <c r="U73">
        <v>NaN</v>
      </c>
      <c r="V73">
        <v>NaN</v>
      </c>
      <c r="W73">
        <v>NaN</v>
      </c>
      <c r="X73">
        <v>0</v>
      </c>
      <c r="Y73">
        <v>NaN</v>
      </c>
      <c r="Z73">
        <v>0</v>
      </c>
    </row>
    <row r="74" spans="1:26" x14ac:dyDescent="0.25">
      <c r="A74" t="s">
        <v>1566</v>
      </c>
      <c r="B74" s="13">
        <v>46252</v>
      </c>
      <c r="C74" t="s">
        <v>1603</v>
      </c>
      <c r="D74" s="13">
        <v>46252</v>
      </c>
      <c r="E74" t="s">
        <v>1604</v>
      </c>
      <c r="F74" t="s">
        <v>1743</v>
      </c>
      <c r="G74" t="s">
        <v>1606</v>
      </c>
      <c r="H74" t="s">
        <v>1571</v>
      </c>
      <c r="I74" t="s">
        <v>1572</v>
      </c>
      <c r="J74" t="s">
        <v>255</v>
      </c>
      <c r="K74" t="s">
        <v>1573</v>
      </c>
      <c r="L74" t="s">
        <v>1759</v>
      </c>
      <c r="M74" t="s">
        <v>1760</v>
      </c>
      <c r="N74" t="s">
        <v>1576</v>
      </c>
      <c r="O74" t="s">
        <v>1577</v>
      </c>
      <c r="P74" t="s">
        <v>1578</v>
      </c>
      <c r="Q74" t="s">
        <v>1579</v>
      </c>
      <c r="R74" t="s">
        <v>1580</v>
      </c>
      <c r="S74">
        <v>1</v>
      </c>
      <c r="T74">
        <v>NaN</v>
      </c>
      <c r="U74">
        <v>NaN</v>
      </c>
      <c r="V74">
        <v>NaN</v>
      </c>
      <c r="W74">
        <v>NaN</v>
      </c>
      <c r="X74">
        <v>0</v>
      </c>
      <c r="Y74">
        <v>NaN</v>
      </c>
      <c r="Z74">
        <v>0</v>
      </c>
    </row>
    <row r="75" spans="1:26" x14ac:dyDescent="0.25">
      <c r="A75" t="s">
        <v>1566</v>
      </c>
      <c r="B75" s="13">
        <v>46253</v>
      </c>
      <c r="C75" t="s">
        <v>1603</v>
      </c>
      <c r="D75" s="13">
        <v>46253</v>
      </c>
      <c r="E75" t="s">
        <v>1604</v>
      </c>
      <c r="F75" t="s">
        <v>1743</v>
      </c>
      <c r="G75" t="s">
        <v>1606</v>
      </c>
      <c r="H75" t="s">
        <v>1571</v>
      </c>
      <c r="I75" t="s">
        <v>1572</v>
      </c>
      <c r="J75" t="s">
        <v>255</v>
      </c>
      <c r="K75" t="s">
        <v>1573</v>
      </c>
      <c r="L75" t="s">
        <v>1761</v>
      </c>
      <c r="M75" t="s">
        <v>1762</v>
      </c>
      <c r="N75" t="s">
        <v>1576</v>
      </c>
      <c r="O75" t="s">
        <v>1577</v>
      </c>
      <c r="P75" t="s">
        <v>1578</v>
      </c>
      <c r="Q75" t="s">
        <v>1579</v>
      </c>
      <c r="R75" t="s">
        <v>1580</v>
      </c>
      <c r="S75">
        <v>1</v>
      </c>
      <c r="T75">
        <v>NaN</v>
      </c>
      <c r="U75">
        <v>NaN</v>
      </c>
      <c r="V75">
        <v>NaN</v>
      </c>
      <c r="W75">
        <v>NaN</v>
      </c>
      <c r="X75">
        <v>0</v>
      </c>
      <c r="Y75">
        <v>NaN</v>
      </c>
      <c r="Z75">
        <v>0</v>
      </c>
    </row>
    <row r="76" spans="1:26" x14ac:dyDescent="0.25">
      <c r="A76" t="s">
        <v>1566</v>
      </c>
      <c r="B76" s="13">
        <v>46254</v>
      </c>
      <c r="C76" t="s">
        <v>1603</v>
      </c>
      <c r="D76" s="13">
        <v>46254</v>
      </c>
      <c r="E76" t="s">
        <v>1604</v>
      </c>
      <c r="F76" t="s">
        <v>1743</v>
      </c>
      <c r="G76" t="s">
        <v>1606</v>
      </c>
      <c r="H76" t="s">
        <v>1571</v>
      </c>
      <c r="I76" t="s">
        <v>1572</v>
      </c>
      <c r="J76" t="s">
        <v>255</v>
      </c>
      <c r="K76" t="s">
        <v>1573</v>
      </c>
      <c r="L76" t="s">
        <v>1763</v>
      </c>
      <c r="M76" t="s">
        <v>1764</v>
      </c>
      <c r="N76" t="s">
        <v>1576</v>
      </c>
      <c r="O76" t="s">
        <v>1577</v>
      </c>
      <c r="P76" t="s">
        <v>1578</v>
      </c>
      <c r="Q76" t="s">
        <v>1579</v>
      </c>
      <c r="R76" t="s">
        <v>1580</v>
      </c>
      <c r="S76">
        <v>1</v>
      </c>
      <c r="T76">
        <v>NaN</v>
      </c>
      <c r="U76">
        <v>NaN</v>
      </c>
      <c r="V76">
        <v>NaN</v>
      </c>
      <c r="W76">
        <v>NaN</v>
      </c>
      <c r="X76">
        <v>0</v>
      </c>
      <c r="Y76">
        <v>NaN</v>
      </c>
      <c r="Z76">
        <v>0</v>
      </c>
    </row>
    <row r="77" spans="1:26" x14ac:dyDescent="0.25">
      <c r="A77" t="s">
        <v>1566</v>
      </c>
      <c r="B77" s="13">
        <v>46255</v>
      </c>
      <c r="C77" t="s">
        <v>312</v>
      </c>
      <c r="D77" s="13">
        <v>46255</v>
      </c>
      <c r="E77" t="s">
        <v>1617</v>
      </c>
      <c r="F77" t="s">
        <v>1743</v>
      </c>
      <c r="G77" t="s">
        <v>1618</v>
      </c>
      <c r="H77" t="s">
        <v>1571</v>
      </c>
      <c r="I77" t="s">
        <v>1572</v>
      </c>
      <c r="J77" t="s">
        <v>255</v>
      </c>
      <c r="K77" t="s">
        <v>1573</v>
      </c>
      <c r="L77" t="s">
        <v>1765</v>
      </c>
      <c r="M77" t="s">
        <v>1766</v>
      </c>
      <c r="N77" t="s">
        <v>1576</v>
      </c>
      <c r="O77" t="s">
        <v>1577</v>
      </c>
      <c r="P77" t="s">
        <v>1578</v>
      </c>
      <c r="Q77" t="s">
        <v>1579</v>
      </c>
      <c r="R77" t="s">
        <v>1580</v>
      </c>
      <c r="S77">
        <v>1</v>
      </c>
      <c r="T77">
        <v>NaN</v>
      </c>
      <c r="U77">
        <v>NaN</v>
      </c>
      <c r="V77">
        <v>NaN</v>
      </c>
      <c r="W77">
        <v>NaN</v>
      </c>
      <c r="X77">
        <v>0</v>
      </c>
      <c r="Y77">
        <v>NaN</v>
      </c>
      <c r="Z77">
        <v>0</v>
      </c>
    </row>
    <row r="78" spans="1:26" x14ac:dyDescent="0.25">
      <c r="A78" t="s">
        <v>1566</v>
      </c>
      <c r="B78" s="13">
        <v>46256</v>
      </c>
      <c r="C78" t="s">
        <v>312</v>
      </c>
      <c r="D78" s="13">
        <v>46256</v>
      </c>
      <c r="E78" t="s">
        <v>1617</v>
      </c>
      <c r="F78" t="s">
        <v>1743</v>
      </c>
      <c r="G78" t="s">
        <v>1618</v>
      </c>
      <c r="H78" t="s">
        <v>1571</v>
      </c>
      <c r="I78" t="s">
        <v>1572</v>
      </c>
      <c r="J78" t="s">
        <v>255</v>
      </c>
      <c r="K78" t="s">
        <v>1573</v>
      </c>
      <c r="L78" t="s">
        <v>1767</v>
      </c>
      <c r="M78" t="s">
        <v>1768</v>
      </c>
      <c r="N78" t="s">
        <v>1576</v>
      </c>
      <c r="O78" t="s">
        <v>1577</v>
      </c>
      <c r="P78" t="s">
        <v>1578</v>
      </c>
      <c r="Q78" t="s">
        <v>1579</v>
      </c>
      <c r="R78" t="s">
        <v>1580</v>
      </c>
      <c r="S78">
        <v>1</v>
      </c>
      <c r="T78">
        <v>NaN</v>
      </c>
      <c r="U78">
        <v>NaN</v>
      </c>
      <c r="V78">
        <v>NaN</v>
      </c>
      <c r="W78">
        <v>NaN</v>
      </c>
      <c r="X78">
        <v>0</v>
      </c>
      <c r="Y78">
        <v>NaN</v>
      </c>
      <c r="Z78">
        <v>0</v>
      </c>
    </row>
    <row r="79" spans="1:26" x14ac:dyDescent="0.25">
      <c r="A79" t="s">
        <v>1566</v>
      </c>
      <c r="B79" s="13">
        <v>46257</v>
      </c>
      <c r="C79" t="s">
        <v>312</v>
      </c>
      <c r="D79" s="13">
        <v>46257</v>
      </c>
      <c r="E79" t="s">
        <v>1617</v>
      </c>
      <c r="F79" t="s">
        <v>1743</v>
      </c>
      <c r="G79" t="s">
        <v>1618</v>
      </c>
      <c r="H79" t="s">
        <v>1571</v>
      </c>
      <c r="I79" t="s">
        <v>1572</v>
      </c>
      <c r="J79" t="s">
        <v>255</v>
      </c>
      <c r="K79" t="s">
        <v>1573</v>
      </c>
      <c r="L79" t="s">
        <v>1769</v>
      </c>
      <c r="M79" t="s">
        <v>1770</v>
      </c>
      <c r="N79" t="s">
        <v>1576</v>
      </c>
      <c r="O79" t="s">
        <v>1577</v>
      </c>
      <c r="P79" t="s">
        <v>1578</v>
      </c>
      <c r="Q79" t="s">
        <v>1579</v>
      </c>
      <c r="R79" t="s">
        <v>1580</v>
      </c>
      <c r="S79">
        <v>1</v>
      </c>
      <c r="T79">
        <v>NaN</v>
      </c>
      <c r="U79">
        <v>NaN</v>
      </c>
      <c r="V79">
        <v>NaN</v>
      </c>
      <c r="W79">
        <v>NaN</v>
      </c>
      <c r="X79">
        <v>0</v>
      </c>
      <c r="Y79">
        <v>NaN</v>
      </c>
      <c r="Z79">
        <v>0</v>
      </c>
    </row>
    <row r="80" spans="1:26" x14ac:dyDescent="0.25">
      <c r="A80" t="s">
        <v>1566</v>
      </c>
      <c r="B80" s="13">
        <v>46258</v>
      </c>
      <c r="C80" t="s">
        <v>312</v>
      </c>
      <c r="D80" s="13">
        <v>46258</v>
      </c>
      <c r="E80" t="s">
        <v>1617</v>
      </c>
      <c r="F80" t="s">
        <v>1743</v>
      </c>
      <c r="G80" t="s">
        <v>1618</v>
      </c>
      <c r="H80" t="s">
        <v>1571</v>
      </c>
      <c r="I80" t="s">
        <v>1572</v>
      </c>
      <c r="J80" t="s">
        <v>255</v>
      </c>
      <c r="K80" t="s">
        <v>1573</v>
      </c>
      <c r="L80" t="s">
        <v>1771</v>
      </c>
      <c r="M80" t="s">
        <v>1772</v>
      </c>
      <c r="N80" t="s">
        <v>1576</v>
      </c>
      <c r="O80" t="s">
        <v>1577</v>
      </c>
      <c r="P80" t="s">
        <v>1578</v>
      </c>
      <c r="Q80" t="s">
        <v>1579</v>
      </c>
      <c r="R80" t="s">
        <v>1580</v>
      </c>
      <c r="S80">
        <v>1</v>
      </c>
      <c r="T80">
        <v>NaN</v>
      </c>
      <c r="U80">
        <v>NaN</v>
      </c>
      <c r="V80">
        <v>NaN</v>
      </c>
      <c r="W80">
        <v>NaN</v>
      </c>
      <c r="X80">
        <v>0</v>
      </c>
      <c r="Y80">
        <v>NaN</v>
      </c>
      <c r="Z80">
        <v>0</v>
      </c>
    </row>
    <row r="81" spans="1:26" x14ac:dyDescent="0.25">
      <c r="A81" t="s">
        <v>1566</v>
      </c>
      <c r="B81" s="13">
        <v>46259</v>
      </c>
      <c r="C81" t="s">
        <v>312</v>
      </c>
      <c r="D81" s="13">
        <v>46259</v>
      </c>
      <c r="E81" t="s">
        <v>1617</v>
      </c>
      <c r="F81" t="s">
        <v>1743</v>
      </c>
      <c r="G81" t="s">
        <v>1618</v>
      </c>
      <c r="H81" t="s">
        <v>1571</v>
      </c>
      <c r="I81" t="s">
        <v>1572</v>
      </c>
      <c r="J81" t="s">
        <v>255</v>
      </c>
      <c r="K81" t="s">
        <v>1573</v>
      </c>
      <c r="L81" t="s">
        <v>1773</v>
      </c>
      <c r="M81" t="s">
        <v>1774</v>
      </c>
      <c r="N81" t="s">
        <v>1576</v>
      </c>
      <c r="O81" t="s">
        <v>1577</v>
      </c>
      <c r="P81" t="s">
        <v>1578</v>
      </c>
      <c r="Q81" t="s">
        <v>1579</v>
      </c>
      <c r="R81" t="s">
        <v>1580</v>
      </c>
      <c r="S81">
        <v>1</v>
      </c>
      <c r="T81">
        <v>NaN</v>
      </c>
      <c r="U81">
        <v>NaN</v>
      </c>
      <c r="V81">
        <v>NaN</v>
      </c>
      <c r="W81">
        <v>NaN</v>
      </c>
      <c r="X81">
        <v>0</v>
      </c>
      <c r="Y81">
        <v>NaN</v>
      </c>
      <c r="Z81">
        <v>0</v>
      </c>
    </row>
    <row r="82" spans="1:26" x14ac:dyDescent="0.25">
      <c r="A82" t="s">
        <v>1566</v>
      </c>
      <c r="B82" s="13">
        <v>46245</v>
      </c>
      <c r="C82" t="s">
        <v>1629</v>
      </c>
      <c r="D82" s="13">
        <v>46245</v>
      </c>
      <c r="E82" t="s">
        <v>1630</v>
      </c>
      <c r="F82" t="s">
        <v>1743</v>
      </c>
      <c r="G82" t="s">
        <v>1631</v>
      </c>
      <c r="H82" t="s">
        <v>1571</v>
      </c>
      <c r="I82" t="s">
        <v>1572</v>
      </c>
      <c r="J82" t="s">
        <v>255</v>
      </c>
      <c r="K82" t="s">
        <v>1573</v>
      </c>
      <c r="L82" t="s">
        <v>1775</v>
      </c>
      <c r="M82" t="s">
        <v>1776</v>
      </c>
      <c r="N82" t="s">
        <v>1576</v>
      </c>
      <c r="O82" t="s">
        <v>1577</v>
      </c>
      <c r="P82" t="s">
        <v>1578</v>
      </c>
      <c r="Q82" t="s">
        <v>1579</v>
      </c>
      <c r="R82" t="s">
        <v>1580</v>
      </c>
      <c r="S82">
        <v>1</v>
      </c>
      <c r="T82">
        <v>NaN</v>
      </c>
      <c r="U82">
        <v>NaN</v>
      </c>
      <c r="V82">
        <v>NaN</v>
      </c>
      <c r="W82">
        <v>NaN</v>
      </c>
      <c r="X82">
        <v>0</v>
      </c>
      <c r="Y82">
        <v>NaN</v>
      </c>
      <c r="Z82">
        <v>0</v>
      </c>
    </row>
    <row r="83" spans="1:26" x14ac:dyDescent="0.25">
      <c r="A83" t="s">
        <v>1566</v>
      </c>
      <c r="B83" s="13">
        <v>46246</v>
      </c>
      <c r="C83" t="s">
        <v>1629</v>
      </c>
      <c r="D83" s="13">
        <v>46246</v>
      </c>
      <c r="E83" t="s">
        <v>1630</v>
      </c>
      <c r="F83" t="s">
        <v>1743</v>
      </c>
      <c r="G83" t="s">
        <v>1631</v>
      </c>
      <c r="H83" t="s">
        <v>1571</v>
      </c>
      <c r="I83" t="s">
        <v>1572</v>
      </c>
      <c r="J83" t="s">
        <v>255</v>
      </c>
      <c r="K83" t="s">
        <v>1573</v>
      </c>
      <c r="L83" t="s">
        <v>1777</v>
      </c>
      <c r="M83" t="s">
        <v>1778</v>
      </c>
      <c r="N83" t="s">
        <v>1576</v>
      </c>
      <c r="O83" t="s">
        <v>1577</v>
      </c>
      <c r="P83" t="s">
        <v>1578</v>
      </c>
      <c r="Q83" t="s">
        <v>1579</v>
      </c>
      <c r="R83" t="s">
        <v>1580</v>
      </c>
      <c r="S83">
        <v>1</v>
      </c>
      <c r="T83">
        <v>NaN</v>
      </c>
      <c r="U83">
        <v>NaN</v>
      </c>
      <c r="V83">
        <v>NaN</v>
      </c>
      <c r="W83">
        <v>NaN</v>
      </c>
      <c r="X83">
        <v>0</v>
      </c>
      <c r="Y83">
        <v>NaN</v>
      </c>
      <c r="Z83">
        <v>0</v>
      </c>
    </row>
    <row r="84" spans="1:26" x14ac:dyDescent="0.25">
      <c r="A84" t="s">
        <v>1566</v>
      </c>
      <c r="B84" s="13">
        <v>46247</v>
      </c>
      <c r="C84" t="s">
        <v>1629</v>
      </c>
      <c r="D84" s="13">
        <v>46247</v>
      </c>
      <c r="E84" t="s">
        <v>1630</v>
      </c>
      <c r="F84" t="s">
        <v>1743</v>
      </c>
      <c r="G84" t="s">
        <v>1631</v>
      </c>
      <c r="H84" t="s">
        <v>1571</v>
      </c>
      <c r="I84" t="s">
        <v>1572</v>
      </c>
      <c r="J84" t="s">
        <v>255</v>
      </c>
      <c r="K84" t="s">
        <v>1573</v>
      </c>
      <c r="L84" t="s">
        <v>1779</v>
      </c>
      <c r="M84" t="s">
        <v>1780</v>
      </c>
      <c r="N84" t="s">
        <v>1576</v>
      </c>
      <c r="O84" t="s">
        <v>1577</v>
      </c>
      <c r="P84" t="s">
        <v>1578</v>
      </c>
      <c r="Q84" t="s">
        <v>1579</v>
      </c>
      <c r="R84" t="s">
        <v>1580</v>
      </c>
      <c r="S84">
        <v>1</v>
      </c>
      <c r="T84">
        <v>NaN</v>
      </c>
      <c r="U84">
        <v>NaN</v>
      </c>
      <c r="V84">
        <v>NaN</v>
      </c>
      <c r="W84">
        <v>NaN</v>
      </c>
      <c r="X84">
        <v>0</v>
      </c>
      <c r="Y84">
        <v>NaN</v>
      </c>
      <c r="Z84">
        <v>0</v>
      </c>
    </row>
    <row r="85" spans="1:26" x14ac:dyDescent="0.25">
      <c r="A85" t="s">
        <v>1566</v>
      </c>
      <c r="B85" s="13">
        <v>46248</v>
      </c>
      <c r="C85" t="s">
        <v>1629</v>
      </c>
      <c r="D85" s="13">
        <v>46248</v>
      </c>
      <c r="E85" t="s">
        <v>1630</v>
      </c>
      <c r="F85" t="s">
        <v>1743</v>
      </c>
      <c r="G85" t="s">
        <v>1631</v>
      </c>
      <c r="H85" t="s">
        <v>1571</v>
      </c>
      <c r="I85" t="s">
        <v>1572</v>
      </c>
      <c r="J85" t="s">
        <v>255</v>
      </c>
      <c r="K85" t="s">
        <v>1573</v>
      </c>
      <c r="L85" t="s">
        <v>1781</v>
      </c>
      <c r="M85" t="s">
        <v>1782</v>
      </c>
      <c r="N85" t="s">
        <v>1576</v>
      </c>
      <c r="O85" t="s">
        <v>1577</v>
      </c>
      <c r="P85" t="s">
        <v>1578</v>
      </c>
      <c r="Q85" t="s">
        <v>1579</v>
      </c>
      <c r="R85" t="s">
        <v>1580</v>
      </c>
      <c r="S85">
        <v>1</v>
      </c>
      <c r="T85">
        <v>NaN</v>
      </c>
      <c r="U85">
        <v>NaN</v>
      </c>
      <c r="V85">
        <v>NaN</v>
      </c>
      <c r="W85">
        <v>NaN</v>
      </c>
      <c r="X85">
        <v>0</v>
      </c>
      <c r="Y85">
        <v>NaN</v>
      </c>
      <c r="Z85">
        <v>0</v>
      </c>
    </row>
    <row r="86" spans="1:26" x14ac:dyDescent="0.25">
      <c r="A86" t="s">
        <v>1566</v>
      </c>
      <c r="B86" s="13">
        <v>46249</v>
      </c>
      <c r="C86" t="s">
        <v>1629</v>
      </c>
      <c r="D86" s="13">
        <v>46249</v>
      </c>
      <c r="E86" t="s">
        <v>1630</v>
      </c>
      <c r="F86" t="s">
        <v>1743</v>
      </c>
      <c r="G86" t="s">
        <v>1631</v>
      </c>
      <c r="H86" t="s">
        <v>1571</v>
      </c>
      <c r="I86" t="s">
        <v>1572</v>
      </c>
      <c r="J86" t="s">
        <v>255</v>
      </c>
      <c r="K86" t="s">
        <v>1573</v>
      </c>
      <c r="L86" t="s">
        <v>1783</v>
      </c>
      <c r="M86" t="s">
        <v>1784</v>
      </c>
      <c r="N86" t="s">
        <v>1576</v>
      </c>
      <c r="O86" t="s">
        <v>1577</v>
      </c>
      <c r="P86" t="s">
        <v>1578</v>
      </c>
      <c r="Q86" t="s">
        <v>1579</v>
      </c>
      <c r="R86" t="s">
        <v>1580</v>
      </c>
      <c r="S86">
        <v>1</v>
      </c>
      <c r="T86">
        <v>NaN</v>
      </c>
      <c r="U86">
        <v>NaN</v>
      </c>
      <c r="V86">
        <v>NaN</v>
      </c>
      <c r="W86">
        <v>NaN</v>
      </c>
      <c r="X86">
        <v>0</v>
      </c>
      <c r="Y86">
        <v>NaN</v>
      </c>
      <c r="Z86">
        <v>0</v>
      </c>
    </row>
    <row r="87" spans="1:26" x14ac:dyDescent="0.25">
      <c r="A87" t="s">
        <v>1566</v>
      </c>
      <c r="B87" s="13">
        <v>46250</v>
      </c>
      <c r="C87" t="s">
        <v>1642</v>
      </c>
      <c r="D87" s="13">
        <v>46250</v>
      </c>
      <c r="E87" t="s">
        <v>1643</v>
      </c>
      <c r="F87" t="s">
        <v>1743</v>
      </c>
      <c r="G87" t="s">
        <v>1644</v>
      </c>
      <c r="H87" t="s">
        <v>1571</v>
      </c>
      <c r="I87" t="s">
        <v>1572</v>
      </c>
      <c r="J87" t="s">
        <v>255</v>
      </c>
      <c r="K87" t="s">
        <v>1573</v>
      </c>
      <c r="L87" t="s">
        <v>1785</v>
      </c>
      <c r="M87" t="s">
        <v>1786</v>
      </c>
      <c r="N87" t="s">
        <v>1576</v>
      </c>
      <c r="O87" t="s">
        <v>1577</v>
      </c>
      <c r="P87" t="s">
        <v>1578</v>
      </c>
      <c r="Q87" t="s">
        <v>1579</v>
      </c>
      <c r="R87" t="s">
        <v>1580</v>
      </c>
      <c r="S87">
        <v>1</v>
      </c>
      <c r="T87">
        <v>NaN</v>
      </c>
      <c r="U87">
        <v>NaN</v>
      </c>
      <c r="V87">
        <v>NaN</v>
      </c>
      <c r="W87">
        <v>NaN</v>
      </c>
      <c r="X87">
        <v>0</v>
      </c>
      <c r="Y87">
        <v>NaN</v>
      </c>
      <c r="Z87">
        <v>0</v>
      </c>
    </row>
    <row r="88" spans="1:26" x14ac:dyDescent="0.25">
      <c r="A88" t="s">
        <v>1566</v>
      </c>
      <c r="B88" s="13">
        <v>46251</v>
      </c>
      <c r="C88" t="s">
        <v>1642</v>
      </c>
      <c r="D88" s="13">
        <v>46251</v>
      </c>
      <c r="E88" t="s">
        <v>1643</v>
      </c>
      <c r="F88" t="s">
        <v>1743</v>
      </c>
      <c r="G88" t="s">
        <v>1644</v>
      </c>
      <c r="H88" t="s">
        <v>1571</v>
      </c>
      <c r="I88" t="s">
        <v>1572</v>
      </c>
      <c r="J88" t="s">
        <v>255</v>
      </c>
      <c r="K88" t="s">
        <v>1573</v>
      </c>
      <c r="L88" t="s">
        <v>1787</v>
      </c>
      <c r="M88" t="s">
        <v>1788</v>
      </c>
      <c r="N88" t="s">
        <v>1576</v>
      </c>
      <c r="O88" t="s">
        <v>1577</v>
      </c>
      <c r="P88" t="s">
        <v>1578</v>
      </c>
      <c r="Q88" t="s">
        <v>1579</v>
      </c>
      <c r="R88" t="s">
        <v>1580</v>
      </c>
      <c r="S88">
        <v>1</v>
      </c>
      <c r="T88">
        <v>NaN</v>
      </c>
      <c r="U88">
        <v>NaN</v>
      </c>
      <c r="V88">
        <v>NaN</v>
      </c>
      <c r="W88">
        <v>NaN</v>
      </c>
      <c r="X88">
        <v>0</v>
      </c>
      <c r="Y88">
        <v>NaN</v>
      </c>
      <c r="Z88">
        <v>0</v>
      </c>
    </row>
    <row r="89" spans="1:26" x14ac:dyDescent="0.25">
      <c r="A89" t="s">
        <v>1566</v>
      </c>
      <c r="B89" s="13">
        <v>46252</v>
      </c>
      <c r="C89" t="s">
        <v>1642</v>
      </c>
      <c r="D89" s="13">
        <v>46252</v>
      </c>
      <c r="E89" t="s">
        <v>1643</v>
      </c>
      <c r="F89" t="s">
        <v>1743</v>
      </c>
      <c r="G89" t="s">
        <v>1644</v>
      </c>
      <c r="H89" t="s">
        <v>1571</v>
      </c>
      <c r="I89" t="s">
        <v>1572</v>
      </c>
      <c r="J89" t="s">
        <v>255</v>
      </c>
      <c r="K89" t="s">
        <v>1573</v>
      </c>
      <c r="L89" t="s">
        <v>1789</v>
      </c>
      <c r="M89" t="s">
        <v>1790</v>
      </c>
      <c r="N89" t="s">
        <v>1576</v>
      </c>
      <c r="O89" t="s">
        <v>1577</v>
      </c>
      <c r="P89" t="s">
        <v>1578</v>
      </c>
      <c r="Q89" t="s">
        <v>1579</v>
      </c>
      <c r="R89" t="s">
        <v>1580</v>
      </c>
      <c r="S89">
        <v>1</v>
      </c>
      <c r="T89">
        <v>NaN</v>
      </c>
      <c r="U89">
        <v>NaN</v>
      </c>
      <c r="V89">
        <v>NaN</v>
      </c>
      <c r="W89">
        <v>NaN</v>
      </c>
      <c r="X89">
        <v>0</v>
      </c>
      <c r="Y89">
        <v>NaN</v>
      </c>
      <c r="Z89">
        <v>0</v>
      </c>
    </row>
    <row r="90" spans="1:26" x14ac:dyDescent="0.25">
      <c r="A90" t="s">
        <v>1566</v>
      </c>
      <c r="B90" s="13">
        <v>46253</v>
      </c>
      <c r="C90" t="s">
        <v>1642</v>
      </c>
      <c r="D90" s="13">
        <v>46253</v>
      </c>
      <c r="E90" t="s">
        <v>1643</v>
      </c>
      <c r="F90" t="s">
        <v>1743</v>
      </c>
      <c r="G90" t="s">
        <v>1644</v>
      </c>
      <c r="H90" t="s">
        <v>1571</v>
      </c>
      <c r="I90" t="s">
        <v>1572</v>
      </c>
      <c r="J90" t="s">
        <v>255</v>
      </c>
      <c r="K90" t="s">
        <v>1573</v>
      </c>
      <c r="L90" t="s">
        <v>1791</v>
      </c>
      <c r="M90" t="s">
        <v>1792</v>
      </c>
      <c r="N90" t="s">
        <v>1576</v>
      </c>
      <c r="O90" t="s">
        <v>1577</v>
      </c>
      <c r="P90" t="s">
        <v>1578</v>
      </c>
      <c r="Q90" t="s">
        <v>1579</v>
      </c>
      <c r="R90" t="s">
        <v>1580</v>
      </c>
      <c r="S90">
        <v>1</v>
      </c>
      <c r="T90">
        <v>NaN</v>
      </c>
      <c r="U90">
        <v>NaN</v>
      </c>
      <c r="V90">
        <v>NaN</v>
      </c>
      <c r="W90">
        <v>NaN</v>
      </c>
      <c r="X90">
        <v>0</v>
      </c>
      <c r="Y90">
        <v>NaN</v>
      </c>
      <c r="Z90">
        <v>0</v>
      </c>
    </row>
    <row r="91" spans="1:26" x14ac:dyDescent="0.25">
      <c r="A91" t="s">
        <v>1566</v>
      </c>
      <c r="B91" s="13">
        <v>46254</v>
      </c>
      <c r="C91" t="s">
        <v>1642</v>
      </c>
      <c r="D91" s="13">
        <v>46254</v>
      </c>
      <c r="E91" t="s">
        <v>1643</v>
      </c>
      <c r="F91" t="s">
        <v>1743</v>
      </c>
      <c r="G91" t="s">
        <v>1644</v>
      </c>
      <c r="H91" t="s">
        <v>1571</v>
      </c>
      <c r="I91" t="s">
        <v>1572</v>
      </c>
      <c r="J91" t="s">
        <v>255</v>
      </c>
      <c r="K91" t="s">
        <v>1573</v>
      </c>
      <c r="L91" t="s">
        <v>1793</v>
      </c>
      <c r="M91" t="s">
        <v>1794</v>
      </c>
      <c r="N91" t="s">
        <v>1576</v>
      </c>
      <c r="O91" t="s">
        <v>1577</v>
      </c>
      <c r="P91" t="s">
        <v>1578</v>
      </c>
      <c r="Q91" t="s">
        <v>1579</v>
      </c>
      <c r="R91" t="s">
        <v>1580</v>
      </c>
      <c r="S91">
        <v>1</v>
      </c>
      <c r="T91">
        <v>NaN</v>
      </c>
      <c r="U91">
        <v>NaN</v>
      </c>
      <c r="V91">
        <v>NaN</v>
      </c>
      <c r="W91">
        <v>NaN</v>
      </c>
      <c r="X91">
        <v>0</v>
      </c>
      <c r="Y91">
        <v>NaN</v>
      </c>
      <c r="Z91">
        <v>0</v>
      </c>
    </row>
    <row r="92" spans="1:26" x14ac:dyDescent="0.25">
      <c r="A92" t="s">
        <v>1566</v>
      </c>
      <c r="B92" s="13">
        <v>46255</v>
      </c>
      <c r="C92" t="s">
        <v>1655</v>
      </c>
      <c r="D92" s="13">
        <v>46255</v>
      </c>
      <c r="E92" t="s">
        <v>1656</v>
      </c>
      <c r="F92" t="s">
        <v>1743</v>
      </c>
      <c r="G92" t="s">
        <v>1657</v>
      </c>
      <c r="H92" t="s">
        <v>1571</v>
      </c>
      <c r="I92" t="s">
        <v>1572</v>
      </c>
      <c r="J92" t="s">
        <v>255</v>
      </c>
      <c r="K92" t="s">
        <v>1573</v>
      </c>
      <c r="L92" t="s">
        <v>1795</v>
      </c>
      <c r="M92" t="s">
        <v>1796</v>
      </c>
      <c r="N92" t="s">
        <v>1576</v>
      </c>
      <c r="O92" t="s">
        <v>1577</v>
      </c>
      <c r="P92" t="s">
        <v>1578</v>
      </c>
      <c r="Q92" t="s">
        <v>1579</v>
      </c>
      <c r="R92" t="s">
        <v>1580</v>
      </c>
      <c r="S92">
        <v>1</v>
      </c>
      <c r="T92">
        <v>NaN</v>
      </c>
      <c r="U92">
        <v>NaN</v>
      </c>
      <c r="V92">
        <v>NaN</v>
      </c>
      <c r="W92">
        <v>NaN</v>
      </c>
      <c r="X92">
        <v>0</v>
      </c>
      <c r="Y92">
        <v>NaN</v>
      </c>
      <c r="Z92">
        <v>0</v>
      </c>
    </row>
    <row r="93" spans="1:26" x14ac:dyDescent="0.25">
      <c r="A93" t="s">
        <v>1566</v>
      </c>
      <c r="B93" s="13">
        <v>46256</v>
      </c>
      <c r="C93" t="s">
        <v>1655</v>
      </c>
      <c r="D93" s="13">
        <v>46256</v>
      </c>
      <c r="E93" t="s">
        <v>1656</v>
      </c>
      <c r="F93" t="s">
        <v>1743</v>
      </c>
      <c r="G93" t="s">
        <v>1657</v>
      </c>
      <c r="H93" t="s">
        <v>1571</v>
      </c>
      <c r="I93" t="s">
        <v>1572</v>
      </c>
      <c r="J93" t="s">
        <v>255</v>
      </c>
      <c r="K93" t="s">
        <v>1573</v>
      </c>
      <c r="L93" t="s">
        <v>1797</v>
      </c>
      <c r="M93" t="s">
        <v>1798</v>
      </c>
      <c r="N93" t="s">
        <v>1576</v>
      </c>
      <c r="O93" t="s">
        <v>1577</v>
      </c>
      <c r="P93" t="s">
        <v>1578</v>
      </c>
      <c r="Q93" t="s">
        <v>1579</v>
      </c>
      <c r="R93" t="s">
        <v>1580</v>
      </c>
      <c r="S93">
        <v>1</v>
      </c>
      <c r="T93">
        <v>NaN</v>
      </c>
      <c r="U93">
        <v>NaN</v>
      </c>
      <c r="V93">
        <v>NaN</v>
      </c>
      <c r="W93">
        <v>NaN</v>
      </c>
      <c r="X93">
        <v>0</v>
      </c>
      <c r="Y93">
        <v>NaN</v>
      </c>
      <c r="Z93">
        <v>0</v>
      </c>
    </row>
    <row r="94" spans="1:26" x14ac:dyDescent="0.25">
      <c r="A94" t="s">
        <v>1566</v>
      </c>
      <c r="B94" s="13">
        <v>46257</v>
      </c>
      <c r="C94" t="s">
        <v>1655</v>
      </c>
      <c r="D94" s="13">
        <v>46257</v>
      </c>
      <c r="E94" t="s">
        <v>1656</v>
      </c>
      <c r="F94" t="s">
        <v>1743</v>
      </c>
      <c r="G94" t="s">
        <v>1657</v>
      </c>
      <c r="H94" t="s">
        <v>1571</v>
      </c>
      <c r="I94" t="s">
        <v>1572</v>
      </c>
      <c r="J94" t="s">
        <v>255</v>
      </c>
      <c r="K94" t="s">
        <v>1573</v>
      </c>
      <c r="L94" t="s">
        <v>1799</v>
      </c>
      <c r="M94" t="s">
        <v>1800</v>
      </c>
      <c r="N94" t="s">
        <v>1576</v>
      </c>
      <c r="O94" t="s">
        <v>1577</v>
      </c>
      <c r="P94" t="s">
        <v>1578</v>
      </c>
      <c r="Q94" t="s">
        <v>1579</v>
      </c>
      <c r="R94" t="s">
        <v>1580</v>
      </c>
      <c r="S94">
        <v>1</v>
      </c>
      <c r="T94">
        <v>NaN</v>
      </c>
      <c r="U94">
        <v>NaN</v>
      </c>
      <c r="V94">
        <v>NaN</v>
      </c>
      <c r="W94">
        <v>NaN</v>
      </c>
      <c r="X94">
        <v>0</v>
      </c>
      <c r="Y94">
        <v>NaN</v>
      </c>
      <c r="Z94">
        <v>0</v>
      </c>
    </row>
    <row r="95" spans="1:26" x14ac:dyDescent="0.25">
      <c r="A95" t="s">
        <v>1566</v>
      </c>
      <c r="B95" s="13">
        <v>46258</v>
      </c>
      <c r="C95" t="s">
        <v>1655</v>
      </c>
      <c r="D95" s="13">
        <v>46258</v>
      </c>
      <c r="E95" t="s">
        <v>1656</v>
      </c>
      <c r="F95" t="s">
        <v>1743</v>
      </c>
      <c r="G95" t="s">
        <v>1657</v>
      </c>
      <c r="H95" t="s">
        <v>1571</v>
      </c>
      <c r="I95" t="s">
        <v>1572</v>
      </c>
      <c r="J95" t="s">
        <v>255</v>
      </c>
      <c r="K95" t="s">
        <v>1573</v>
      </c>
      <c r="L95" t="s">
        <v>1801</v>
      </c>
      <c r="M95" t="s">
        <v>1802</v>
      </c>
      <c r="N95" t="s">
        <v>1576</v>
      </c>
      <c r="O95" t="s">
        <v>1577</v>
      </c>
      <c r="P95" t="s">
        <v>1578</v>
      </c>
      <c r="Q95" t="s">
        <v>1579</v>
      </c>
      <c r="R95" t="s">
        <v>1580</v>
      </c>
      <c r="S95">
        <v>1</v>
      </c>
      <c r="T95">
        <v>NaN</v>
      </c>
      <c r="U95">
        <v>NaN</v>
      </c>
      <c r="V95">
        <v>NaN</v>
      </c>
      <c r="W95">
        <v>NaN</v>
      </c>
      <c r="X95">
        <v>0</v>
      </c>
      <c r="Y95">
        <v>NaN</v>
      </c>
      <c r="Z95">
        <v>0</v>
      </c>
    </row>
    <row r="96" spans="1:26" x14ac:dyDescent="0.25">
      <c r="A96" t="s">
        <v>1566</v>
      </c>
      <c r="B96" s="13">
        <v>46259</v>
      </c>
      <c r="C96" t="s">
        <v>1655</v>
      </c>
      <c r="D96" s="13">
        <v>46259</v>
      </c>
      <c r="E96" t="s">
        <v>1656</v>
      </c>
      <c r="F96" t="s">
        <v>1743</v>
      </c>
      <c r="G96" t="s">
        <v>1657</v>
      </c>
      <c r="H96" t="s">
        <v>1571</v>
      </c>
      <c r="I96" t="s">
        <v>1572</v>
      </c>
      <c r="J96" t="s">
        <v>255</v>
      </c>
      <c r="K96" t="s">
        <v>1573</v>
      </c>
      <c r="L96" t="s">
        <v>1803</v>
      </c>
      <c r="M96" t="s">
        <v>1804</v>
      </c>
      <c r="N96" t="s">
        <v>1576</v>
      </c>
      <c r="O96" t="s">
        <v>1577</v>
      </c>
      <c r="P96" t="s">
        <v>1578</v>
      </c>
      <c r="Q96" t="s">
        <v>1579</v>
      </c>
      <c r="R96" t="s">
        <v>1580</v>
      </c>
      <c r="S96">
        <v>1</v>
      </c>
      <c r="T96">
        <v>NaN</v>
      </c>
      <c r="U96">
        <v>NaN</v>
      </c>
      <c r="V96">
        <v>NaN</v>
      </c>
      <c r="W96">
        <v>NaN</v>
      </c>
      <c r="X96">
        <v>0</v>
      </c>
      <c r="Y96">
        <v>NaN</v>
      </c>
      <c r="Z96">
        <v>0</v>
      </c>
    </row>
    <row r="97" spans="1:26" x14ac:dyDescent="0.25">
      <c r="A97" t="s">
        <v>1566</v>
      </c>
      <c r="B97" s="13">
        <v>46245</v>
      </c>
      <c r="C97" t="s">
        <v>313</v>
      </c>
      <c r="D97" s="13">
        <v>46245</v>
      </c>
      <c r="E97" t="s">
        <v>1668</v>
      </c>
      <c r="F97" t="s">
        <v>1743</v>
      </c>
      <c r="G97" t="s">
        <v>1669</v>
      </c>
      <c r="H97" t="s">
        <v>1571</v>
      </c>
      <c r="I97" t="s">
        <v>1572</v>
      </c>
      <c r="J97" t="s">
        <v>255</v>
      </c>
      <c r="K97" t="s">
        <v>1573</v>
      </c>
      <c r="L97" t="s">
        <v>1805</v>
      </c>
      <c r="M97" t="s">
        <v>1806</v>
      </c>
      <c r="N97" t="s">
        <v>1576</v>
      </c>
      <c r="O97" t="s">
        <v>1577</v>
      </c>
      <c r="P97" t="s">
        <v>1578</v>
      </c>
      <c r="Q97" t="s">
        <v>1579</v>
      </c>
      <c r="R97" t="s">
        <v>1580</v>
      </c>
      <c r="S97">
        <v>1</v>
      </c>
      <c r="T97">
        <v>NaN</v>
      </c>
      <c r="U97">
        <v>NaN</v>
      </c>
      <c r="V97">
        <v>NaN</v>
      </c>
      <c r="W97">
        <v>NaN</v>
      </c>
      <c r="X97">
        <v>0</v>
      </c>
      <c r="Y97">
        <v>NaN</v>
      </c>
      <c r="Z97">
        <v>0</v>
      </c>
    </row>
    <row r="98" spans="1:26" x14ac:dyDescent="0.25">
      <c r="A98" t="s">
        <v>1566</v>
      </c>
      <c r="B98" s="13">
        <v>46246</v>
      </c>
      <c r="C98" t="s">
        <v>313</v>
      </c>
      <c r="D98" s="13">
        <v>46246</v>
      </c>
      <c r="E98" t="s">
        <v>1668</v>
      </c>
      <c r="F98" t="s">
        <v>1743</v>
      </c>
      <c r="G98" t="s">
        <v>1669</v>
      </c>
      <c r="H98" t="s">
        <v>1571</v>
      </c>
      <c r="I98" t="s">
        <v>1572</v>
      </c>
      <c r="J98" t="s">
        <v>255</v>
      </c>
      <c r="K98" t="s">
        <v>1573</v>
      </c>
      <c r="L98" t="s">
        <v>1807</v>
      </c>
      <c r="M98" t="s">
        <v>1808</v>
      </c>
      <c r="N98" t="s">
        <v>1576</v>
      </c>
      <c r="O98" t="s">
        <v>1577</v>
      </c>
      <c r="P98" t="s">
        <v>1578</v>
      </c>
      <c r="Q98" t="s">
        <v>1579</v>
      </c>
      <c r="R98" t="s">
        <v>1580</v>
      </c>
      <c r="S98">
        <v>1</v>
      </c>
      <c r="T98">
        <v>NaN</v>
      </c>
      <c r="U98">
        <v>NaN</v>
      </c>
      <c r="V98">
        <v>NaN</v>
      </c>
      <c r="W98">
        <v>NaN</v>
      </c>
      <c r="X98">
        <v>0</v>
      </c>
      <c r="Y98">
        <v>NaN</v>
      </c>
      <c r="Z98">
        <v>0</v>
      </c>
    </row>
    <row r="99" spans="1:26" x14ac:dyDescent="0.25">
      <c r="A99" t="s">
        <v>1566</v>
      </c>
      <c r="B99" s="13">
        <v>46247</v>
      </c>
      <c r="C99" t="s">
        <v>313</v>
      </c>
      <c r="D99" s="13">
        <v>46247</v>
      </c>
      <c r="E99" t="s">
        <v>1668</v>
      </c>
      <c r="F99" t="s">
        <v>1743</v>
      </c>
      <c r="G99" t="s">
        <v>1669</v>
      </c>
      <c r="H99" t="s">
        <v>1571</v>
      </c>
      <c r="I99" t="s">
        <v>1572</v>
      </c>
      <c r="J99" t="s">
        <v>255</v>
      </c>
      <c r="K99" t="s">
        <v>1573</v>
      </c>
      <c r="L99" t="s">
        <v>1809</v>
      </c>
      <c r="M99" t="s">
        <v>1810</v>
      </c>
      <c r="N99" t="s">
        <v>1576</v>
      </c>
      <c r="O99" t="s">
        <v>1577</v>
      </c>
      <c r="P99" t="s">
        <v>1578</v>
      </c>
      <c r="Q99" t="s">
        <v>1579</v>
      </c>
      <c r="R99" t="s">
        <v>1580</v>
      </c>
      <c r="S99">
        <v>1</v>
      </c>
      <c r="T99">
        <v>NaN</v>
      </c>
      <c r="U99">
        <v>NaN</v>
      </c>
      <c r="V99">
        <v>NaN</v>
      </c>
      <c r="W99">
        <v>NaN</v>
      </c>
      <c r="X99">
        <v>0</v>
      </c>
      <c r="Y99">
        <v>NaN</v>
      </c>
      <c r="Z99">
        <v>0</v>
      </c>
    </row>
    <row r="100" spans="1:26" x14ac:dyDescent="0.25">
      <c r="A100" t="s">
        <v>1566</v>
      </c>
      <c r="B100" s="13">
        <v>46248</v>
      </c>
      <c r="C100" t="s">
        <v>313</v>
      </c>
      <c r="D100" s="13">
        <v>46248</v>
      </c>
      <c r="E100" t="s">
        <v>1668</v>
      </c>
      <c r="F100" t="s">
        <v>1743</v>
      </c>
      <c r="G100" t="s">
        <v>1669</v>
      </c>
      <c r="H100" t="s">
        <v>1571</v>
      </c>
      <c r="I100" t="s">
        <v>1572</v>
      </c>
      <c r="J100" t="s">
        <v>255</v>
      </c>
      <c r="K100" t="s">
        <v>1573</v>
      </c>
      <c r="L100" t="s">
        <v>1811</v>
      </c>
      <c r="M100" t="s">
        <v>1812</v>
      </c>
      <c r="N100" t="s">
        <v>1576</v>
      </c>
      <c r="O100" t="s">
        <v>1577</v>
      </c>
      <c r="P100" t="s">
        <v>1578</v>
      </c>
      <c r="Q100" t="s">
        <v>1579</v>
      </c>
      <c r="R100" t="s">
        <v>1580</v>
      </c>
      <c r="S100">
        <v>1</v>
      </c>
      <c r="T100">
        <v>NaN</v>
      </c>
      <c r="U100">
        <v>NaN</v>
      </c>
      <c r="V100">
        <v>NaN</v>
      </c>
      <c r="W100">
        <v>NaN</v>
      </c>
      <c r="X100">
        <v>0</v>
      </c>
      <c r="Y100">
        <v>NaN</v>
      </c>
      <c r="Z100">
        <v>0</v>
      </c>
    </row>
    <row r="101" spans="1:26" x14ac:dyDescent="0.25">
      <c r="A101" t="s">
        <v>1566</v>
      </c>
      <c r="B101" s="13">
        <v>46249</v>
      </c>
      <c r="C101" t="s">
        <v>313</v>
      </c>
      <c r="D101" s="13">
        <v>46249</v>
      </c>
      <c r="E101" t="s">
        <v>1668</v>
      </c>
      <c r="F101" t="s">
        <v>1743</v>
      </c>
      <c r="G101" t="s">
        <v>1669</v>
      </c>
      <c r="H101" t="s">
        <v>1571</v>
      </c>
      <c r="I101" t="s">
        <v>1572</v>
      </c>
      <c r="J101" t="s">
        <v>255</v>
      </c>
      <c r="K101" t="s">
        <v>1573</v>
      </c>
      <c r="L101" t="s">
        <v>1813</v>
      </c>
      <c r="M101" t="s">
        <v>1814</v>
      </c>
      <c r="N101" t="s">
        <v>1576</v>
      </c>
      <c r="O101" t="s">
        <v>1577</v>
      </c>
      <c r="P101" t="s">
        <v>1578</v>
      </c>
      <c r="Q101" t="s">
        <v>1579</v>
      </c>
      <c r="R101" t="s">
        <v>1580</v>
      </c>
      <c r="S101">
        <v>1</v>
      </c>
      <c r="T101">
        <v>NaN</v>
      </c>
      <c r="U101">
        <v>NaN</v>
      </c>
      <c r="V101">
        <v>NaN</v>
      </c>
      <c r="W101">
        <v>NaN</v>
      </c>
      <c r="X101">
        <v>0</v>
      </c>
      <c r="Y101">
        <v>NaN</v>
      </c>
      <c r="Z101">
        <v>0</v>
      </c>
    </row>
    <row r="102" spans="1:26" x14ac:dyDescent="0.25">
      <c r="A102" t="s">
        <v>1566</v>
      </c>
      <c r="B102" s="13">
        <v>46250</v>
      </c>
      <c r="C102" t="s">
        <v>314</v>
      </c>
      <c r="D102" s="13">
        <v>46250</v>
      </c>
      <c r="E102" t="s">
        <v>1680</v>
      </c>
      <c r="F102" t="s">
        <v>1743</v>
      </c>
      <c r="G102" t="s">
        <v>1681</v>
      </c>
      <c r="H102" t="s">
        <v>1571</v>
      </c>
      <c r="I102" t="s">
        <v>1572</v>
      </c>
      <c r="J102" t="s">
        <v>255</v>
      </c>
      <c r="K102" t="s">
        <v>1573</v>
      </c>
      <c r="L102" t="s">
        <v>1815</v>
      </c>
      <c r="M102" t="s">
        <v>1816</v>
      </c>
      <c r="N102" t="s">
        <v>1576</v>
      </c>
      <c r="O102" t="s">
        <v>1577</v>
      </c>
      <c r="P102" t="s">
        <v>1578</v>
      </c>
      <c r="Q102" t="s">
        <v>1579</v>
      </c>
      <c r="R102" t="s">
        <v>1580</v>
      </c>
      <c r="S102">
        <v>1</v>
      </c>
      <c r="T102">
        <v>NaN</v>
      </c>
      <c r="U102">
        <v>NaN</v>
      </c>
      <c r="V102">
        <v>NaN</v>
      </c>
      <c r="W102">
        <v>NaN</v>
      </c>
      <c r="X102">
        <v>0</v>
      </c>
      <c r="Y102">
        <v>NaN</v>
      </c>
      <c r="Z102">
        <v>0</v>
      </c>
    </row>
    <row r="103" spans="1:26" x14ac:dyDescent="0.25">
      <c r="A103" t="s">
        <v>1566</v>
      </c>
      <c r="B103" s="13">
        <v>46251</v>
      </c>
      <c r="C103" t="s">
        <v>314</v>
      </c>
      <c r="D103" s="13">
        <v>46251</v>
      </c>
      <c r="E103" t="s">
        <v>1680</v>
      </c>
      <c r="F103" t="s">
        <v>1743</v>
      </c>
      <c r="G103" t="s">
        <v>1681</v>
      </c>
      <c r="H103" t="s">
        <v>1571</v>
      </c>
      <c r="I103" t="s">
        <v>1572</v>
      </c>
      <c r="J103" t="s">
        <v>255</v>
      </c>
      <c r="K103" t="s">
        <v>1573</v>
      </c>
      <c r="L103" t="s">
        <v>1817</v>
      </c>
      <c r="M103" t="s">
        <v>1818</v>
      </c>
      <c r="N103" t="s">
        <v>1576</v>
      </c>
      <c r="O103" t="s">
        <v>1577</v>
      </c>
      <c r="P103" t="s">
        <v>1578</v>
      </c>
      <c r="Q103" t="s">
        <v>1579</v>
      </c>
      <c r="R103" t="s">
        <v>1580</v>
      </c>
      <c r="S103">
        <v>1</v>
      </c>
      <c r="T103">
        <v>NaN</v>
      </c>
      <c r="U103">
        <v>NaN</v>
      </c>
      <c r="V103">
        <v>NaN</v>
      </c>
      <c r="W103">
        <v>NaN</v>
      </c>
      <c r="X103">
        <v>0</v>
      </c>
      <c r="Y103">
        <v>NaN</v>
      </c>
      <c r="Z103">
        <v>0</v>
      </c>
    </row>
    <row r="104" spans="1:26" x14ac:dyDescent="0.25">
      <c r="A104" t="s">
        <v>1566</v>
      </c>
      <c r="B104" s="13">
        <v>46252</v>
      </c>
      <c r="C104" t="s">
        <v>314</v>
      </c>
      <c r="D104" s="13">
        <v>46252</v>
      </c>
      <c r="E104" t="s">
        <v>1680</v>
      </c>
      <c r="F104" t="s">
        <v>1743</v>
      </c>
      <c r="G104" t="s">
        <v>1681</v>
      </c>
      <c r="H104" t="s">
        <v>1571</v>
      </c>
      <c r="I104" t="s">
        <v>1572</v>
      </c>
      <c r="J104" t="s">
        <v>255</v>
      </c>
      <c r="K104" t="s">
        <v>1573</v>
      </c>
      <c r="L104" t="s">
        <v>1819</v>
      </c>
      <c r="M104" t="s">
        <v>1820</v>
      </c>
      <c r="N104" t="s">
        <v>1576</v>
      </c>
      <c r="O104" t="s">
        <v>1577</v>
      </c>
      <c r="P104" t="s">
        <v>1578</v>
      </c>
      <c r="Q104" t="s">
        <v>1579</v>
      </c>
      <c r="R104" t="s">
        <v>1580</v>
      </c>
      <c r="S104">
        <v>1</v>
      </c>
      <c r="T104">
        <v>NaN</v>
      </c>
      <c r="U104">
        <v>NaN</v>
      </c>
      <c r="V104">
        <v>NaN</v>
      </c>
      <c r="W104">
        <v>NaN</v>
      </c>
      <c r="X104">
        <v>0</v>
      </c>
      <c r="Y104">
        <v>NaN</v>
      </c>
      <c r="Z104">
        <v>0</v>
      </c>
    </row>
    <row r="105" spans="1:26" x14ac:dyDescent="0.25">
      <c r="A105" t="s">
        <v>1566</v>
      </c>
      <c r="B105" s="13">
        <v>46253</v>
      </c>
      <c r="C105" t="s">
        <v>314</v>
      </c>
      <c r="D105" s="13">
        <v>46253</v>
      </c>
      <c r="E105" t="s">
        <v>1680</v>
      </c>
      <c r="F105" t="s">
        <v>1743</v>
      </c>
      <c r="G105" t="s">
        <v>1681</v>
      </c>
      <c r="H105" t="s">
        <v>1571</v>
      </c>
      <c r="I105" t="s">
        <v>1572</v>
      </c>
      <c r="J105" t="s">
        <v>255</v>
      </c>
      <c r="K105" t="s">
        <v>1573</v>
      </c>
      <c r="L105" t="s">
        <v>1821</v>
      </c>
      <c r="M105" t="s">
        <v>1822</v>
      </c>
      <c r="N105" t="s">
        <v>1576</v>
      </c>
      <c r="O105" t="s">
        <v>1577</v>
      </c>
      <c r="P105" t="s">
        <v>1578</v>
      </c>
      <c r="Q105" t="s">
        <v>1579</v>
      </c>
      <c r="R105" t="s">
        <v>1580</v>
      </c>
      <c r="S105">
        <v>1</v>
      </c>
      <c r="T105">
        <v>NaN</v>
      </c>
      <c r="U105">
        <v>NaN</v>
      </c>
      <c r="V105">
        <v>NaN</v>
      </c>
      <c r="W105">
        <v>NaN</v>
      </c>
      <c r="X105">
        <v>0</v>
      </c>
      <c r="Y105">
        <v>NaN</v>
      </c>
      <c r="Z105">
        <v>0</v>
      </c>
    </row>
    <row r="106" spans="1:26" x14ac:dyDescent="0.25">
      <c r="A106" t="s">
        <v>1566</v>
      </c>
      <c r="B106" s="13">
        <v>46254</v>
      </c>
      <c r="C106" t="s">
        <v>314</v>
      </c>
      <c r="D106" s="13">
        <v>46254</v>
      </c>
      <c r="E106" t="s">
        <v>1680</v>
      </c>
      <c r="F106" t="s">
        <v>1743</v>
      </c>
      <c r="G106" t="s">
        <v>1681</v>
      </c>
      <c r="H106" t="s">
        <v>1571</v>
      </c>
      <c r="I106" t="s">
        <v>1572</v>
      </c>
      <c r="J106" t="s">
        <v>255</v>
      </c>
      <c r="K106" t="s">
        <v>1573</v>
      </c>
      <c r="L106" t="s">
        <v>1823</v>
      </c>
      <c r="M106" t="s">
        <v>1824</v>
      </c>
      <c r="N106" t="s">
        <v>1576</v>
      </c>
      <c r="O106" t="s">
        <v>1577</v>
      </c>
      <c r="P106" t="s">
        <v>1578</v>
      </c>
      <c r="Q106" t="s">
        <v>1579</v>
      </c>
      <c r="R106" t="s">
        <v>1580</v>
      </c>
      <c r="S106">
        <v>1</v>
      </c>
      <c r="T106">
        <v>NaN</v>
      </c>
      <c r="U106">
        <v>NaN</v>
      </c>
      <c r="V106">
        <v>NaN</v>
      </c>
      <c r="W106">
        <v>NaN</v>
      </c>
      <c r="X106">
        <v>0</v>
      </c>
      <c r="Y106">
        <v>NaN</v>
      </c>
      <c r="Z106">
        <v>0</v>
      </c>
    </row>
    <row r="107" spans="1:26" x14ac:dyDescent="0.25">
      <c r="A107" t="s">
        <v>1566</v>
      </c>
      <c r="B107" s="13">
        <v>46255</v>
      </c>
      <c r="C107" t="s">
        <v>315</v>
      </c>
      <c r="D107" s="13">
        <v>46255</v>
      </c>
      <c r="E107" t="s">
        <v>1692</v>
      </c>
      <c r="F107" t="s">
        <v>1743</v>
      </c>
      <c r="G107" t="s">
        <v>1693</v>
      </c>
      <c r="H107" t="s">
        <v>1571</v>
      </c>
      <c r="I107" t="s">
        <v>1572</v>
      </c>
      <c r="J107" t="s">
        <v>255</v>
      </c>
      <c r="K107" t="s">
        <v>1573</v>
      </c>
      <c r="L107" t="s">
        <v>1825</v>
      </c>
      <c r="M107" t="s">
        <v>1826</v>
      </c>
      <c r="N107" t="s">
        <v>1576</v>
      </c>
      <c r="O107" t="s">
        <v>1577</v>
      </c>
      <c r="P107" t="s">
        <v>1578</v>
      </c>
      <c r="Q107" t="s">
        <v>1579</v>
      </c>
      <c r="R107" t="s">
        <v>1580</v>
      </c>
      <c r="S107">
        <v>1</v>
      </c>
      <c r="T107">
        <v>NaN</v>
      </c>
      <c r="U107">
        <v>NaN</v>
      </c>
      <c r="V107">
        <v>NaN</v>
      </c>
      <c r="W107">
        <v>NaN</v>
      </c>
      <c r="X107">
        <v>0</v>
      </c>
      <c r="Y107">
        <v>NaN</v>
      </c>
      <c r="Z107">
        <v>0</v>
      </c>
    </row>
    <row r="108" spans="1:26" x14ac:dyDescent="0.25">
      <c r="A108" t="s">
        <v>1566</v>
      </c>
      <c r="B108" s="13">
        <v>46256</v>
      </c>
      <c r="C108" t="s">
        <v>315</v>
      </c>
      <c r="D108" s="13">
        <v>46256</v>
      </c>
      <c r="E108" t="s">
        <v>1692</v>
      </c>
      <c r="F108" t="s">
        <v>1743</v>
      </c>
      <c r="G108" t="s">
        <v>1693</v>
      </c>
      <c r="H108" t="s">
        <v>1571</v>
      </c>
      <c r="I108" t="s">
        <v>1572</v>
      </c>
      <c r="J108" t="s">
        <v>255</v>
      </c>
      <c r="K108" t="s">
        <v>1573</v>
      </c>
      <c r="L108" t="s">
        <v>1827</v>
      </c>
      <c r="M108" t="s">
        <v>1828</v>
      </c>
      <c r="N108" t="s">
        <v>1576</v>
      </c>
      <c r="O108" t="s">
        <v>1577</v>
      </c>
      <c r="P108" t="s">
        <v>1578</v>
      </c>
      <c r="Q108" t="s">
        <v>1579</v>
      </c>
      <c r="R108" t="s">
        <v>1580</v>
      </c>
      <c r="S108">
        <v>1</v>
      </c>
      <c r="T108">
        <v>NaN</v>
      </c>
      <c r="U108">
        <v>NaN</v>
      </c>
      <c r="V108">
        <v>NaN</v>
      </c>
      <c r="W108">
        <v>NaN</v>
      </c>
      <c r="X108">
        <v>0</v>
      </c>
      <c r="Y108">
        <v>NaN</v>
      </c>
      <c r="Z108">
        <v>0</v>
      </c>
    </row>
    <row r="109" spans="1:26" x14ac:dyDescent="0.25">
      <c r="A109" t="s">
        <v>1566</v>
      </c>
      <c r="B109" s="13">
        <v>46257</v>
      </c>
      <c r="C109" t="s">
        <v>315</v>
      </c>
      <c r="D109" s="13">
        <v>46257</v>
      </c>
      <c r="E109" t="s">
        <v>1692</v>
      </c>
      <c r="F109" t="s">
        <v>1743</v>
      </c>
      <c r="G109" t="s">
        <v>1693</v>
      </c>
      <c r="H109" t="s">
        <v>1571</v>
      </c>
      <c r="I109" t="s">
        <v>1572</v>
      </c>
      <c r="J109" t="s">
        <v>255</v>
      </c>
      <c r="K109" t="s">
        <v>1573</v>
      </c>
      <c r="L109" t="s">
        <v>1829</v>
      </c>
      <c r="M109" t="s">
        <v>1830</v>
      </c>
      <c r="N109" t="s">
        <v>1576</v>
      </c>
      <c r="O109" t="s">
        <v>1577</v>
      </c>
      <c r="P109" t="s">
        <v>1578</v>
      </c>
      <c r="Q109" t="s">
        <v>1579</v>
      </c>
      <c r="R109" t="s">
        <v>1580</v>
      </c>
      <c r="S109">
        <v>1</v>
      </c>
      <c r="T109">
        <v>NaN</v>
      </c>
      <c r="U109">
        <v>NaN</v>
      </c>
      <c r="V109">
        <v>NaN</v>
      </c>
      <c r="W109">
        <v>NaN</v>
      </c>
      <c r="X109">
        <v>0</v>
      </c>
      <c r="Y109">
        <v>NaN</v>
      </c>
      <c r="Z109">
        <v>0</v>
      </c>
    </row>
    <row r="110" spans="1:26" x14ac:dyDescent="0.25">
      <c r="A110" t="s">
        <v>1566</v>
      </c>
      <c r="B110" s="13">
        <v>46258</v>
      </c>
      <c r="C110" t="s">
        <v>315</v>
      </c>
      <c r="D110" s="13">
        <v>46258</v>
      </c>
      <c r="E110" t="s">
        <v>1692</v>
      </c>
      <c r="F110" t="s">
        <v>1743</v>
      </c>
      <c r="G110" t="s">
        <v>1693</v>
      </c>
      <c r="H110" t="s">
        <v>1571</v>
      </c>
      <c r="I110" t="s">
        <v>1572</v>
      </c>
      <c r="J110" t="s">
        <v>255</v>
      </c>
      <c r="K110" t="s">
        <v>1573</v>
      </c>
      <c r="L110" t="s">
        <v>1831</v>
      </c>
      <c r="M110" t="s">
        <v>1832</v>
      </c>
      <c r="N110" t="s">
        <v>1576</v>
      </c>
      <c r="O110" t="s">
        <v>1577</v>
      </c>
      <c r="P110" t="s">
        <v>1578</v>
      </c>
      <c r="Q110" t="s">
        <v>1579</v>
      </c>
      <c r="R110" t="s">
        <v>1580</v>
      </c>
      <c r="S110">
        <v>1</v>
      </c>
      <c r="T110">
        <v>NaN</v>
      </c>
      <c r="U110">
        <v>NaN</v>
      </c>
      <c r="V110">
        <v>NaN</v>
      </c>
      <c r="W110">
        <v>NaN</v>
      </c>
      <c r="X110">
        <v>0</v>
      </c>
      <c r="Y110">
        <v>NaN</v>
      </c>
      <c r="Z110">
        <v>0</v>
      </c>
    </row>
    <row r="111" spans="1:26" x14ac:dyDescent="0.25">
      <c r="A111" t="s">
        <v>1566</v>
      </c>
      <c r="B111" s="13">
        <v>46259</v>
      </c>
      <c r="C111" t="s">
        <v>315</v>
      </c>
      <c r="D111" s="13">
        <v>46259</v>
      </c>
      <c r="E111" t="s">
        <v>1692</v>
      </c>
      <c r="F111" t="s">
        <v>1743</v>
      </c>
      <c r="G111" t="s">
        <v>1693</v>
      </c>
      <c r="H111" t="s">
        <v>1571</v>
      </c>
      <c r="I111" t="s">
        <v>1572</v>
      </c>
      <c r="J111" t="s">
        <v>255</v>
      </c>
      <c r="K111" t="s">
        <v>1573</v>
      </c>
      <c r="L111" t="s">
        <v>1833</v>
      </c>
      <c r="M111" t="s">
        <v>1834</v>
      </c>
      <c r="N111" t="s">
        <v>1576</v>
      </c>
      <c r="O111" t="s">
        <v>1577</v>
      </c>
      <c r="P111" t="s">
        <v>1578</v>
      </c>
      <c r="Q111" t="s">
        <v>1579</v>
      </c>
      <c r="R111" t="s">
        <v>1580</v>
      </c>
      <c r="S111">
        <v>1</v>
      </c>
      <c r="T111">
        <v>NaN</v>
      </c>
      <c r="U111">
        <v>NaN</v>
      </c>
      <c r="V111">
        <v>NaN</v>
      </c>
      <c r="W111">
        <v>NaN</v>
      </c>
      <c r="X111">
        <v>0</v>
      </c>
      <c r="Y111">
        <v>NaN</v>
      </c>
      <c r="Z111">
        <v>0</v>
      </c>
    </row>
    <row r="112" spans="1:26" x14ac:dyDescent="0.25">
      <c r="A112" t="s">
        <v>1566</v>
      </c>
      <c r="B112" s="13">
        <v>46245</v>
      </c>
      <c r="C112" t="s">
        <v>316</v>
      </c>
      <c r="D112" s="13">
        <v>46245</v>
      </c>
      <c r="E112" t="s">
        <v>1704</v>
      </c>
      <c r="F112" t="s">
        <v>1743</v>
      </c>
      <c r="G112" t="s">
        <v>1705</v>
      </c>
      <c r="H112" t="s">
        <v>1571</v>
      </c>
      <c r="I112" t="s">
        <v>1572</v>
      </c>
      <c r="J112" t="s">
        <v>255</v>
      </c>
      <c r="K112" t="s">
        <v>1573</v>
      </c>
      <c r="L112" t="s">
        <v>1835</v>
      </c>
      <c r="M112" t="s">
        <v>1836</v>
      </c>
      <c r="N112" t="s">
        <v>1576</v>
      </c>
      <c r="O112" t="s">
        <v>1577</v>
      </c>
      <c r="P112" t="s">
        <v>1578</v>
      </c>
      <c r="Q112" t="s">
        <v>1579</v>
      </c>
      <c r="R112" t="s">
        <v>1580</v>
      </c>
      <c r="S112">
        <v>1</v>
      </c>
      <c r="T112">
        <v>NaN</v>
      </c>
      <c r="U112">
        <v>NaN</v>
      </c>
      <c r="V112">
        <v>NaN</v>
      </c>
      <c r="W112">
        <v>NaN</v>
      </c>
      <c r="X112">
        <v>0</v>
      </c>
      <c r="Y112">
        <v>NaN</v>
      </c>
      <c r="Z112">
        <v>0</v>
      </c>
    </row>
    <row r="113" spans="1:26" x14ac:dyDescent="0.25">
      <c r="A113" t="s">
        <v>1566</v>
      </c>
      <c r="B113" s="13">
        <v>46246</v>
      </c>
      <c r="C113" t="s">
        <v>316</v>
      </c>
      <c r="D113" s="13">
        <v>46246</v>
      </c>
      <c r="E113" t="s">
        <v>1704</v>
      </c>
      <c r="F113" t="s">
        <v>1743</v>
      </c>
      <c r="G113" t="s">
        <v>1705</v>
      </c>
      <c r="H113" t="s">
        <v>1571</v>
      </c>
      <c r="I113" t="s">
        <v>1572</v>
      </c>
      <c r="J113" t="s">
        <v>255</v>
      </c>
      <c r="K113" t="s">
        <v>1573</v>
      </c>
      <c r="L113" t="s">
        <v>1837</v>
      </c>
      <c r="M113" t="s">
        <v>1838</v>
      </c>
      <c r="N113" t="s">
        <v>1576</v>
      </c>
      <c r="O113" t="s">
        <v>1577</v>
      </c>
      <c r="P113" t="s">
        <v>1578</v>
      </c>
      <c r="Q113" t="s">
        <v>1579</v>
      </c>
      <c r="R113" t="s">
        <v>1580</v>
      </c>
      <c r="S113">
        <v>1</v>
      </c>
      <c r="T113">
        <v>NaN</v>
      </c>
      <c r="U113">
        <v>NaN</v>
      </c>
      <c r="V113">
        <v>NaN</v>
      </c>
      <c r="W113">
        <v>NaN</v>
      </c>
      <c r="X113">
        <v>0</v>
      </c>
      <c r="Y113">
        <v>NaN</v>
      </c>
      <c r="Z113">
        <v>0</v>
      </c>
    </row>
    <row r="114" spans="1:26" x14ac:dyDescent="0.25">
      <c r="A114" t="s">
        <v>1566</v>
      </c>
      <c r="B114" s="13">
        <v>46247</v>
      </c>
      <c r="C114" t="s">
        <v>316</v>
      </c>
      <c r="D114" s="13">
        <v>46247</v>
      </c>
      <c r="E114" t="s">
        <v>1704</v>
      </c>
      <c r="F114" t="s">
        <v>1743</v>
      </c>
      <c r="G114" t="s">
        <v>1705</v>
      </c>
      <c r="H114" t="s">
        <v>1571</v>
      </c>
      <c r="I114" t="s">
        <v>1572</v>
      </c>
      <c r="J114" t="s">
        <v>255</v>
      </c>
      <c r="K114" t="s">
        <v>1573</v>
      </c>
      <c r="L114" t="s">
        <v>1839</v>
      </c>
      <c r="M114" t="s">
        <v>1840</v>
      </c>
      <c r="N114" t="s">
        <v>1576</v>
      </c>
      <c r="O114" t="s">
        <v>1577</v>
      </c>
      <c r="P114" t="s">
        <v>1578</v>
      </c>
      <c r="Q114" t="s">
        <v>1579</v>
      </c>
      <c r="R114" t="s">
        <v>1580</v>
      </c>
      <c r="S114">
        <v>1</v>
      </c>
      <c r="T114">
        <v>NaN</v>
      </c>
      <c r="U114">
        <v>NaN</v>
      </c>
      <c r="V114">
        <v>NaN</v>
      </c>
      <c r="W114">
        <v>NaN</v>
      </c>
      <c r="X114">
        <v>0</v>
      </c>
      <c r="Y114">
        <v>NaN</v>
      </c>
      <c r="Z114">
        <v>0</v>
      </c>
    </row>
    <row r="115" spans="1:26" x14ac:dyDescent="0.25">
      <c r="A115" t="s">
        <v>1566</v>
      </c>
      <c r="B115" s="13">
        <v>46248</v>
      </c>
      <c r="C115" t="s">
        <v>316</v>
      </c>
      <c r="D115" s="13">
        <v>46248</v>
      </c>
      <c r="E115" t="s">
        <v>1704</v>
      </c>
      <c r="F115" t="s">
        <v>1743</v>
      </c>
      <c r="G115" t="s">
        <v>1705</v>
      </c>
      <c r="H115" t="s">
        <v>1571</v>
      </c>
      <c r="I115" t="s">
        <v>1572</v>
      </c>
      <c r="J115" t="s">
        <v>255</v>
      </c>
      <c r="K115" t="s">
        <v>1573</v>
      </c>
      <c r="L115" t="s">
        <v>1841</v>
      </c>
      <c r="M115" t="s">
        <v>1842</v>
      </c>
      <c r="N115" t="s">
        <v>1576</v>
      </c>
      <c r="O115" t="s">
        <v>1577</v>
      </c>
      <c r="P115" t="s">
        <v>1578</v>
      </c>
      <c r="Q115" t="s">
        <v>1579</v>
      </c>
      <c r="R115" t="s">
        <v>1580</v>
      </c>
      <c r="S115">
        <v>1</v>
      </c>
      <c r="T115">
        <v>NaN</v>
      </c>
      <c r="U115">
        <v>NaN</v>
      </c>
      <c r="V115">
        <v>NaN</v>
      </c>
      <c r="W115">
        <v>NaN</v>
      </c>
      <c r="X115">
        <v>0</v>
      </c>
      <c r="Y115">
        <v>NaN</v>
      </c>
      <c r="Z115">
        <v>0</v>
      </c>
    </row>
    <row r="116" spans="1:26" x14ac:dyDescent="0.25">
      <c r="A116" t="s">
        <v>1566</v>
      </c>
      <c r="B116" s="13">
        <v>46249</v>
      </c>
      <c r="C116" t="s">
        <v>316</v>
      </c>
      <c r="D116" s="13">
        <v>46249</v>
      </c>
      <c r="E116" t="s">
        <v>1704</v>
      </c>
      <c r="F116" t="s">
        <v>1743</v>
      </c>
      <c r="G116" t="s">
        <v>1705</v>
      </c>
      <c r="H116" t="s">
        <v>1571</v>
      </c>
      <c r="I116" t="s">
        <v>1572</v>
      </c>
      <c r="J116" t="s">
        <v>255</v>
      </c>
      <c r="K116" t="s">
        <v>1573</v>
      </c>
      <c r="L116" t="s">
        <v>1843</v>
      </c>
      <c r="M116" t="s">
        <v>1844</v>
      </c>
      <c r="N116" t="s">
        <v>1576</v>
      </c>
      <c r="O116" t="s">
        <v>1577</v>
      </c>
      <c r="P116" t="s">
        <v>1578</v>
      </c>
      <c r="Q116" t="s">
        <v>1579</v>
      </c>
      <c r="R116" t="s">
        <v>1580</v>
      </c>
      <c r="S116">
        <v>1</v>
      </c>
      <c r="T116">
        <v>NaN</v>
      </c>
      <c r="U116">
        <v>NaN</v>
      </c>
      <c r="V116">
        <v>NaN</v>
      </c>
      <c r="W116">
        <v>NaN</v>
      </c>
      <c r="X116">
        <v>0</v>
      </c>
      <c r="Y116">
        <v>NaN</v>
      </c>
      <c r="Z116">
        <v>0</v>
      </c>
    </row>
    <row r="117" spans="1:26" x14ac:dyDescent="0.25">
      <c r="A117" t="s">
        <v>1566</v>
      </c>
      <c r="B117" s="13">
        <v>46250</v>
      </c>
      <c r="C117" t="s">
        <v>317</v>
      </c>
      <c r="D117" s="13">
        <v>46250</v>
      </c>
      <c r="E117" t="s">
        <v>1716</v>
      </c>
      <c r="F117" t="s">
        <v>1743</v>
      </c>
      <c r="G117" t="s">
        <v>1717</v>
      </c>
      <c r="H117" t="s">
        <v>1571</v>
      </c>
      <c r="I117" t="s">
        <v>1572</v>
      </c>
      <c r="J117" t="s">
        <v>255</v>
      </c>
      <c r="K117" t="s">
        <v>1573</v>
      </c>
      <c r="L117" t="s">
        <v>1845</v>
      </c>
      <c r="M117" t="s">
        <v>1846</v>
      </c>
      <c r="N117" t="s">
        <v>1576</v>
      </c>
      <c r="O117" t="s">
        <v>1577</v>
      </c>
      <c r="P117" t="s">
        <v>1578</v>
      </c>
      <c r="Q117" t="s">
        <v>1579</v>
      </c>
      <c r="R117" t="s">
        <v>1580</v>
      </c>
      <c r="S117">
        <v>1</v>
      </c>
      <c r="T117">
        <v>NaN</v>
      </c>
      <c r="U117">
        <v>NaN</v>
      </c>
      <c r="V117">
        <v>NaN</v>
      </c>
      <c r="W117">
        <v>NaN</v>
      </c>
      <c r="X117">
        <v>0</v>
      </c>
      <c r="Y117">
        <v>NaN</v>
      </c>
      <c r="Z117">
        <v>0</v>
      </c>
    </row>
    <row r="118" spans="1:26" x14ac:dyDescent="0.25">
      <c r="A118" t="s">
        <v>1566</v>
      </c>
      <c r="B118" s="13">
        <v>46251</v>
      </c>
      <c r="C118" t="s">
        <v>317</v>
      </c>
      <c r="D118" s="13">
        <v>46251</v>
      </c>
      <c r="E118" t="s">
        <v>1716</v>
      </c>
      <c r="F118" t="s">
        <v>1743</v>
      </c>
      <c r="G118" t="s">
        <v>1717</v>
      </c>
      <c r="H118" t="s">
        <v>1571</v>
      </c>
      <c r="I118" t="s">
        <v>1572</v>
      </c>
      <c r="J118" t="s">
        <v>255</v>
      </c>
      <c r="K118" t="s">
        <v>1573</v>
      </c>
      <c r="L118" t="s">
        <v>1847</v>
      </c>
      <c r="M118" t="s">
        <v>1848</v>
      </c>
      <c r="N118" t="s">
        <v>1576</v>
      </c>
      <c r="O118" t="s">
        <v>1577</v>
      </c>
      <c r="P118" t="s">
        <v>1578</v>
      </c>
      <c r="Q118" t="s">
        <v>1579</v>
      </c>
      <c r="R118" t="s">
        <v>1580</v>
      </c>
      <c r="S118">
        <v>1</v>
      </c>
      <c r="T118">
        <v>NaN</v>
      </c>
      <c r="U118">
        <v>NaN</v>
      </c>
      <c r="V118">
        <v>NaN</v>
      </c>
      <c r="W118">
        <v>NaN</v>
      </c>
      <c r="X118">
        <v>0</v>
      </c>
      <c r="Y118">
        <v>NaN</v>
      </c>
      <c r="Z118">
        <v>0</v>
      </c>
    </row>
    <row r="119" spans="1:26" x14ac:dyDescent="0.25">
      <c r="A119" t="s">
        <v>1566</v>
      </c>
      <c r="B119" s="13">
        <v>46252</v>
      </c>
      <c r="C119" t="s">
        <v>317</v>
      </c>
      <c r="D119" s="13">
        <v>46252</v>
      </c>
      <c r="E119" t="s">
        <v>1716</v>
      </c>
      <c r="F119" t="s">
        <v>1743</v>
      </c>
      <c r="G119" t="s">
        <v>1717</v>
      </c>
      <c r="H119" t="s">
        <v>1571</v>
      </c>
      <c r="I119" t="s">
        <v>1572</v>
      </c>
      <c r="J119" t="s">
        <v>255</v>
      </c>
      <c r="K119" t="s">
        <v>1573</v>
      </c>
      <c r="L119" t="s">
        <v>1849</v>
      </c>
      <c r="M119" t="s">
        <v>1850</v>
      </c>
      <c r="N119" t="s">
        <v>1576</v>
      </c>
      <c r="O119" t="s">
        <v>1577</v>
      </c>
      <c r="P119" t="s">
        <v>1578</v>
      </c>
      <c r="Q119" t="s">
        <v>1579</v>
      </c>
      <c r="R119" t="s">
        <v>1580</v>
      </c>
      <c r="S119">
        <v>1</v>
      </c>
      <c r="T119">
        <v>NaN</v>
      </c>
      <c r="U119">
        <v>NaN</v>
      </c>
      <c r="V119">
        <v>NaN</v>
      </c>
      <c r="W119">
        <v>NaN</v>
      </c>
      <c r="X119">
        <v>0</v>
      </c>
      <c r="Y119">
        <v>NaN</v>
      </c>
      <c r="Z119">
        <v>0</v>
      </c>
    </row>
    <row r="120" spans="1:26" x14ac:dyDescent="0.25">
      <c r="A120" t="s">
        <v>1566</v>
      </c>
      <c r="B120" s="13">
        <v>46253</v>
      </c>
      <c r="C120" t="s">
        <v>317</v>
      </c>
      <c r="D120" s="13">
        <v>46253</v>
      </c>
      <c r="E120" t="s">
        <v>1716</v>
      </c>
      <c r="F120" t="s">
        <v>1743</v>
      </c>
      <c r="G120" t="s">
        <v>1717</v>
      </c>
      <c r="H120" t="s">
        <v>1571</v>
      </c>
      <c r="I120" t="s">
        <v>1572</v>
      </c>
      <c r="J120" t="s">
        <v>255</v>
      </c>
      <c r="K120" t="s">
        <v>1573</v>
      </c>
      <c r="L120" t="s">
        <v>1851</v>
      </c>
      <c r="M120" t="s">
        <v>1852</v>
      </c>
      <c r="N120" t="s">
        <v>1576</v>
      </c>
      <c r="O120" t="s">
        <v>1577</v>
      </c>
      <c r="P120" t="s">
        <v>1578</v>
      </c>
      <c r="Q120" t="s">
        <v>1579</v>
      </c>
      <c r="R120" t="s">
        <v>1580</v>
      </c>
      <c r="S120">
        <v>1</v>
      </c>
      <c r="T120">
        <v>NaN</v>
      </c>
      <c r="U120">
        <v>NaN</v>
      </c>
      <c r="V120">
        <v>NaN</v>
      </c>
      <c r="W120">
        <v>NaN</v>
      </c>
      <c r="X120">
        <v>0</v>
      </c>
      <c r="Y120">
        <v>NaN</v>
      </c>
      <c r="Z120">
        <v>0</v>
      </c>
    </row>
    <row r="121" spans="1:26" x14ac:dyDescent="0.25">
      <c r="A121" t="s">
        <v>1566</v>
      </c>
      <c r="B121" s="13">
        <v>46254</v>
      </c>
      <c r="C121" t="s">
        <v>317</v>
      </c>
      <c r="D121" s="13">
        <v>46254</v>
      </c>
      <c r="E121" t="s">
        <v>1716</v>
      </c>
      <c r="F121" t="s">
        <v>1743</v>
      </c>
      <c r="G121" t="s">
        <v>1717</v>
      </c>
      <c r="H121" t="s">
        <v>1571</v>
      </c>
      <c r="I121" t="s">
        <v>1572</v>
      </c>
      <c r="J121" t="s">
        <v>255</v>
      </c>
      <c r="K121" t="s">
        <v>1573</v>
      </c>
      <c r="L121" t="s">
        <v>1853</v>
      </c>
      <c r="M121" t="s">
        <v>1854</v>
      </c>
      <c r="N121" t="s">
        <v>1576</v>
      </c>
      <c r="O121" t="s">
        <v>1577</v>
      </c>
      <c r="P121" t="s">
        <v>1578</v>
      </c>
      <c r="Q121" t="s">
        <v>1579</v>
      </c>
      <c r="R121" t="s">
        <v>1580</v>
      </c>
      <c r="S121">
        <v>1</v>
      </c>
      <c r="T121">
        <v>NaN</v>
      </c>
      <c r="U121">
        <v>NaN</v>
      </c>
      <c r="V121">
        <v>NaN</v>
      </c>
      <c r="W121">
        <v>NaN</v>
      </c>
      <c r="X121">
        <v>0</v>
      </c>
      <c r="Y121">
        <v>NaN</v>
      </c>
      <c r="Z121">
        <v>0</v>
      </c>
    </row>
    <row r="122" spans="1:26" x14ac:dyDescent="0.25">
      <c r="A122" t="s">
        <v>1566</v>
      </c>
      <c r="B122" s="13">
        <v>46255</v>
      </c>
      <c r="C122" t="s">
        <v>1728</v>
      </c>
      <c r="D122" s="13">
        <v>46255</v>
      </c>
      <c r="E122" t="s">
        <v>1729</v>
      </c>
      <c r="F122" t="s">
        <v>1743</v>
      </c>
      <c r="G122" t="s">
        <v>1730</v>
      </c>
      <c r="H122" t="s">
        <v>1571</v>
      </c>
      <c r="I122" t="s">
        <v>1572</v>
      </c>
      <c r="J122" t="s">
        <v>255</v>
      </c>
      <c r="K122" t="s">
        <v>1573</v>
      </c>
      <c r="L122" t="s">
        <v>1855</v>
      </c>
      <c r="M122" t="s">
        <v>1856</v>
      </c>
      <c r="N122" t="s">
        <v>1576</v>
      </c>
      <c r="O122" t="s">
        <v>1577</v>
      </c>
      <c r="P122" t="s">
        <v>1578</v>
      </c>
      <c r="Q122" t="s">
        <v>1579</v>
      </c>
      <c r="R122" t="s">
        <v>1580</v>
      </c>
      <c r="S122">
        <v>1</v>
      </c>
      <c r="T122">
        <v>NaN</v>
      </c>
      <c r="U122">
        <v>NaN</v>
      </c>
      <c r="V122">
        <v>NaN</v>
      </c>
      <c r="W122">
        <v>NaN</v>
      </c>
      <c r="X122">
        <v>0</v>
      </c>
      <c r="Y122">
        <v>NaN</v>
      </c>
      <c r="Z122">
        <v>0</v>
      </c>
    </row>
    <row r="123" spans="1:26" x14ac:dyDescent="0.25">
      <c r="A123" t="s">
        <v>1566</v>
      </c>
      <c r="B123" s="13">
        <v>46256</v>
      </c>
      <c r="C123" t="s">
        <v>1728</v>
      </c>
      <c r="D123" s="13">
        <v>46256</v>
      </c>
      <c r="E123" t="s">
        <v>1729</v>
      </c>
      <c r="F123" t="s">
        <v>1743</v>
      </c>
      <c r="G123" t="s">
        <v>1730</v>
      </c>
      <c r="H123" t="s">
        <v>1571</v>
      </c>
      <c r="I123" t="s">
        <v>1572</v>
      </c>
      <c r="J123" t="s">
        <v>255</v>
      </c>
      <c r="K123" t="s">
        <v>1573</v>
      </c>
      <c r="L123" t="s">
        <v>1857</v>
      </c>
      <c r="M123" t="s">
        <v>1858</v>
      </c>
      <c r="N123" t="s">
        <v>1576</v>
      </c>
      <c r="O123" t="s">
        <v>1577</v>
      </c>
      <c r="P123" t="s">
        <v>1578</v>
      </c>
      <c r="Q123" t="s">
        <v>1579</v>
      </c>
      <c r="R123" t="s">
        <v>1580</v>
      </c>
      <c r="S123">
        <v>1</v>
      </c>
      <c r="T123">
        <v>NaN</v>
      </c>
      <c r="U123">
        <v>NaN</v>
      </c>
      <c r="V123">
        <v>NaN</v>
      </c>
      <c r="W123">
        <v>NaN</v>
      </c>
      <c r="X123">
        <v>0</v>
      </c>
      <c r="Y123">
        <v>NaN</v>
      </c>
      <c r="Z123">
        <v>0</v>
      </c>
    </row>
    <row r="124" spans="1:26" x14ac:dyDescent="0.25">
      <c r="A124" t="s">
        <v>1566</v>
      </c>
      <c r="B124" s="13">
        <v>46257</v>
      </c>
      <c r="C124" t="s">
        <v>1728</v>
      </c>
      <c r="D124" s="13">
        <v>46257</v>
      </c>
      <c r="E124" t="s">
        <v>1729</v>
      </c>
      <c r="F124" t="s">
        <v>1743</v>
      </c>
      <c r="G124" t="s">
        <v>1730</v>
      </c>
      <c r="H124" t="s">
        <v>1571</v>
      </c>
      <c r="I124" t="s">
        <v>1572</v>
      </c>
      <c r="J124" t="s">
        <v>255</v>
      </c>
      <c r="K124" t="s">
        <v>1573</v>
      </c>
      <c r="L124" t="s">
        <v>1859</v>
      </c>
      <c r="M124" t="s">
        <v>1860</v>
      </c>
      <c r="N124" t="s">
        <v>1576</v>
      </c>
      <c r="O124" t="s">
        <v>1577</v>
      </c>
      <c r="P124" t="s">
        <v>1578</v>
      </c>
      <c r="Q124" t="s">
        <v>1579</v>
      </c>
      <c r="R124" t="s">
        <v>1580</v>
      </c>
      <c r="S124">
        <v>1</v>
      </c>
      <c r="T124">
        <v>NaN</v>
      </c>
      <c r="U124">
        <v>NaN</v>
      </c>
      <c r="V124">
        <v>NaN</v>
      </c>
      <c r="W124">
        <v>NaN</v>
      </c>
      <c r="X124">
        <v>0</v>
      </c>
      <c r="Y124">
        <v>NaN</v>
      </c>
      <c r="Z124">
        <v>0</v>
      </c>
    </row>
    <row r="125" spans="1:26" x14ac:dyDescent="0.25">
      <c r="A125" t="s">
        <v>1566</v>
      </c>
      <c r="B125" s="13">
        <v>46258</v>
      </c>
      <c r="C125" t="s">
        <v>1728</v>
      </c>
      <c r="D125" s="13">
        <v>46258</v>
      </c>
      <c r="E125" t="s">
        <v>1729</v>
      </c>
      <c r="F125" t="s">
        <v>1743</v>
      </c>
      <c r="G125" t="s">
        <v>1730</v>
      </c>
      <c r="H125" t="s">
        <v>1571</v>
      </c>
      <c r="I125" t="s">
        <v>1572</v>
      </c>
      <c r="J125" t="s">
        <v>255</v>
      </c>
      <c r="K125" t="s">
        <v>1573</v>
      </c>
      <c r="L125" t="s">
        <v>1861</v>
      </c>
      <c r="M125" t="s">
        <v>1862</v>
      </c>
      <c r="N125" t="s">
        <v>1576</v>
      </c>
      <c r="O125" t="s">
        <v>1577</v>
      </c>
      <c r="P125" t="s">
        <v>1578</v>
      </c>
      <c r="Q125" t="s">
        <v>1579</v>
      </c>
      <c r="R125" t="s">
        <v>1580</v>
      </c>
      <c r="S125">
        <v>1</v>
      </c>
      <c r="T125">
        <v>NaN</v>
      </c>
      <c r="U125">
        <v>NaN</v>
      </c>
      <c r="V125">
        <v>NaN</v>
      </c>
      <c r="W125">
        <v>NaN</v>
      </c>
      <c r="X125">
        <v>0</v>
      </c>
      <c r="Y125">
        <v>NaN</v>
      </c>
      <c r="Z125">
        <v>0</v>
      </c>
    </row>
    <row r="126" spans="1:26" x14ac:dyDescent="0.25">
      <c r="A126" t="s">
        <v>1566</v>
      </c>
      <c r="B126" s="13">
        <v>46259</v>
      </c>
      <c r="C126" t="s">
        <v>1728</v>
      </c>
      <c r="D126" s="13">
        <v>46259</v>
      </c>
      <c r="E126" t="s">
        <v>1729</v>
      </c>
      <c r="F126" t="s">
        <v>1743</v>
      </c>
      <c r="G126" t="s">
        <v>1730</v>
      </c>
      <c r="H126" t="s">
        <v>1571</v>
      </c>
      <c r="I126" t="s">
        <v>1572</v>
      </c>
      <c r="J126" t="s">
        <v>255</v>
      </c>
      <c r="K126" t="s">
        <v>1573</v>
      </c>
      <c r="L126" t="s">
        <v>1863</v>
      </c>
      <c r="M126" t="s">
        <v>1864</v>
      </c>
      <c r="N126" t="s">
        <v>1576</v>
      </c>
      <c r="O126" t="s">
        <v>1577</v>
      </c>
      <c r="P126" t="s">
        <v>1578</v>
      </c>
      <c r="Q126" t="s">
        <v>1579</v>
      </c>
      <c r="R126" t="s">
        <v>1580</v>
      </c>
      <c r="S126">
        <v>1</v>
      </c>
      <c r="T126">
        <v>NaN</v>
      </c>
      <c r="U126">
        <v>NaN</v>
      </c>
      <c r="V126">
        <v>NaN</v>
      </c>
      <c r="W126">
        <v>NaN</v>
      </c>
      <c r="X126">
        <v>0</v>
      </c>
      <c r="Y126">
        <v>NaN</v>
      </c>
      <c r="Z126">
        <v>0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4"/>
      <c r="U127" s="14"/>
      <c r="V127" s="14"/>
      <c r="W127" s="14"/>
      <c r="X127" s="14"/>
      <c r="Y127" s="15"/>
      <c r="Z127" s="14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4"/>
      <c r="U128" s="14"/>
      <c r="V128" s="14"/>
      <c r="W128" s="14"/>
      <c r="X128" s="14"/>
      <c r="Y128" s="15"/>
      <c r="Z128" s="14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4"/>
      <c r="U129" s="14"/>
      <c r="V129" s="14"/>
      <c r="W129" s="14"/>
      <c r="X129" s="14"/>
      <c r="Y129" s="15"/>
      <c r="Z129" s="14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4"/>
      <c r="U130" s="14"/>
      <c r="V130" s="14"/>
      <c r="W130" s="14"/>
      <c r="X130" s="14"/>
      <c r="Y130" s="15"/>
      <c r="Z130" s="14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4"/>
      <c r="U131" s="14"/>
      <c r="V131" s="14"/>
      <c r="W131" s="14"/>
      <c r="X131" s="14"/>
      <c r="Y131" s="15"/>
      <c r="Z131" s="14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4"/>
      <c r="U132" s="14"/>
      <c r="V132" s="14"/>
      <c r="W132" s="14"/>
      <c r="X132" s="14"/>
      <c r="Y132" s="15"/>
      <c r="Z132" s="14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4"/>
      <c r="U133" s="14"/>
      <c r="V133" s="14"/>
      <c r="W133" s="14"/>
      <c r="X133" s="14"/>
      <c r="Y133" s="15"/>
      <c r="Z133" s="14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4"/>
      <c r="U134" s="14"/>
      <c r="V134" s="14"/>
      <c r="W134" s="14"/>
      <c r="X134" s="14"/>
      <c r="Y134" s="15"/>
      <c r="Z134" s="14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4"/>
      <c r="U135" s="14"/>
      <c r="V135" s="14"/>
      <c r="W135" s="14"/>
      <c r="X135" s="14"/>
      <c r="Y135" s="15"/>
      <c r="Z135" s="14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4"/>
      <c r="U136" s="14"/>
      <c r="V136" s="14"/>
      <c r="W136" s="14"/>
      <c r="X136" s="14"/>
      <c r="Y136" s="15"/>
      <c r="Z136" s="14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4"/>
      <c r="U137" s="14"/>
      <c r="V137" s="14"/>
      <c r="W137" s="14"/>
      <c r="X137" s="14"/>
      <c r="Y137" s="15"/>
      <c r="Z137" s="14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4"/>
      <c r="U138" s="14"/>
      <c r="V138" s="14"/>
      <c r="W138" s="14"/>
      <c r="X138" s="14"/>
      <c r="Y138" s="15"/>
      <c r="Z138" s="14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4"/>
      <c r="U139" s="14"/>
      <c r="V139" s="14"/>
      <c r="W139" s="14"/>
      <c r="X139" s="14"/>
      <c r="Y139" s="15"/>
      <c r="Z139" s="14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4"/>
      <c r="U140" s="14"/>
      <c r="V140" s="14"/>
      <c r="W140" s="14"/>
      <c r="X140" s="14"/>
      <c r="Y140" s="15"/>
      <c r="Z140" s="14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4"/>
      <c r="U141" s="14"/>
      <c r="V141" s="14"/>
      <c r="W141" s="14"/>
      <c r="X141" s="14"/>
      <c r="Y141" s="15"/>
      <c r="Z141" s="14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4"/>
      <c r="U142" s="14"/>
      <c r="V142" s="14"/>
      <c r="W142" s="14"/>
      <c r="X142" s="14"/>
      <c r="Y142" s="15"/>
      <c r="Z142" s="14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4"/>
      <c r="U143" s="14"/>
      <c r="V143" s="14"/>
      <c r="W143" s="14"/>
      <c r="X143" s="14"/>
      <c r="Y143" s="15"/>
      <c r="Z143" s="14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4"/>
      <c r="U144" s="14"/>
      <c r="V144" s="14"/>
      <c r="W144" s="14"/>
      <c r="X144" s="14"/>
      <c r="Y144" s="15"/>
      <c r="Z144" s="14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4"/>
      <c r="U145" s="14"/>
      <c r="V145" s="14"/>
      <c r="W145" s="14"/>
      <c r="X145" s="14"/>
      <c r="Y145" s="15"/>
      <c r="Z145" s="14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4"/>
      <c r="U146" s="14"/>
      <c r="V146" s="14"/>
      <c r="W146" s="14"/>
      <c r="X146" s="14"/>
      <c r="Y146" s="15"/>
      <c r="Z146" s="14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4"/>
      <c r="U147" s="14"/>
      <c r="V147" s="14"/>
      <c r="W147" s="14"/>
      <c r="X147" s="14"/>
      <c r="Y147" s="15"/>
      <c r="Z147" s="14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4"/>
      <c r="U148" s="14"/>
      <c r="V148" s="14"/>
      <c r="W148" s="14"/>
      <c r="X148" s="14"/>
      <c r="Y148" s="15"/>
      <c r="Z148" s="14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4"/>
      <c r="U149" s="14"/>
      <c r="V149" s="14"/>
      <c r="W149" s="14"/>
      <c r="X149" s="14"/>
      <c r="Y149" s="15"/>
      <c r="Z149" s="14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4"/>
      <c r="U150" s="14"/>
      <c r="V150" s="14"/>
      <c r="W150" s="14"/>
      <c r="X150" s="14"/>
      <c r="Y150" s="15"/>
      <c r="Z150" s="14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4"/>
      <c r="U151" s="14"/>
      <c r="V151" s="14"/>
      <c r="W151" s="14"/>
      <c r="X151" s="14"/>
      <c r="Y151" s="15"/>
      <c r="Z151" s="14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4"/>
      <c r="U152" s="14"/>
      <c r="V152" s="14"/>
      <c r="W152" s="14"/>
      <c r="X152" s="14"/>
      <c r="Y152" s="15"/>
      <c r="Z152" s="14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4"/>
      <c r="U153" s="14"/>
      <c r="V153" s="14"/>
      <c r="W153" s="14"/>
      <c r="X153" s="14"/>
      <c r="Y153" s="15"/>
      <c r="Z153" s="14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4"/>
      <c r="U154" s="14"/>
      <c r="V154" s="14"/>
      <c r="W154" s="14"/>
      <c r="X154" s="14"/>
      <c r="Y154" s="15"/>
      <c r="Z154" s="14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4"/>
      <c r="U155" s="14"/>
      <c r="V155" s="14"/>
      <c r="W155" s="14"/>
      <c r="X155" s="14"/>
      <c r="Y155" s="15"/>
      <c r="Z155" s="14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4"/>
      <c r="U156" s="14"/>
      <c r="V156" s="14"/>
      <c r="W156" s="14"/>
      <c r="X156" s="14"/>
      <c r="Y156" s="15"/>
      <c r="Z156" s="14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4"/>
      <c r="U157" s="14"/>
      <c r="V157" s="14"/>
      <c r="W157" s="14"/>
      <c r="X157" s="14"/>
      <c r="Y157" s="15"/>
      <c r="Z157" s="14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4"/>
      <c r="U158" s="14"/>
      <c r="V158" s="14"/>
      <c r="W158" s="14"/>
      <c r="X158" s="14"/>
      <c r="Y158" s="15"/>
      <c r="Z158" s="14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4"/>
      <c r="U159" s="14"/>
      <c r="V159" s="14"/>
      <c r="W159" s="14"/>
      <c r="X159" s="14"/>
      <c r="Y159" s="15"/>
      <c r="Z159" s="14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4"/>
      <c r="U160" s="14"/>
      <c r="V160" s="14"/>
      <c r="W160" s="14"/>
      <c r="X160" s="14"/>
      <c r="Y160" s="15"/>
      <c r="Z160" s="14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4"/>
      <c r="U161" s="14"/>
      <c r="V161" s="14"/>
      <c r="W161" s="14"/>
      <c r="X161" s="14"/>
      <c r="Y161" s="15"/>
      <c r="Z161" s="14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4"/>
      <c r="U162" s="14"/>
      <c r="V162" s="14"/>
      <c r="W162" s="14"/>
      <c r="X162" s="14"/>
      <c r="Y162" s="15"/>
      <c r="Z162" s="14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4"/>
      <c r="U163" s="14"/>
      <c r="V163" s="14"/>
      <c r="W163" s="14"/>
      <c r="X163" s="14"/>
      <c r="Y163" s="15"/>
      <c r="Z163" s="14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4"/>
      <c r="U164" s="14"/>
      <c r="V164" s="14"/>
      <c r="W164" s="14"/>
      <c r="X164" s="14"/>
      <c r="Y164" s="15"/>
      <c r="Z164" s="14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4"/>
      <c r="U165" s="14"/>
      <c r="V165" s="14"/>
      <c r="W165" s="14"/>
      <c r="X165" s="14"/>
      <c r="Y165" s="15"/>
      <c r="Z165" s="14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4"/>
      <c r="U166" s="14"/>
      <c r="V166" s="14"/>
      <c r="W166" s="14"/>
      <c r="X166" s="14"/>
      <c r="Y166" s="15"/>
      <c r="Z166" s="14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4"/>
      <c r="U167" s="14"/>
      <c r="V167" s="14"/>
      <c r="W167" s="14"/>
      <c r="X167" s="14"/>
      <c r="Y167" s="15"/>
      <c r="Z167" s="14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4"/>
      <c r="U168" s="14"/>
      <c r="V168" s="14"/>
      <c r="W168" s="14"/>
      <c r="X168" s="14"/>
      <c r="Y168" s="15"/>
      <c r="Z168" s="14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4"/>
      <c r="U169" s="14"/>
      <c r="V169" s="14"/>
      <c r="W169" s="14"/>
      <c r="X169" s="14"/>
      <c r="Y169" s="15"/>
      <c r="Z169" s="14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4"/>
      <c r="U170" s="14"/>
      <c r="V170" s="14"/>
      <c r="W170" s="14"/>
      <c r="X170" s="14"/>
      <c r="Y170" s="15"/>
      <c r="Z170" s="14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4"/>
      <c r="U171" s="14"/>
      <c r="V171" s="14"/>
      <c r="W171" s="14"/>
      <c r="X171" s="14"/>
      <c r="Y171" s="15"/>
      <c r="Z171" s="14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4"/>
      <c r="U172" s="14"/>
      <c r="V172" s="14"/>
      <c r="W172" s="14"/>
      <c r="X172" s="14"/>
      <c r="Y172" s="15"/>
      <c r="Z172" s="14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4"/>
      <c r="U173" s="14"/>
      <c r="V173" s="14"/>
      <c r="W173" s="14"/>
      <c r="X173" s="14"/>
      <c r="Y173" s="15"/>
      <c r="Z173" s="14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4"/>
      <c r="U174" s="14"/>
      <c r="V174" s="14"/>
      <c r="W174" s="14"/>
      <c r="X174" s="14"/>
      <c r="Y174" s="15"/>
      <c r="Z174" s="14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4"/>
      <c r="U175" s="14"/>
      <c r="V175" s="14"/>
      <c r="W175" s="14"/>
      <c r="X175" s="14"/>
      <c r="Y175" s="15"/>
      <c r="Z175" s="14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4"/>
      <c r="U176" s="14"/>
      <c r="V176" s="14"/>
      <c r="W176" s="14"/>
      <c r="X176" s="14"/>
      <c r="Y176" s="15"/>
      <c r="Z176" s="14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4"/>
      <c r="U177" s="14"/>
      <c r="V177" s="14"/>
      <c r="W177" s="14"/>
      <c r="X177" s="14"/>
      <c r="Y177" s="15"/>
      <c r="Z177" s="14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4"/>
      <c r="U178" s="14"/>
      <c r="V178" s="14"/>
      <c r="W178" s="14"/>
      <c r="X178" s="14"/>
      <c r="Y178" s="15"/>
      <c r="Z178" s="14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4"/>
      <c r="U179" s="14"/>
      <c r="V179" s="14"/>
      <c r="W179" s="14"/>
      <c r="X179" s="14"/>
      <c r="Y179" s="15"/>
      <c r="Z179" s="14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4"/>
      <c r="U180" s="14"/>
      <c r="V180" s="14"/>
      <c r="W180" s="14"/>
      <c r="X180" s="14"/>
      <c r="Y180" s="15"/>
      <c r="Z180" s="14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4"/>
      <c r="U181" s="14"/>
      <c r="V181" s="14"/>
      <c r="W181" s="14"/>
      <c r="X181" s="14"/>
      <c r="Y181" s="15"/>
      <c r="Z181" s="14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4"/>
      <c r="U182" s="14"/>
      <c r="V182" s="14"/>
      <c r="W182" s="14"/>
      <c r="X182" s="14"/>
      <c r="Y182" s="15"/>
      <c r="Z182" s="14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4"/>
      <c r="U183" s="14"/>
      <c r="V183" s="14"/>
      <c r="W183" s="14"/>
      <c r="X183" s="14"/>
      <c r="Y183" s="15"/>
      <c r="Z183" s="14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4"/>
      <c r="U184" s="14"/>
      <c r="V184" s="14"/>
      <c r="W184" s="14"/>
      <c r="X184" s="14"/>
      <c r="Y184" s="15"/>
      <c r="Z184" s="14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4"/>
      <c r="U185" s="14"/>
      <c r="V185" s="14"/>
      <c r="W185" s="14"/>
      <c r="X185" s="14"/>
      <c r="Y185" s="15"/>
      <c r="Z185" s="14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4"/>
      <c r="U186" s="14"/>
      <c r="V186" s="14"/>
      <c r="W186" s="14"/>
      <c r="X186" s="14"/>
      <c r="Y186" s="15"/>
      <c r="Z186" s="14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4"/>
      <c r="U187" s="14"/>
      <c r="V187" s="14"/>
      <c r="W187" s="14"/>
      <c r="X187" s="14"/>
      <c r="Y187" s="15"/>
      <c r="Z187" s="14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4"/>
      <c r="U188" s="14"/>
      <c r="V188" s="14"/>
      <c r="W188" s="14"/>
      <c r="X188" s="14"/>
      <c r="Y188" s="15"/>
      <c r="Z188" s="14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4"/>
      <c r="U189" s="14"/>
      <c r="V189" s="14"/>
      <c r="W189" s="14"/>
      <c r="X189" s="14"/>
      <c r="Y189" s="15"/>
      <c r="Z189" s="14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4"/>
      <c r="U190" s="14"/>
      <c r="V190" s="14"/>
      <c r="W190" s="14"/>
      <c r="X190" s="14"/>
      <c r="Y190" s="15"/>
      <c r="Z190" s="14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4"/>
      <c r="U191" s="14"/>
      <c r="V191" s="14"/>
      <c r="W191" s="14"/>
      <c r="X191" s="14"/>
      <c r="Y191" s="15"/>
      <c r="Z191" s="14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4"/>
      <c r="U192" s="14"/>
      <c r="V192" s="14"/>
      <c r="W192" s="14"/>
      <c r="X192" s="14"/>
      <c r="Y192" s="15"/>
      <c r="Z192" s="14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4"/>
      <c r="U193" s="14"/>
      <c r="V193" s="14"/>
      <c r="W193" s="14"/>
      <c r="X193" s="14"/>
      <c r="Y193" s="15"/>
      <c r="Z193" s="14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4"/>
      <c r="U194" s="14"/>
      <c r="V194" s="14"/>
      <c r="W194" s="14"/>
      <c r="X194" s="14"/>
      <c r="Y194" s="15"/>
      <c r="Z194" s="14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4"/>
      <c r="U195" s="14"/>
      <c r="V195" s="14"/>
      <c r="W195" s="14"/>
      <c r="X195" s="14"/>
      <c r="Y195" s="15"/>
      <c r="Z195" s="14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4"/>
      <c r="U196" s="14"/>
      <c r="V196" s="14"/>
      <c r="W196" s="14"/>
      <c r="X196" s="14"/>
      <c r="Y196" s="15"/>
      <c r="Z196" s="14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4"/>
      <c r="U197" s="14"/>
      <c r="V197" s="14"/>
      <c r="W197" s="14"/>
      <c r="X197" s="14"/>
      <c r="Y197" s="15"/>
      <c r="Z197" s="14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4"/>
      <c r="U198" s="14"/>
      <c r="V198" s="14"/>
      <c r="W198" s="14"/>
      <c r="X198" s="14"/>
      <c r="Y198" s="15"/>
      <c r="Z198" s="14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4"/>
      <c r="U199" s="14"/>
      <c r="V199" s="14"/>
      <c r="W199" s="14"/>
      <c r="X199" s="14"/>
      <c r="Y199" s="15"/>
      <c r="Z199" s="14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4"/>
      <c r="U200" s="14"/>
      <c r="V200" s="14"/>
      <c r="W200" s="14"/>
      <c r="X200" s="14"/>
      <c r="Y200" s="15"/>
      <c r="Z200" s="14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4"/>
      <c r="U201" s="14"/>
      <c r="V201" s="14"/>
      <c r="W201" s="14"/>
      <c r="X201" s="14"/>
      <c r="Y201" s="15"/>
      <c r="Z201" s="14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4"/>
      <c r="U202" s="14"/>
      <c r="V202" s="14"/>
      <c r="W202" s="14"/>
      <c r="X202" s="14"/>
      <c r="Y202" s="15"/>
      <c r="Z202" s="14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4"/>
      <c r="U203" s="14"/>
      <c r="V203" s="14"/>
      <c r="W203" s="14"/>
      <c r="X203" s="14"/>
      <c r="Y203" s="15"/>
      <c r="Z203" s="14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4"/>
      <c r="U204" s="14"/>
      <c r="V204" s="14"/>
      <c r="W204" s="14"/>
      <c r="X204" s="14"/>
      <c r="Y204" s="15"/>
      <c r="Z204" s="14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4"/>
      <c r="U205" s="14"/>
      <c r="V205" s="14"/>
      <c r="W205" s="14"/>
      <c r="X205" s="14"/>
      <c r="Y205" s="15"/>
      <c r="Z205" s="14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4"/>
      <c r="U206" s="14"/>
      <c r="V206" s="14"/>
      <c r="W206" s="14"/>
      <c r="X206" s="14"/>
      <c r="Y206" s="15"/>
      <c r="Z206" s="14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4"/>
      <c r="U207" s="14"/>
      <c r="V207" s="14"/>
      <c r="W207" s="14"/>
      <c r="X207" s="14"/>
      <c r="Y207" s="15"/>
      <c r="Z207" s="14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4"/>
      <c r="U208" s="14"/>
      <c r="V208" s="14"/>
      <c r="W208" s="14"/>
      <c r="X208" s="14"/>
      <c r="Y208" s="15"/>
      <c r="Z208" s="14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4"/>
      <c r="U209" s="14"/>
      <c r="V209" s="14"/>
      <c r="W209" s="14"/>
      <c r="X209" s="14"/>
      <c r="Y209" s="15"/>
      <c r="Z209" s="14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4"/>
      <c r="U210" s="14"/>
      <c r="V210" s="14"/>
      <c r="W210" s="14"/>
      <c r="X210" s="14"/>
      <c r="Y210" s="15"/>
      <c r="Z210" s="14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4"/>
      <c r="U211" s="14"/>
      <c r="V211" s="14"/>
      <c r="W211" s="14"/>
      <c r="X211" s="14"/>
      <c r="Y211" s="15"/>
      <c r="Z211" s="14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4"/>
      <c r="U212" s="14"/>
      <c r="V212" s="14"/>
      <c r="W212" s="14"/>
      <c r="X212" s="14"/>
      <c r="Y212" s="15"/>
      <c r="Z212" s="14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4"/>
      <c r="U213" s="14"/>
      <c r="V213" s="14"/>
      <c r="W213" s="14"/>
      <c r="X213" s="14"/>
      <c r="Y213" s="15"/>
      <c r="Z213" s="14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4"/>
      <c r="U214" s="14"/>
      <c r="V214" s="14"/>
      <c r="W214" s="14"/>
      <c r="X214" s="14"/>
      <c r="Y214" s="15"/>
      <c r="Z214" s="14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4"/>
      <c r="U215" s="14"/>
      <c r="V215" s="14"/>
      <c r="W215" s="14"/>
      <c r="X215" s="14"/>
      <c r="Y215" s="15"/>
      <c r="Z215" s="14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4"/>
      <c r="U216" s="14"/>
      <c r="V216" s="14"/>
      <c r="W216" s="14"/>
      <c r="X216" s="14"/>
      <c r="Y216" s="15"/>
      <c r="Z216" s="14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4"/>
      <c r="U217" s="14"/>
      <c r="V217" s="14"/>
      <c r="W217" s="14"/>
      <c r="X217" s="14"/>
      <c r="Y217" s="15"/>
      <c r="Z217" s="14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4"/>
      <c r="U218" s="14"/>
      <c r="V218" s="14"/>
      <c r="W218" s="14"/>
      <c r="X218" s="14"/>
      <c r="Y218" s="15"/>
      <c r="Z218" s="14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4"/>
      <c r="U219" s="14"/>
      <c r="V219" s="14"/>
      <c r="W219" s="14"/>
      <c r="X219" s="14"/>
      <c r="Y219" s="15"/>
      <c r="Z219" s="14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4"/>
      <c r="U220" s="14"/>
      <c r="V220" s="14"/>
      <c r="W220" s="14"/>
      <c r="X220" s="14"/>
      <c r="Y220" s="15"/>
      <c r="Z220" s="14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4"/>
      <c r="U221" s="14"/>
      <c r="V221" s="14"/>
      <c r="W221" s="14"/>
      <c r="X221" s="14"/>
      <c r="Y221" s="15"/>
      <c r="Z221" s="14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4"/>
      <c r="U222" s="14"/>
      <c r="V222" s="14"/>
      <c r="W222" s="14"/>
      <c r="X222" s="14"/>
      <c r="Y222" s="15"/>
      <c r="Z222" s="14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4"/>
      <c r="U223" s="14"/>
      <c r="V223" s="14"/>
      <c r="W223" s="14"/>
      <c r="X223" s="14"/>
      <c r="Y223" s="15"/>
      <c r="Z223" s="14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4"/>
      <c r="U224" s="14"/>
      <c r="V224" s="14"/>
      <c r="W224" s="14"/>
      <c r="X224" s="14"/>
      <c r="Y224" s="15"/>
      <c r="Z224" s="14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4"/>
      <c r="U225" s="14"/>
      <c r="V225" s="14"/>
      <c r="W225" s="14"/>
      <c r="X225" s="14"/>
      <c r="Y225" s="15"/>
      <c r="Z225" s="14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4"/>
      <c r="U226" s="14"/>
      <c r="V226" s="14"/>
      <c r="W226" s="14"/>
      <c r="X226" s="14"/>
      <c r="Y226" s="15"/>
      <c r="Z226" s="14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4"/>
      <c r="U227" s="14"/>
      <c r="V227" s="14"/>
      <c r="W227" s="14"/>
      <c r="X227" s="14"/>
      <c r="Y227" s="15"/>
      <c r="Z227" s="14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4"/>
      <c r="U228" s="14"/>
      <c r="V228" s="14"/>
      <c r="W228" s="14"/>
      <c r="X228" s="14"/>
      <c r="Y228" s="15"/>
      <c r="Z228" s="14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4"/>
      <c r="U229" s="14"/>
      <c r="V229" s="14"/>
      <c r="W229" s="14"/>
      <c r="X229" s="14"/>
      <c r="Y229" s="15"/>
      <c r="Z229" s="14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4"/>
      <c r="U230" s="14"/>
      <c r="V230" s="14"/>
      <c r="W230" s="14"/>
      <c r="X230" s="14"/>
      <c r="Y230" s="15"/>
      <c r="Z230" s="14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4"/>
      <c r="U231" s="14"/>
      <c r="V231" s="14"/>
      <c r="W231" s="14"/>
      <c r="X231" s="14"/>
      <c r="Y231" s="15"/>
      <c r="Z231" s="14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4"/>
      <c r="U232" s="14"/>
      <c r="V232" s="14"/>
      <c r="W232" s="14"/>
      <c r="X232" s="14"/>
      <c r="Y232" s="15"/>
      <c r="Z232" s="14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4"/>
      <c r="U233" s="14"/>
      <c r="V233" s="14"/>
      <c r="W233" s="14"/>
      <c r="X233" s="14"/>
      <c r="Y233" s="15"/>
      <c r="Z233" s="14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4"/>
      <c r="U234" s="14"/>
      <c r="V234" s="14"/>
      <c r="W234" s="14"/>
      <c r="X234" s="14"/>
      <c r="Y234" s="15"/>
      <c r="Z234" s="14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4"/>
      <c r="U235" s="14"/>
      <c r="V235" s="14"/>
      <c r="W235" s="14"/>
      <c r="X235" s="14"/>
      <c r="Y235" s="15"/>
      <c r="Z235" s="14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4"/>
      <c r="U236" s="14"/>
      <c r="V236" s="14"/>
      <c r="W236" s="14"/>
      <c r="X236" s="14"/>
      <c r="Y236" s="15"/>
      <c r="Z236" s="14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4"/>
      <c r="U237" s="14"/>
      <c r="V237" s="14"/>
      <c r="W237" s="14"/>
      <c r="X237" s="14"/>
      <c r="Y237" s="15"/>
      <c r="Z237" s="14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4"/>
      <c r="U238" s="14"/>
      <c r="V238" s="14"/>
      <c r="W238" s="14"/>
      <c r="X238" s="14"/>
      <c r="Y238" s="15"/>
      <c r="Z238" s="14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4"/>
      <c r="U239" s="14"/>
      <c r="V239" s="14"/>
      <c r="W239" s="14"/>
      <c r="X239" s="14"/>
      <c r="Y239" s="15"/>
      <c r="Z239" s="14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4"/>
      <c r="U240" s="14"/>
      <c r="V240" s="14"/>
      <c r="W240" s="14"/>
      <c r="X240" s="14"/>
      <c r="Y240" s="15"/>
      <c r="Z240" s="14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4"/>
      <c r="U241" s="14"/>
      <c r="V241" s="14"/>
      <c r="W241" s="14"/>
      <c r="X241" s="14"/>
      <c r="Y241" s="15"/>
      <c r="Z241" s="14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4"/>
      <c r="U242" s="14"/>
      <c r="V242" s="14"/>
      <c r="W242" s="14"/>
      <c r="X242" s="14"/>
      <c r="Y242" s="15"/>
      <c r="Z242" s="14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4"/>
      <c r="U243" s="14"/>
      <c r="V243" s="14"/>
      <c r="W243" s="14"/>
      <c r="X243" s="14"/>
      <c r="Y243" s="15"/>
      <c r="Z243" s="14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4"/>
      <c r="U244" s="14"/>
      <c r="V244" s="14"/>
      <c r="W244" s="14"/>
      <c r="X244" s="14"/>
      <c r="Y244" s="15"/>
      <c r="Z244" s="14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4"/>
      <c r="U245" s="14"/>
      <c r="V245" s="14"/>
      <c r="W245" s="14"/>
      <c r="X245" s="14"/>
      <c r="Y245" s="15"/>
      <c r="Z245" s="14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4"/>
      <c r="U246" s="14"/>
      <c r="V246" s="14"/>
      <c r="W246" s="14"/>
      <c r="X246" s="14"/>
      <c r="Y246" s="15"/>
      <c r="Z246" s="14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4"/>
      <c r="U247" s="14"/>
      <c r="V247" s="14"/>
      <c r="W247" s="14"/>
      <c r="X247" s="14"/>
      <c r="Y247" s="15"/>
      <c r="Z247" s="14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4"/>
      <c r="U248" s="14"/>
      <c r="V248" s="14"/>
      <c r="W248" s="14"/>
      <c r="X248" s="14"/>
      <c r="Y248" s="15"/>
      <c r="Z248" s="14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4"/>
      <c r="U249" s="14"/>
      <c r="V249" s="14"/>
      <c r="W249" s="14"/>
      <c r="X249" s="14"/>
      <c r="Y249" s="15"/>
      <c r="Z249" s="14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4"/>
      <c r="U250" s="14"/>
      <c r="V250" s="14"/>
      <c r="W250" s="14"/>
      <c r="X250" s="14"/>
      <c r="Y250" s="15"/>
      <c r="Z250" s="14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4"/>
      <c r="U251" s="14"/>
      <c r="V251" s="14"/>
      <c r="W251" s="14"/>
      <c r="X251" s="14"/>
      <c r="Y251" s="15"/>
      <c r="Z251" s="14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4"/>
      <c r="U252" s="14"/>
      <c r="V252" s="14"/>
      <c r="W252" s="14"/>
      <c r="X252" s="14"/>
      <c r="Y252" s="15"/>
      <c r="Z252" s="14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4"/>
      <c r="U253" s="14"/>
      <c r="V253" s="14"/>
      <c r="W253" s="14"/>
      <c r="X253" s="14"/>
      <c r="Y253" s="15"/>
      <c r="Z253" s="14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4"/>
      <c r="U254" s="14"/>
      <c r="V254" s="14"/>
      <c r="W254" s="14"/>
      <c r="X254" s="14"/>
      <c r="Y254" s="15"/>
      <c r="Z254" s="14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4"/>
      <c r="U255" s="14"/>
      <c r="V255" s="14"/>
      <c r="W255" s="14"/>
      <c r="X255" s="14"/>
      <c r="Y255" s="15"/>
      <c r="Z255" s="14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4"/>
      <c r="U256" s="14"/>
      <c r="V256" s="14"/>
      <c r="W256" s="14"/>
      <c r="X256" s="14"/>
      <c r="Y256" s="15"/>
      <c r="Z256" s="14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4"/>
      <c r="U257" s="14"/>
      <c r="V257" s="14"/>
      <c r="W257" s="14"/>
      <c r="X257" s="14"/>
      <c r="Y257" s="15"/>
      <c r="Z257" s="14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4"/>
      <c r="U258" s="14"/>
      <c r="V258" s="14"/>
      <c r="W258" s="14"/>
      <c r="X258" s="14"/>
      <c r="Y258" s="15"/>
      <c r="Z258" s="14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4"/>
      <c r="U259" s="14"/>
      <c r="V259" s="14"/>
      <c r="W259" s="14"/>
      <c r="X259" s="14"/>
      <c r="Y259" s="15"/>
      <c r="Z259" s="14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4"/>
      <c r="U260" s="14"/>
      <c r="V260" s="14"/>
      <c r="W260" s="14"/>
      <c r="X260" s="14"/>
      <c r="Y260" s="15"/>
      <c r="Z260" s="14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4"/>
      <c r="U261" s="14"/>
      <c r="V261" s="14"/>
      <c r="W261" s="14"/>
      <c r="X261" s="14"/>
      <c r="Y261" s="15"/>
      <c r="Z261" s="14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4"/>
      <c r="U262" s="14"/>
      <c r="V262" s="14"/>
      <c r="W262" s="14"/>
      <c r="X262" s="14"/>
      <c r="Y262" s="15"/>
      <c r="Z262" s="14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4"/>
      <c r="U263" s="14"/>
      <c r="V263" s="14"/>
      <c r="W263" s="14"/>
      <c r="X263" s="14"/>
      <c r="Y263" s="15"/>
      <c r="Z263" s="14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4"/>
      <c r="U264" s="14"/>
      <c r="V264" s="14"/>
      <c r="W264" s="14"/>
      <c r="X264" s="14"/>
      <c r="Y264" s="15"/>
      <c r="Z264" s="14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4"/>
      <c r="U265" s="14"/>
      <c r="V265" s="14"/>
      <c r="W265" s="14"/>
      <c r="X265" s="14"/>
      <c r="Y265" s="15"/>
      <c r="Z265" s="14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4"/>
      <c r="U266" s="14"/>
      <c r="V266" s="14"/>
      <c r="W266" s="14"/>
      <c r="X266" s="14"/>
      <c r="Y266" s="15"/>
      <c r="Z266" s="14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4"/>
      <c r="U267" s="14"/>
      <c r="V267" s="14"/>
      <c r="W267" s="14"/>
      <c r="X267" s="14"/>
      <c r="Y267" s="15"/>
      <c r="Z267" s="14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4"/>
      <c r="U268" s="14"/>
      <c r="V268" s="14"/>
      <c r="W268" s="14"/>
      <c r="X268" s="14"/>
      <c r="Y268" s="15"/>
      <c r="Z268" s="14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4"/>
      <c r="U269" s="14"/>
      <c r="V269" s="14"/>
      <c r="W269" s="14"/>
      <c r="X269" s="14"/>
      <c r="Y269" s="15"/>
      <c r="Z269" s="14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4"/>
      <c r="U270" s="14"/>
      <c r="V270" s="14"/>
      <c r="W270" s="14"/>
      <c r="X270" s="14"/>
      <c r="Y270" s="15"/>
      <c r="Z270" s="14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4"/>
      <c r="U271" s="14"/>
      <c r="V271" s="14"/>
      <c r="W271" s="14"/>
      <c r="X271" s="14"/>
      <c r="Y271" s="15"/>
      <c r="Z271" s="14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4"/>
      <c r="U272" s="14"/>
      <c r="V272" s="14"/>
      <c r="W272" s="14"/>
      <c r="X272" s="14"/>
      <c r="Y272" s="15"/>
      <c r="Z272" s="14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4"/>
      <c r="U273" s="14"/>
      <c r="V273" s="14"/>
      <c r="W273" s="14"/>
      <c r="X273" s="14"/>
      <c r="Y273" s="15"/>
      <c r="Z273" s="14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4"/>
      <c r="U274" s="14"/>
      <c r="V274" s="14"/>
      <c r="W274" s="14"/>
      <c r="X274" s="14"/>
      <c r="Y274" s="15"/>
      <c r="Z274" s="14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4"/>
      <c r="U275" s="14"/>
      <c r="V275" s="14"/>
      <c r="W275" s="14"/>
      <c r="X275" s="14"/>
      <c r="Y275" s="15"/>
      <c r="Z275" s="14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4"/>
      <c r="U276" s="14"/>
      <c r="V276" s="14"/>
      <c r="W276" s="14"/>
      <c r="X276" s="14"/>
      <c r="Y276" s="15"/>
      <c r="Z276" s="14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4"/>
      <c r="U277" s="14"/>
      <c r="V277" s="14"/>
      <c r="W277" s="14"/>
      <c r="X277" s="14"/>
      <c r="Y277" s="15"/>
      <c r="Z277" s="14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4"/>
      <c r="U278" s="14"/>
      <c r="V278" s="14"/>
      <c r="W278" s="14"/>
      <c r="X278" s="14"/>
      <c r="Y278" s="15"/>
      <c r="Z278" s="14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4"/>
      <c r="U279" s="14"/>
      <c r="V279" s="14"/>
      <c r="W279" s="14"/>
      <c r="X279" s="14"/>
      <c r="Y279" s="15"/>
      <c r="Z279" s="14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4"/>
      <c r="U280" s="14"/>
      <c r="V280" s="14"/>
      <c r="W280" s="14"/>
      <c r="X280" s="14"/>
      <c r="Y280" s="15"/>
      <c r="Z280" s="14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4"/>
      <c r="U281" s="14"/>
      <c r="V281" s="14"/>
      <c r="W281" s="14"/>
      <c r="X281" s="14"/>
      <c r="Y281" s="15"/>
      <c r="Z281" s="14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4"/>
      <c r="U282" s="14"/>
      <c r="V282" s="14"/>
      <c r="W282" s="14"/>
      <c r="X282" s="14"/>
      <c r="Y282" s="15"/>
      <c r="Z282" s="14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4"/>
      <c r="U283" s="14"/>
      <c r="V283" s="14"/>
      <c r="W283" s="14"/>
      <c r="X283" s="14"/>
      <c r="Y283" s="15"/>
      <c r="Z283" s="14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4"/>
      <c r="U284" s="14"/>
      <c r="V284" s="14"/>
      <c r="W284" s="14"/>
      <c r="X284" s="14"/>
      <c r="Y284" s="15"/>
      <c r="Z284" s="14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4"/>
      <c r="U285" s="14"/>
      <c r="V285" s="14"/>
      <c r="W285" s="14"/>
      <c r="X285" s="14"/>
      <c r="Y285" s="15"/>
      <c r="Z285" s="14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4"/>
      <c r="U286" s="14"/>
      <c r="V286" s="14"/>
      <c r="W286" s="14"/>
      <c r="X286" s="14"/>
      <c r="Y286" s="15"/>
      <c r="Z286" s="14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4"/>
      <c r="U287" s="14"/>
      <c r="V287" s="14"/>
      <c r="W287" s="14"/>
      <c r="X287" s="14"/>
      <c r="Y287" s="15"/>
      <c r="Z287" s="14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4"/>
      <c r="U288" s="14"/>
      <c r="V288" s="14"/>
      <c r="W288" s="14"/>
      <c r="X288" s="14"/>
      <c r="Y288" s="15"/>
      <c r="Z288" s="14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4"/>
      <c r="U289" s="14"/>
      <c r="V289" s="14"/>
      <c r="W289" s="14"/>
      <c r="X289" s="14"/>
      <c r="Y289" s="15"/>
      <c r="Z289" s="14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4"/>
      <c r="U290" s="14"/>
      <c r="V290" s="14"/>
      <c r="W290" s="14"/>
      <c r="X290" s="14"/>
      <c r="Y290" s="15"/>
      <c r="Z290" s="14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4"/>
      <c r="U291" s="14"/>
      <c r="V291" s="14"/>
      <c r="W291" s="14"/>
      <c r="X291" s="14"/>
      <c r="Y291" s="15"/>
      <c r="Z291" s="14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4"/>
      <c r="U292" s="14"/>
      <c r="V292" s="14"/>
      <c r="W292" s="14"/>
      <c r="X292" s="14"/>
      <c r="Y292" s="15"/>
      <c r="Z292" s="14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4"/>
      <c r="U293" s="14"/>
      <c r="V293" s="14"/>
      <c r="W293" s="14"/>
      <c r="X293" s="14"/>
      <c r="Y293" s="15"/>
      <c r="Z293" s="14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4"/>
      <c r="U294" s="14"/>
      <c r="V294" s="14"/>
      <c r="W294" s="14"/>
      <c r="X294" s="14"/>
      <c r="Y294" s="15"/>
      <c r="Z294" s="14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4"/>
      <c r="U295" s="14"/>
      <c r="V295" s="14"/>
      <c r="W295" s="14"/>
      <c r="X295" s="14"/>
      <c r="Y295" s="15"/>
      <c r="Z295" s="14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4"/>
      <c r="U296" s="14"/>
      <c r="V296" s="14"/>
      <c r="W296" s="14"/>
      <c r="X296" s="14"/>
      <c r="Y296" s="15"/>
      <c r="Z296" s="14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4"/>
      <c r="U297" s="14"/>
      <c r="V297" s="14"/>
      <c r="W297" s="14"/>
      <c r="X297" s="14"/>
      <c r="Y297" s="15"/>
      <c r="Z297" s="14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4"/>
      <c r="U298" s="14"/>
      <c r="V298" s="14"/>
      <c r="W298" s="14"/>
      <c r="X298" s="14"/>
      <c r="Y298" s="15"/>
      <c r="Z298" s="14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4"/>
      <c r="U299" s="14"/>
      <c r="V299" s="14"/>
      <c r="W299" s="14"/>
      <c r="X299" s="14"/>
      <c r="Y299" s="15"/>
      <c r="Z299" s="14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4"/>
      <c r="U300" s="14"/>
      <c r="V300" s="14"/>
      <c r="W300" s="14"/>
      <c r="X300" s="14"/>
      <c r="Y300" s="15"/>
      <c r="Z300" s="14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4"/>
      <c r="U301" s="14"/>
      <c r="V301" s="14"/>
      <c r="W301" s="14"/>
      <c r="X301" s="14"/>
      <c r="Y301" s="15"/>
      <c r="Z301" s="14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4"/>
      <c r="U302" s="14"/>
      <c r="V302" s="14"/>
      <c r="W302" s="14"/>
      <c r="X302" s="14"/>
      <c r="Y302" s="15"/>
      <c r="Z302" s="14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4"/>
      <c r="U303" s="14"/>
      <c r="V303" s="14"/>
      <c r="W303" s="14"/>
      <c r="X303" s="14"/>
      <c r="Y303" s="15"/>
      <c r="Z303" s="14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4"/>
      <c r="U304" s="14"/>
      <c r="V304" s="14"/>
      <c r="W304" s="14"/>
      <c r="X304" s="14"/>
      <c r="Y304" s="15"/>
      <c r="Z304" s="14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4"/>
      <c r="U305" s="14"/>
      <c r="V305" s="14"/>
      <c r="W305" s="14"/>
      <c r="X305" s="14"/>
      <c r="Y305" s="15"/>
      <c r="Z305" s="14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4"/>
      <c r="U306" s="14"/>
      <c r="V306" s="14"/>
      <c r="W306" s="14"/>
      <c r="X306" s="14"/>
      <c r="Y306" s="15"/>
      <c r="Z306" s="14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4"/>
      <c r="U307" s="14"/>
      <c r="V307" s="14"/>
      <c r="W307" s="14"/>
      <c r="X307" s="14"/>
      <c r="Y307" s="15"/>
      <c r="Z307" s="14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4"/>
      <c r="U308" s="14"/>
      <c r="V308" s="14"/>
      <c r="W308" s="14"/>
      <c r="X308" s="14"/>
      <c r="Y308" s="15"/>
      <c r="Z308" s="14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4"/>
      <c r="U309" s="14"/>
      <c r="V309" s="14"/>
      <c r="W309" s="14"/>
      <c r="X309" s="14"/>
      <c r="Y309" s="15"/>
      <c r="Z309" s="14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4"/>
      <c r="U310" s="14"/>
      <c r="V310" s="14"/>
      <c r="W310" s="14"/>
      <c r="X310" s="14"/>
      <c r="Y310" s="15"/>
      <c r="Z310" s="14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4"/>
      <c r="U311" s="14"/>
      <c r="V311" s="14"/>
      <c r="W311" s="14"/>
      <c r="X311" s="14"/>
      <c r="Y311" s="15"/>
      <c r="Z311" s="14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4"/>
      <c r="U312" s="14"/>
      <c r="V312" s="14"/>
      <c r="W312" s="14"/>
      <c r="X312" s="14"/>
      <c r="Y312" s="15"/>
      <c r="Z312" s="14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4"/>
      <c r="U313" s="14"/>
      <c r="V313" s="14"/>
      <c r="W313" s="14"/>
      <c r="X313" s="14"/>
      <c r="Y313" s="15"/>
      <c r="Z313" s="14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4"/>
      <c r="U314" s="14"/>
      <c r="V314" s="14"/>
      <c r="W314" s="14"/>
      <c r="X314" s="14"/>
      <c r="Y314" s="15"/>
      <c r="Z314" s="14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4"/>
      <c r="U315" s="14"/>
      <c r="V315" s="14"/>
      <c r="W315" s="14"/>
      <c r="X315" s="14"/>
      <c r="Y315" s="15"/>
      <c r="Z315" s="14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4"/>
      <c r="U316" s="14"/>
      <c r="V316" s="14"/>
      <c r="W316" s="14"/>
      <c r="X316" s="14"/>
      <c r="Y316" s="15"/>
      <c r="Z316" s="14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4"/>
      <c r="U317" s="14"/>
      <c r="V317" s="14"/>
      <c r="W317" s="14"/>
      <c r="X317" s="14"/>
      <c r="Y317" s="15"/>
      <c r="Z317" s="14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4"/>
      <c r="U318" s="14"/>
      <c r="V318" s="14"/>
      <c r="W318" s="14"/>
      <c r="X318" s="14"/>
      <c r="Y318" s="15"/>
      <c r="Z318" s="14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4"/>
      <c r="U319" s="14"/>
      <c r="V319" s="14"/>
      <c r="W319" s="14"/>
      <c r="X319" s="14"/>
      <c r="Y319" s="15"/>
      <c r="Z319" s="14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4"/>
      <c r="U320" s="14"/>
      <c r="V320" s="14"/>
      <c r="W320" s="14"/>
      <c r="X320" s="14"/>
      <c r="Y320" s="15"/>
      <c r="Z320" s="14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4"/>
      <c r="U321" s="14"/>
      <c r="V321" s="14"/>
      <c r="W321" s="14"/>
      <c r="X321" s="14"/>
      <c r="Y321" s="15"/>
      <c r="Z321" s="14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4"/>
      <c r="U322" s="14"/>
      <c r="V322" s="14"/>
      <c r="W322" s="14"/>
      <c r="X322" s="14"/>
      <c r="Y322" s="15"/>
      <c r="Z322" s="14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4"/>
      <c r="U323" s="14"/>
      <c r="V323" s="14"/>
      <c r="W323" s="14"/>
      <c r="X323" s="14"/>
      <c r="Y323" s="15"/>
      <c r="Z323" s="14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4"/>
      <c r="U324" s="14"/>
      <c r="V324" s="14"/>
      <c r="W324" s="14"/>
      <c r="X324" s="14"/>
      <c r="Y324" s="15"/>
      <c r="Z324" s="14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4"/>
      <c r="U325" s="14"/>
      <c r="V325" s="14"/>
      <c r="W325" s="14"/>
      <c r="X325" s="14"/>
      <c r="Y325" s="15"/>
      <c r="Z325" s="14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4"/>
      <c r="U326" s="14"/>
      <c r="V326" s="14"/>
      <c r="W326" s="14"/>
      <c r="X326" s="14"/>
      <c r="Y326" s="15"/>
      <c r="Z326" s="14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4"/>
      <c r="U327" s="14"/>
      <c r="V327" s="14"/>
      <c r="W327" s="14"/>
      <c r="X327" s="14"/>
      <c r="Y327" s="15"/>
      <c r="Z327" s="14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4"/>
      <c r="U328" s="14"/>
      <c r="V328" s="14"/>
      <c r="W328" s="14"/>
      <c r="X328" s="14"/>
      <c r="Y328" s="15"/>
      <c r="Z328" s="14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4"/>
      <c r="U329" s="14"/>
      <c r="V329" s="14"/>
      <c r="W329" s="14"/>
      <c r="X329" s="14"/>
      <c r="Y329" s="15"/>
      <c r="Z329" s="14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4"/>
      <c r="U330" s="14"/>
      <c r="V330" s="14"/>
      <c r="W330" s="14"/>
      <c r="X330" s="14"/>
      <c r="Y330" s="15"/>
      <c r="Z330" s="14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4"/>
      <c r="U331" s="14"/>
      <c r="V331" s="14"/>
      <c r="W331" s="14"/>
      <c r="X331" s="14"/>
      <c r="Y331" s="15"/>
      <c r="Z331" s="14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4"/>
      <c r="U332" s="14"/>
      <c r="V332" s="14"/>
      <c r="W332" s="14"/>
      <c r="X332" s="14"/>
      <c r="Y332" s="15"/>
      <c r="Z332" s="14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4"/>
      <c r="U333" s="14"/>
      <c r="V333" s="14"/>
      <c r="W333" s="14"/>
      <c r="X333" s="14"/>
      <c r="Y333" s="15"/>
      <c r="Z333" s="14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4"/>
      <c r="U334" s="14"/>
      <c r="V334" s="14"/>
      <c r="W334" s="14"/>
      <c r="X334" s="14"/>
      <c r="Y334" s="15"/>
      <c r="Z334" s="14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4"/>
      <c r="U335" s="14"/>
      <c r="V335" s="14"/>
      <c r="W335" s="14"/>
      <c r="X335" s="14"/>
      <c r="Y335" s="15"/>
      <c r="Z335" s="14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4"/>
      <c r="U336" s="14"/>
      <c r="V336" s="14"/>
      <c r="W336" s="14"/>
      <c r="X336" s="14"/>
      <c r="Y336" s="15"/>
      <c r="Z336" s="14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4"/>
      <c r="U337" s="14"/>
      <c r="V337" s="14"/>
      <c r="W337" s="14"/>
      <c r="X337" s="14"/>
      <c r="Y337" s="15"/>
      <c r="Z337" s="14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4"/>
      <c r="U338" s="14"/>
      <c r="V338" s="14"/>
      <c r="W338" s="14"/>
      <c r="X338" s="14"/>
      <c r="Y338" s="15"/>
      <c r="Z338" s="14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4"/>
      <c r="U339" s="14"/>
      <c r="V339" s="14"/>
      <c r="W339" s="14"/>
      <c r="X339" s="14"/>
      <c r="Y339" s="15"/>
      <c r="Z339" s="14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4"/>
      <c r="U340" s="14"/>
      <c r="V340" s="14"/>
      <c r="W340" s="14"/>
      <c r="X340" s="14"/>
      <c r="Y340" s="15"/>
      <c r="Z340" s="14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4"/>
      <c r="U341" s="14"/>
      <c r="V341" s="14"/>
      <c r="W341" s="14"/>
      <c r="X341" s="14"/>
      <c r="Y341" s="15"/>
      <c r="Z341" s="14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4"/>
      <c r="U342" s="14"/>
      <c r="V342" s="14"/>
      <c r="W342" s="14"/>
      <c r="X342" s="14"/>
      <c r="Y342" s="15"/>
      <c r="Z342" s="14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4"/>
      <c r="U343" s="14"/>
      <c r="V343" s="14"/>
      <c r="W343" s="14"/>
      <c r="X343" s="14"/>
      <c r="Y343" s="15"/>
      <c r="Z343" s="14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4"/>
      <c r="U344" s="14"/>
      <c r="V344" s="14"/>
      <c r="W344" s="14"/>
      <c r="X344" s="14"/>
      <c r="Y344" s="15"/>
      <c r="Z344" s="14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4"/>
      <c r="U345" s="14"/>
      <c r="V345" s="14"/>
      <c r="W345" s="14"/>
      <c r="X345" s="14"/>
      <c r="Y345" s="15"/>
      <c r="Z345" s="14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4"/>
      <c r="U346" s="14"/>
      <c r="V346" s="14"/>
      <c r="W346" s="14"/>
      <c r="X346" s="14"/>
      <c r="Y346" s="15"/>
      <c r="Z346" s="14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4"/>
      <c r="U347" s="14"/>
      <c r="V347" s="14"/>
      <c r="W347" s="14"/>
      <c r="X347" s="14"/>
      <c r="Y347" s="15"/>
      <c r="Z347" s="14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4"/>
      <c r="U348" s="14"/>
      <c r="V348" s="14"/>
      <c r="W348" s="14"/>
      <c r="X348" s="14"/>
      <c r="Y348" s="15"/>
      <c r="Z348" s="14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4"/>
      <c r="U349" s="14"/>
      <c r="V349" s="14"/>
      <c r="W349" s="14"/>
      <c r="X349" s="14"/>
      <c r="Y349" s="15"/>
      <c r="Z349" s="14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4"/>
      <c r="U350" s="14"/>
      <c r="V350" s="14"/>
      <c r="W350" s="14"/>
      <c r="X350" s="14"/>
      <c r="Y350" s="15"/>
      <c r="Z350" s="14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4"/>
      <c r="U351" s="14"/>
      <c r="V351" s="14"/>
      <c r="W351" s="14"/>
      <c r="X351" s="14"/>
      <c r="Y351" s="15"/>
      <c r="Z351" s="14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4"/>
      <c r="U352" s="14"/>
      <c r="V352" s="14"/>
      <c r="W352" s="14"/>
      <c r="X352" s="14"/>
      <c r="Y352" s="15"/>
      <c r="Z352" s="14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4"/>
      <c r="U353" s="14"/>
      <c r="V353" s="14"/>
      <c r="W353" s="14"/>
      <c r="X353" s="14"/>
      <c r="Y353" s="15"/>
      <c r="Z353" s="14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4"/>
      <c r="U354" s="14"/>
      <c r="V354" s="14"/>
      <c r="W354" s="14"/>
      <c r="X354" s="14"/>
      <c r="Y354" s="15"/>
      <c r="Z354" s="14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4"/>
      <c r="U355" s="14"/>
      <c r="V355" s="14"/>
      <c r="W355" s="14"/>
      <c r="X355" s="14"/>
      <c r="Y355" s="15"/>
      <c r="Z355" s="14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4"/>
      <c r="U356" s="14"/>
      <c r="V356" s="14"/>
      <c r="W356" s="14"/>
      <c r="X356" s="14"/>
      <c r="Y356" s="15"/>
      <c r="Z356" s="14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4"/>
      <c r="U357" s="14"/>
      <c r="V357" s="14"/>
      <c r="W357" s="14"/>
      <c r="X357" s="14"/>
      <c r="Y357" s="15"/>
      <c r="Z357" s="14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4"/>
      <c r="U358" s="14"/>
      <c r="V358" s="14"/>
      <c r="W358" s="14"/>
      <c r="X358" s="14"/>
      <c r="Y358" s="15"/>
      <c r="Z358" s="14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4"/>
      <c r="U359" s="14"/>
      <c r="V359" s="14"/>
      <c r="W359" s="14"/>
      <c r="X359" s="14"/>
      <c r="Y359" s="15"/>
      <c r="Z359" s="14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4"/>
      <c r="U360" s="14"/>
      <c r="V360" s="14"/>
      <c r="W360" s="14"/>
      <c r="X360" s="14"/>
      <c r="Y360" s="15"/>
      <c r="Z360" s="14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4"/>
      <c r="U361" s="14"/>
      <c r="V361" s="14"/>
      <c r="W361" s="14"/>
      <c r="X361" s="14"/>
      <c r="Y361" s="15"/>
      <c r="Z361" s="14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4"/>
      <c r="U362" s="14"/>
      <c r="V362" s="14"/>
      <c r="W362" s="14"/>
      <c r="X362" s="14"/>
      <c r="Y362" s="15"/>
      <c r="Z362" s="14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4"/>
      <c r="U363" s="14"/>
      <c r="V363" s="14"/>
      <c r="W363" s="14"/>
      <c r="X363" s="14"/>
      <c r="Y363" s="15"/>
      <c r="Z363" s="14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4"/>
      <c r="U364" s="14"/>
      <c r="V364" s="14"/>
      <c r="W364" s="14"/>
      <c r="X364" s="14"/>
      <c r="Y364" s="15"/>
      <c r="Z364" s="14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4"/>
      <c r="U365" s="14"/>
      <c r="V365" s="14"/>
      <c r="W365" s="14"/>
      <c r="X365" s="14"/>
      <c r="Y365" s="15"/>
      <c r="Z365" s="14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4"/>
      <c r="U366" s="14"/>
      <c r="V366" s="14"/>
      <c r="W366" s="14"/>
      <c r="X366" s="14"/>
      <c r="Y366" s="15"/>
      <c r="Z366" s="14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4"/>
      <c r="U367" s="14"/>
      <c r="V367" s="14"/>
      <c r="W367" s="14"/>
      <c r="X367" s="14"/>
      <c r="Y367" s="15"/>
      <c r="Z367" s="14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4"/>
      <c r="U368" s="14"/>
      <c r="V368" s="14"/>
      <c r="W368" s="14"/>
      <c r="X368" s="14"/>
      <c r="Y368" s="15"/>
      <c r="Z368" s="14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4"/>
      <c r="U369" s="14"/>
      <c r="V369" s="14"/>
      <c r="W369" s="14"/>
      <c r="X369" s="14"/>
      <c r="Y369" s="15"/>
      <c r="Z369" s="14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4"/>
      <c r="U370" s="14"/>
      <c r="V370" s="14"/>
      <c r="W370" s="14"/>
      <c r="X370" s="14"/>
      <c r="Y370" s="15"/>
      <c r="Z370" s="14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4"/>
      <c r="U371" s="14"/>
      <c r="V371" s="14"/>
      <c r="W371" s="14"/>
      <c r="X371" s="14"/>
      <c r="Y371" s="15"/>
      <c r="Z371" s="14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4"/>
      <c r="U372" s="14"/>
      <c r="V372" s="14"/>
      <c r="W372" s="14"/>
      <c r="X372" s="14"/>
      <c r="Y372" s="15"/>
      <c r="Z372" s="14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4"/>
      <c r="U373" s="14"/>
      <c r="V373" s="14"/>
      <c r="W373" s="14"/>
      <c r="X373" s="14"/>
      <c r="Y373" s="15"/>
      <c r="Z373" s="14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4"/>
      <c r="U374" s="14"/>
      <c r="V374" s="14"/>
      <c r="W374" s="14"/>
      <c r="X374" s="14"/>
      <c r="Y374" s="15"/>
      <c r="Z374" s="14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4"/>
      <c r="U375" s="14"/>
      <c r="V375" s="14"/>
      <c r="W375" s="14"/>
      <c r="X375" s="14"/>
      <c r="Y375" s="15"/>
      <c r="Z375" s="14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4"/>
      <c r="U376" s="14"/>
      <c r="V376" s="14"/>
      <c r="W376" s="14"/>
      <c r="X376" s="14"/>
      <c r="Y376" s="15"/>
      <c r="Z376" s="14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4"/>
      <c r="U377" s="14"/>
      <c r="V377" s="14"/>
      <c r="W377" s="14"/>
      <c r="X377" s="14"/>
      <c r="Y377" s="15"/>
      <c r="Z377" s="14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4"/>
      <c r="U378" s="14"/>
      <c r="V378" s="14"/>
      <c r="W378" s="14"/>
      <c r="X378" s="14"/>
      <c r="Y378" s="15"/>
      <c r="Z378" s="14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4"/>
      <c r="U379" s="14"/>
      <c r="V379" s="14"/>
      <c r="W379" s="14"/>
      <c r="X379" s="14"/>
      <c r="Y379" s="15"/>
      <c r="Z379" s="14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4"/>
      <c r="U380" s="14"/>
      <c r="V380" s="14"/>
      <c r="W380" s="14"/>
      <c r="X380" s="14"/>
      <c r="Y380" s="15"/>
      <c r="Z380" s="14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4"/>
      <c r="U381" s="14"/>
      <c r="V381" s="14"/>
      <c r="W381" s="14"/>
      <c r="X381" s="14"/>
      <c r="Y381" s="15"/>
      <c r="Z381" s="14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4"/>
      <c r="U382" s="14"/>
      <c r="V382" s="14"/>
      <c r="W382" s="14"/>
      <c r="X382" s="14"/>
      <c r="Y382" s="15"/>
      <c r="Z382" s="14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4"/>
      <c r="U383" s="14"/>
      <c r="V383" s="14"/>
      <c r="W383" s="14"/>
      <c r="X383" s="14"/>
      <c r="Y383" s="15"/>
      <c r="Z383" s="14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4"/>
      <c r="U384" s="14"/>
      <c r="V384" s="14"/>
      <c r="W384" s="14"/>
      <c r="X384" s="14"/>
      <c r="Y384" s="15"/>
      <c r="Z384" s="14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4"/>
      <c r="U385" s="14"/>
      <c r="V385" s="14"/>
      <c r="W385" s="14"/>
      <c r="X385" s="14"/>
      <c r="Y385" s="15"/>
      <c r="Z385" s="14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4"/>
      <c r="U386" s="14"/>
      <c r="V386" s="14"/>
      <c r="W386" s="14"/>
      <c r="X386" s="14"/>
      <c r="Y386" s="15"/>
      <c r="Z386" s="14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4"/>
      <c r="U387" s="14"/>
      <c r="V387" s="14"/>
      <c r="W387" s="14"/>
      <c r="X387" s="14"/>
      <c r="Y387" s="15"/>
      <c r="Z387" s="14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4"/>
      <c r="U388" s="14"/>
      <c r="V388" s="14"/>
      <c r="W388" s="14"/>
      <c r="X388" s="14"/>
      <c r="Y388" s="15"/>
      <c r="Z388" s="14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4"/>
      <c r="U389" s="14"/>
      <c r="V389" s="14"/>
      <c r="W389" s="14"/>
      <c r="X389" s="14"/>
      <c r="Y389" s="15"/>
      <c r="Z389" s="14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4"/>
      <c r="U390" s="14"/>
      <c r="V390" s="14"/>
      <c r="W390" s="14"/>
      <c r="X390" s="14"/>
      <c r="Y390" s="15"/>
      <c r="Z390" s="14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4"/>
      <c r="U391" s="14"/>
      <c r="V391" s="14"/>
      <c r="W391" s="14"/>
      <c r="X391" s="14"/>
      <c r="Y391" s="15"/>
      <c r="Z391" s="14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4"/>
      <c r="U392" s="14"/>
      <c r="V392" s="14"/>
      <c r="W392" s="14"/>
      <c r="X392" s="14"/>
      <c r="Y392" s="15"/>
      <c r="Z392" s="14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4"/>
      <c r="U393" s="14"/>
      <c r="V393" s="14"/>
      <c r="W393" s="14"/>
      <c r="X393" s="14"/>
      <c r="Y393" s="15"/>
      <c r="Z393" s="14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4"/>
      <c r="U394" s="14"/>
      <c r="V394" s="14"/>
      <c r="W394" s="14"/>
      <c r="X394" s="14"/>
      <c r="Y394" s="15"/>
      <c r="Z394" s="14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4"/>
      <c r="U395" s="14"/>
      <c r="V395" s="14"/>
      <c r="W395" s="14"/>
      <c r="X395" s="14"/>
      <c r="Y395" s="15"/>
      <c r="Z395" s="14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4"/>
      <c r="U396" s="14"/>
      <c r="V396" s="14"/>
      <c r="W396" s="14"/>
      <c r="X396" s="14"/>
      <c r="Y396" s="15"/>
      <c r="Z396" s="14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4"/>
      <c r="U397" s="14"/>
      <c r="V397" s="14"/>
      <c r="W397" s="14"/>
      <c r="X397" s="14"/>
      <c r="Y397" s="15"/>
      <c r="Z397" s="14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4"/>
      <c r="U398" s="14"/>
      <c r="V398" s="14"/>
      <c r="W398" s="14"/>
      <c r="X398" s="14"/>
      <c r="Y398" s="15"/>
      <c r="Z398" s="14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4"/>
      <c r="U399" s="14"/>
      <c r="V399" s="14"/>
      <c r="W399" s="14"/>
      <c r="X399" s="14"/>
      <c r="Y399" s="15"/>
      <c r="Z399" s="14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4"/>
      <c r="U400" s="14"/>
      <c r="V400" s="14"/>
      <c r="W400" s="14"/>
      <c r="X400" s="14"/>
      <c r="Y400" s="15"/>
      <c r="Z400" s="14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4"/>
      <c r="U401" s="14"/>
      <c r="V401" s="14"/>
      <c r="W401" s="14"/>
      <c r="X401" s="14"/>
      <c r="Y401" s="15"/>
      <c r="Z401" s="14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4"/>
      <c r="U402" s="14"/>
      <c r="V402" s="14"/>
      <c r="W402" s="14"/>
      <c r="X402" s="14"/>
      <c r="Y402" s="15"/>
      <c r="Z402" s="14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4"/>
      <c r="U403" s="14"/>
      <c r="V403" s="14"/>
      <c r="W403" s="14"/>
      <c r="X403" s="14"/>
      <c r="Y403" s="15"/>
      <c r="Z403" s="14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4"/>
      <c r="U404" s="14"/>
      <c r="V404" s="14"/>
      <c r="W404" s="14"/>
      <c r="X404" s="14"/>
      <c r="Y404" s="15"/>
      <c r="Z404" s="14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4"/>
      <c r="U405" s="14"/>
      <c r="V405" s="14"/>
      <c r="W405" s="14"/>
      <c r="X405" s="14"/>
      <c r="Y405" s="15"/>
      <c r="Z405" s="14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4"/>
      <c r="U406" s="14"/>
      <c r="V406" s="14"/>
      <c r="W406" s="14"/>
      <c r="X406" s="14"/>
      <c r="Y406" s="15"/>
      <c r="Z406" s="14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4"/>
      <c r="U407" s="14"/>
      <c r="V407" s="14"/>
      <c r="W407" s="14"/>
      <c r="X407" s="14"/>
      <c r="Y407" s="15"/>
      <c r="Z407" s="14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4"/>
      <c r="U408" s="14"/>
      <c r="V408" s="14"/>
      <c r="W408" s="14"/>
      <c r="X408" s="14"/>
      <c r="Y408" s="15"/>
      <c r="Z408" s="14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4"/>
      <c r="U409" s="14"/>
      <c r="V409" s="14"/>
      <c r="W409" s="14"/>
      <c r="X409" s="14"/>
      <c r="Y409" s="15"/>
      <c r="Z409" s="14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4"/>
      <c r="U410" s="14"/>
      <c r="V410" s="14"/>
      <c r="W410" s="14"/>
      <c r="X410" s="14"/>
      <c r="Y410" s="15"/>
      <c r="Z410" s="14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4"/>
      <c r="U411" s="14"/>
      <c r="V411" s="14"/>
      <c r="W411" s="14"/>
      <c r="X411" s="14"/>
      <c r="Y411" s="15"/>
      <c r="Z411" s="14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4"/>
      <c r="U412" s="14"/>
      <c r="V412" s="14"/>
      <c r="W412" s="14"/>
      <c r="X412" s="14"/>
      <c r="Y412" s="15"/>
      <c r="Z412" s="14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4"/>
      <c r="U413" s="14"/>
      <c r="V413" s="14"/>
      <c r="W413" s="14"/>
      <c r="X413" s="14"/>
      <c r="Y413" s="15"/>
      <c r="Z413" s="14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4"/>
      <c r="U414" s="14"/>
      <c r="V414" s="14"/>
      <c r="W414" s="14"/>
      <c r="X414" s="14"/>
      <c r="Y414" s="15"/>
      <c r="Z414" s="14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4"/>
      <c r="U415" s="14"/>
      <c r="V415" s="14"/>
      <c r="W415" s="14"/>
      <c r="X415" s="14"/>
      <c r="Y415" s="15"/>
      <c r="Z415" s="14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4"/>
      <c r="U416" s="14"/>
      <c r="V416" s="14"/>
      <c r="W416" s="14"/>
      <c r="X416" s="14"/>
      <c r="Y416" s="15"/>
      <c r="Z416" s="14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4"/>
      <c r="U417" s="14"/>
      <c r="V417" s="14"/>
      <c r="W417" s="14"/>
      <c r="X417" s="14"/>
      <c r="Y417" s="15"/>
      <c r="Z417" s="14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4"/>
      <c r="U418" s="14"/>
      <c r="V418" s="14"/>
      <c r="W418" s="14"/>
      <c r="X418" s="14"/>
      <c r="Y418" s="15"/>
      <c r="Z418" s="14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4"/>
      <c r="U419" s="14"/>
      <c r="V419" s="14"/>
      <c r="W419" s="14"/>
      <c r="X419" s="14"/>
      <c r="Y419" s="15"/>
      <c r="Z419" s="14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4"/>
      <c r="U420" s="14"/>
      <c r="V420" s="14"/>
      <c r="W420" s="14"/>
      <c r="X420" s="14"/>
      <c r="Y420" s="15"/>
      <c r="Z420" s="14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4"/>
      <c r="U421" s="14"/>
      <c r="V421" s="14"/>
      <c r="W421" s="14"/>
      <c r="X421" s="14"/>
      <c r="Y421" s="15"/>
      <c r="Z421" s="14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4"/>
      <c r="U422" s="14"/>
      <c r="V422" s="14"/>
      <c r="W422" s="14"/>
      <c r="X422" s="14"/>
      <c r="Y422" s="15"/>
      <c r="Z422" s="14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4"/>
      <c r="U423" s="14"/>
      <c r="V423" s="14"/>
      <c r="W423" s="14"/>
      <c r="X423" s="14"/>
      <c r="Y423" s="15"/>
      <c r="Z423" s="14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4"/>
      <c r="U424" s="14"/>
      <c r="V424" s="14"/>
      <c r="W424" s="14"/>
      <c r="X424" s="14"/>
      <c r="Y424" s="15"/>
      <c r="Z424" s="14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4"/>
      <c r="U425" s="14"/>
      <c r="V425" s="14"/>
      <c r="W425" s="14"/>
      <c r="X425" s="14"/>
      <c r="Y425" s="15"/>
      <c r="Z425" s="14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4"/>
      <c r="U426" s="14"/>
      <c r="V426" s="14"/>
      <c r="W426" s="14"/>
      <c r="X426" s="14"/>
      <c r="Y426" s="15"/>
      <c r="Z426" s="14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4"/>
      <c r="U427" s="14"/>
      <c r="V427" s="14"/>
      <c r="W427" s="14"/>
      <c r="X427" s="14"/>
      <c r="Y427" s="15"/>
      <c r="Z427" s="14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4"/>
      <c r="U428" s="14"/>
      <c r="V428" s="14"/>
      <c r="W428" s="14"/>
      <c r="X428" s="14"/>
      <c r="Y428" s="15"/>
      <c r="Z428" s="14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4"/>
      <c r="U429" s="14"/>
      <c r="V429" s="14"/>
      <c r="W429" s="14"/>
      <c r="X429" s="14"/>
      <c r="Y429" s="15"/>
      <c r="Z429" s="14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4"/>
      <c r="U430" s="14"/>
      <c r="V430" s="14"/>
      <c r="W430" s="14"/>
      <c r="X430" s="14"/>
      <c r="Y430" s="15"/>
      <c r="Z430" s="14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4"/>
      <c r="U431" s="14"/>
      <c r="V431" s="14"/>
      <c r="W431" s="14"/>
      <c r="X431" s="14"/>
      <c r="Y431" s="15"/>
      <c r="Z431" s="14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4"/>
      <c r="U432" s="14"/>
      <c r="V432" s="14"/>
      <c r="W432" s="14"/>
      <c r="X432" s="14"/>
      <c r="Y432" s="15"/>
      <c r="Z432" s="14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4"/>
      <c r="U433" s="14"/>
      <c r="V433" s="14"/>
      <c r="W433" s="14"/>
      <c r="X433" s="14"/>
      <c r="Y433" s="15"/>
      <c r="Z433" s="14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4"/>
      <c r="U434" s="14"/>
      <c r="V434" s="14"/>
      <c r="W434" s="14"/>
      <c r="X434" s="14"/>
      <c r="Y434" s="15"/>
      <c r="Z434" s="14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4"/>
      <c r="U435" s="14"/>
      <c r="V435" s="14"/>
      <c r="W435" s="14"/>
      <c r="X435" s="14"/>
      <c r="Y435" s="15"/>
      <c r="Z435" s="14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4"/>
      <c r="U436" s="14"/>
      <c r="V436" s="14"/>
      <c r="W436" s="14"/>
      <c r="X436" s="14"/>
      <c r="Y436" s="15"/>
      <c r="Z436" s="14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4"/>
      <c r="U437" s="14"/>
      <c r="V437" s="14"/>
      <c r="W437" s="14"/>
      <c r="X437" s="14"/>
      <c r="Y437" s="15"/>
      <c r="Z437" s="14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4"/>
      <c r="U438" s="14"/>
      <c r="V438" s="14"/>
      <c r="W438" s="14"/>
      <c r="X438" s="14"/>
      <c r="Y438" s="15"/>
      <c r="Z438" s="14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4"/>
      <c r="U439" s="14"/>
      <c r="V439" s="14"/>
      <c r="W439" s="14"/>
      <c r="X439" s="14"/>
      <c r="Y439" s="15"/>
      <c r="Z439" s="14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4"/>
      <c r="U440" s="14"/>
      <c r="V440" s="14"/>
      <c r="W440" s="14"/>
      <c r="X440" s="14"/>
      <c r="Y440" s="15"/>
      <c r="Z440" s="14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4"/>
      <c r="U441" s="14"/>
      <c r="V441" s="14"/>
      <c r="W441" s="14"/>
      <c r="X441" s="14"/>
      <c r="Y441" s="15"/>
      <c r="Z441" s="14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4"/>
      <c r="U442" s="14"/>
      <c r="V442" s="14"/>
      <c r="W442" s="14"/>
      <c r="X442" s="14"/>
      <c r="Y442" s="15"/>
      <c r="Z442" s="14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4"/>
      <c r="U443" s="14"/>
      <c r="V443" s="14"/>
      <c r="W443" s="14"/>
      <c r="X443" s="14"/>
      <c r="Y443" s="15"/>
      <c r="Z443" s="14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4"/>
      <c r="U444" s="14"/>
      <c r="V444" s="14"/>
      <c r="W444" s="14"/>
      <c r="X444" s="14"/>
      <c r="Y444" s="15"/>
      <c r="Z444" s="14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4"/>
      <c r="U445" s="14"/>
      <c r="V445" s="14"/>
      <c r="W445" s="14"/>
      <c r="X445" s="14"/>
      <c r="Y445" s="15"/>
      <c r="Z445" s="14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4"/>
      <c r="U446" s="14"/>
      <c r="V446" s="14"/>
      <c r="W446" s="14"/>
      <c r="X446" s="14"/>
      <c r="Y446" s="15"/>
      <c r="Z446" s="14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4"/>
      <c r="U447" s="14"/>
      <c r="V447" s="14"/>
      <c r="W447" s="14"/>
      <c r="X447" s="14"/>
      <c r="Y447" s="15"/>
      <c r="Z447" s="14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4"/>
      <c r="U448" s="14"/>
      <c r="V448" s="14"/>
      <c r="W448" s="14"/>
      <c r="X448" s="14"/>
      <c r="Y448" s="15"/>
      <c r="Z448" s="14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4"/>
      <c r="U449" s="14"/>
      <c r="V449" s="14"/>
      <c r="W449" s="14"/>
      <c r="X449" s="14"/>
      <c r="Y449" s="15"/>
      <c r="Z449" s="14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4"/>
      <c r="U450" s="14"/>
      <c r="V450" s="14"/>
      <c r="W450" s="14"/>
      <c r="X450" s="14"/>
      <c r="Y450" s="15"/>
      <c r="Z450" s="14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4"/>
      <c r="U451" s="14"/>
      <c r="V451" s="14"/>
      <c r="W451" s="14"/>
      <c r="X451" s="14"/>
      <c r="Y451" s="15"/>
      <c r="Z451" s="14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4"/>
      <c r="U452" s="14"/>
      <c r="V452" s="14"/>
      <c r="W452" s="14"/>
      <c r="X452" s="14"/>
      <c r="Y452" s="15"/>
      <c r="Z452" s="14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4"/>
      <c r="U453" s="14"/>
      <c r="V453" s="14"/>
      <c r="W453" s="14"/>
      <c r="X453" s="14"/>
      <c r="Y453" s="15"/>
      <c r="Z453" s="14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4"/>
      <c r="U454" s="14"/>
      <c r="V454" s="14"/>
      <c r="W454" s="14"/>
      <c r="X454" s="14"/>
      <c r="Y454" s="15"/>
      <c r="Z454" s="14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4"/>
      <c r="U455" s="14"/>
      <c r="V455" s="14"/>
      <c r="W455" s="14"/>
      <c r="X455" s="14"/>
      <c r="Y455" s="15"/>
      <c r="Z455" s="14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4"/>
      <c r="U456" s="14"/>
      <c r="V456" s="14"/>
      <c r="W456" s="14"/>
      <c r="X456" s="14"/>
      <c r="Y456" s="15"/>
      <c r="Z456" s="14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4"/>
      <c r="U457" s="14"/>
      <c r="V457" s="14"/>
      <c r="W457" s="14"/>
      <c r="X457" s="14"/>
      <c r="Y457" s="15"/>
      <c r="Z457" s="14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4"/>
      <c r="U458" s="14"/>
      <c r="V458" s="14"/>
      <c r="W458" s="14"/>
      <c r="X458" s="14"/>
      <c r="Y458" s="15"/>
      <c r="Z458" s="14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4"/>
      <c r="U459" s="14"/>
      <c r="V459" s="14"/>
      <c r="W459" s="14"/>
      <c r="X459" s="14"/>
      <c r="Y459" s="15"/>
      <c r="Z459" s="14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4"/>
      <c r="U460" s="14"/>
      <c r="V460" s="14"/>
      <c r="W460" s="14"/>
      <c r="X460" s="14"/>
      <c r="Y460" s="15"/>
      <c r="Z460" s="14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4"/>
      <c r="U461" s="14"/>
      <c r="V461" s="14"/>
      <c r="W461" s="14"/>
      <c r="X461" s="14"/>
      <c r="Y461" s="15"/>
      <c r="Z461" s="14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4"/>
      <c r="U462" s="14"/>
      <c r="V462" s="14"/>
      <c r="W462" s="14"/>
      <c r="X462" s="14"/>
      <c r="Y462" s="15"/>
      <c r="Z462" s="14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4"/>
      <c r="U463" s="14"/>
      <c r="V463" s="14"/>
      <c r="W463" s="14"/>
      <c r="X463" s="14"/>
      <c r="Y463" s="15"/>
      <c r="Z463" s="14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4"/>
      <c r="U464" s="14"/>
      <c r="V464" s="14"/>
      <c r="W464" s="14"/>
      <c r="X464" s="14"/>
      <c r="Y464" s="15"/>
      <c r="Z464" s="14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4"/>
      <c r="U465" s="14"/>
      <c r="V465" s="14"/>
      <c r="W465" s="14"/>
      <c r="X465" s="14"/>
      <c r="Y465" s="15"/>
      <c r="Z465" s="14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4"/>
      <c r="U466" s="14"/>
      <c r="V466" s="14"/>
      <c r="W466" s="14"/>
      <c r="X466" s="14"/>
      <c r="Y466" s="15"/>
      <c r="Z466" s="14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4"/>
      <c r="U467" s="14"/>
      <c r="V467" s="14"/>
      <c r="W467" s="14"/>
      <c r="X467" s="14"/>
      <c r="Y467" s="15"/>
      <c r="Z467" s="14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4"/>
      <c r="U468" s="14"/>
      <c r="V468" s="14"/>
      <c r="W468" s="14"/>
      <c r="X468" s="14"/>
      <c r="Y468" s="15"/>
      <c r="Z468" s="14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4"/>
      <c r="U469" s="14"/>
      <c r="V469" s="14"/>
      <c r="W469" s="14"/>
      <c r="X469" s="14"/>
      <c r="Y469" s="15"/>
      <c r="Z469" s="14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4"/>
      <c r="U470" s="14"/>
      <c r="V470" s="14"/>
      <c r="W470" s="14"/>
      <c r="X470" s="14"/>
      <c r="Y470" s="15"/>
      <c r="Z470" s="14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4"/>
      <c r="U471" s="14"/>
      <c r="V471" s="14"/>
      <c r="W471" s="14"/>
      <c r="X471" s="14"/>
      <c r="Y471" s="15"/>
      <c r="Z471" s="14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4"/>
      <c r="U472" s="14"/>
      <c r="V472" s="14"/>
      <c r="W472" s="14"/>
      <c r="X472" s="14"/>
      <c r="Y472" s="15"/>
      <c r="Z472" s="14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4"/>
      <c r="U473" s="14"/>
      <c r="V473" s="14"/>
      <c r="W473" s="14"/>
      <c r="X473" s="14"/>
      <c r="Y473" s="15"/>
      <c r="Z473" s="14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4"/>
      <c r="U474" s="14"/>
      <c r="V474" s="14"/>
      <c r="W474" s="14"/>
      <c r="X474" s="14"/>
      <c r="Y474" s="15"/>
      <c r="Z474" s="14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4"/>
      <c r="U475" s="14"/>
      <c r="V475" s="14"/>
      <c r="W475" s="14"/>
      <c r="X475" s="14"/>
      <c r="Y475" s="15"/>
      <c r="Z475" s="14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4"/>
      <c r="U476" s="14"/>
      <c r="V476" s="14"/>
      <c r="W476" s="14"/>
      <c r="X476" s="14"/>
      <c r="Y476" s="15"/>
      <c r="Z476" s="14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4"/>
      <c r="U477" s="14"/>
      <c r="V477" s="14"/>
      <c r="W477" s="14"/>
      <c r="X477" s="14"/>
      <c r="Y477" s="15"/>
      <c r="Z477" s="14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4"/>
      <c r="U478" s="14"/>
      <c r="V478" s="14"/>
      <c r="W478" s="14"/>
      <c r="X478" s="14"/>
      <c r="Y478" s="15"/>
      <c r="Z478" s="14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4"/>
      <c r="U479" s="14"/>
      <c r="V479" s="14"/>
      <c r="W479" s="14"/>
      <c r="X479" s="14"/>
      <c r="Y479" s="15"/>
      <c r="Z479" s="14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4"/>
      <c r="U480" s="14"/>
      <c r="V480" s="14"/>
      <c r="W480" s="14"/>
      <c r="X480" s="14"/>
      <c r="Y480" s="15"/>
      <c r="Z480" s="14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4"/>
      <c r="U481" s="14"/>
      <c r="V481" s="14"/>
      <c r="W481" s="14"/>
      <c r="X481" s="14"/>
      <c r="Y481" s="15"/>
      <c r="Z481" s="14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4"/>
      <c r="U482" s="14"/>
      <c r="V482" s="14"/>
      <c r="W482" s="14"/>
      <c r="X482" s="14"/>
      <c r="Y482" s="15"/>
      <c r="Z482" s="14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4"/>
      <c r="U483" s="14"/>
      <c r="V483" s="14"/>
      <c r="W483" s="14"/>
      <c r="X483" s="14"/>
      <c r="Y483" s="15"/>
      <c r="Z483" s="14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4"/>
      <c r="U484" s="14"/>
      <c r="V484" s="14"/>
      <c r="W484" s="14"/>
      <c r="X484" s="14"/>
      <c r="Y484" s="15"/>
      <c r="Z484" s="14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4"/>
      <c r="U485" s="14"/>
      <c r="V485" s="14"/>
      <c r="W485" s="14"/>
      <c r="X485" s="14"/>
      <c r="Y485" s="15"/>
      <c r="Z485" s="14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4"/>
      <c r="U486" s="14"/>
      <c r="V486" s="14"/>
      <c r="W486" s="14"/>
      <c r="X486" s="14"/>
      <c r="Y486" s="15"/>
      <c r="Z486" s="14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4"/>
      <c r="U487" s="14"/>
      <c r="V487" s="14"/>
      <c r="W487" s="14"/>
      <c r="X487" s="14"/>
      <c r="Y487" s="15"/>
      <c r="Z487" s="14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4"/>
      <c r="U488" s="14"/>
      <c r="V488" s="14"/>
      <c r="W488" s="14"/>
      <c r="X488" s="14"/>
      <c r="Y488" s="15"/>
      <c r="Z488" s="14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4"/>
      <c r="U489" s="14"/>
      <c r="V489" s="14"/>
      <c r="W489" s="14"/>
      <c r="X489" s="14"/>
      <c r="Y489" s="15"/>
      <c r="Z489" s="14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4"/>
      <c r="U490" s="14"/>
      <c r="V490" s="14"/>
      <c r="W490" s="14"/>
      <c r="X490" s="14"/>
      <c r="Y490" s="15"/>
      <c r="Z490" s="14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4"/>
      <c r="U491" s="14"/>
      <c r="V491" s="14"/>
      <c r="W491" s="14"/>
      <c r="X491" s="14"/>
      <c r="Y491" s="15"/>
      <c r="Z491" s="14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4"/>
      <c r="U492" s="14"/>
      <c r="V492" s="14"/>
      <c r="W492" s="14"/>
      <c r="X492" s="14"/>
      <c r="Y492" s="15"/>
      <c r="Z492" s="14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4"/>
      <c r="U493" s="14"/>
      <c r="V493" s="14"/>
      <c r="W493" s="14"/>
      <c r="X493" s="14"/>
      <c r="Y493" s="15"/>
      <c r="Z493" s="14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4"/>
      <c r="U494" s="14"/>
      <c r="V494" s="14"/>
      <c r="W494" s="14"/>
      <c r="X494" s="14"/>
      <c r="Y494" s="15"/>
      <c r="Z494" s="14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4"/>
      <c r="U495" s="14"/>
      <c r="V495" s="14"/>
      <c r="W495" s="14"/>
      <c r="X495" s="14"/>
      <c r="Y495" s="15"/>
      <c r="Z495" s="14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4"/>
      <c r="U496" s="14"/>
      <c r="V496" s="14"/>
      <c r="W496" s="14"/>
      <c r="X496" s="14"/>
      <c r="Y496" s="15"/>
      <c r="Z496" s="14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4"/>
      <c r="U497" s="14"/>
      <c r="V497" s="14"/>
      <c r="W497" s="14"/>
      <c r="X497" s="14"/>
      <c r="Y497" s="15"/>
      <c r="Z497" s="14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4"/>
      <c r="U498" s="14"/>
      <c r="V498" s="14"/>
      <c r="W498" s="14"/>
      <c r="X498" s="14"/>
      <c r="Y498" s="15"/>
      <c r="Z498" s="14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4"/>
      <c r="U499" s="14"/>
      <c r="V499" s="14"/>
      <c r="W499" s="14"/>
      <c r="X499" s="14"/>
      <c r="Y499" s="15"/>
      <c r="Z499" s="14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4"/>
      <c r="U500" s="14"/>
      <c r="V500" s="14"/>
      <c r="W500" s="14"/>
      <c r="X500" s="14"/>
      <c r="Y500" s="15"/>
      <c r="Z500" s="14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4"/>
      <c r="U501" s="14"/>
      <c r="V501" s="14"/>
      <c r="W501" s="14"/>
      <c r="X501" s="14"/>
      <c r="Y501" s="15"/>
      <c r="Z501" s="14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4"/>
      <c r="U502" s="14"/>
      <c r="V502" s="14"/>
      <c r="W502" s="14"/>
      <c r="X502" s="14"/>
      <c r="Y502" s="15"/>
      <c r="Z502" s="14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4"/>
      <c r="U503" s="14"/>
      <c r="V503" s="14"/>
      <c r="W503" s="14"/>
      <c r="X503" s="14"/>
      <c r="Y503" s="15"/>
      <c r="Z503" s="14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4"/>
      <c r="U504" s="14"/>
      <c r="V504" s="14"/>
      <c r="W504" s="14"/>
      <c r="X504" s="14"/>
      <c r="Y504" s="15"/>
      <c r="Z504" s="14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4"/>
      <c r="U505" s="14"/>
      <c r="V505" s="14"/>
      <c r="W505" s="14"/>
      <c r="X505" s="14"/>
      <c r="Y505" s="15"/>
      <c r="Z505" s="14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4"/>
      <c r="U506" s="14"/>
      <c r="V506" s="14"/>
      <c r="W506" s="14"/>
      <c r="X506" s="14"/>
      <c r="Y506" s="15"/>
      <c r="Z506" s="14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4"/>
      <c r="U507" s="14"/>
      <c r="V507" s="14"/>
      <c r="W507" s="14"/>
      <c r="X507" s="14"/>
      <c r="Y507" s="15"/>
      <c r="Z507" s="14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4"/>
      <c r="U508" s="14"/>
      <c r="V508" s="14"/>
      <c r="W508" s="14"/>
      <c r="X508" s="14"/>
      <c r="Y508" s="15"/>
      <c r="Z508" s="14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4"/>
      <c r="U509" s="14"/>
      <c r="V509" s="14"/>
      <c r="W509" s="14"/>
      <c r="X509" s="14"/>
      <c r="Y509" s="15"/>
      <c r="Z509" s="14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4"/>
      <c r="U510" s="14"/>
      <c r="V510" s="14"/>
      <c r="W510" s="14"/>
      <c r="X510" s="14"/>
      <c r="Y510" s="15"/>
      <c r="Z510" s="14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4"/>
      <c r="U511" s="14"/>
      <c r="V511" s="14"/>
      <c r="W511" s="14"/>
      <c r="X511" s="14"/>
      <c r="Y511" s="15"/>
      <c r="Z511" s="14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4"/>
      <c r="U512" s="14"/>
      <c r="V512" s="14"/>
      <c r="W512" s="14"/>
      <c r="X512" s="14"/>
      <c r="Y512" s="15"/>
      <c r="Z512" s="14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4"/>
      <c r="U513" s="14"/>
      <c r="V513" s="14"/>
      <c r="W513" s="14"/>
      <c r="X513" s="14"/>
      <c r="Y513" s="15"/>
      <c r="Z513" s="14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4"/>
      <c r="U514" s="14"/>
      <c r="V514" s="14"/>
      <c r="W514" s="14"/>
      <c r="X514" s="14"/>
      <c r="Y514" s="15"/>
      <c r="Z514" s="14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4"/>
      <c r="U515" s="14"/>
      <c r="V515" s="14"/>
      <c r="W515" s="14"/>
      <c r="X515" s="14"/>
      <c r="Y515" s="15"/>
      <c r="Z515" s="14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4"/>
      <c r="U516" s="14"/>
      <c r="V516" s="14"/>
      <c r="W516" s="14"/>
      <c r="X516" s="14"/>
      <c r="Y516" s="15"/>
      <c r="Z516" s="14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4"/>
      <c r="U517" s="14"/>
      <c r="V517" s="14"/>
      <c r="W517" s="14"/>
      <c r="X517" s="14"/>
      <c r="Y517" s="15"/>
      <c r="Z517" s="14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4"/>
      <c r="U518" s="14"/>
      <c r="V518" s="14"/>
      <c r="W518" s="14"/>
      <c r="X518" s="14"/>
      <c r="Y518" s="15"/>
      <c r="Z518" s="14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4"/>
      <c r="U519" s="14"/>
      <c r="V519" s="14"/>
      <c r="W519" s="14"/>
      <c r="X519" s="14"/>
      <c r="Y519" s="15"/>
      <c r="Z519" s="14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4"/>
      <c r="U520" s="14"/>
      <c r="V520" s="14"/>
      <c r="W520" s="14"/>
      <c r="X520" s="14"/>
      <c r="Y520" s="15"/>
      <c r="Z520" s="14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4"/>
      <c r="U521" s="14"/>
      <c r="V521" s="14"/>
      <c r="W521" s="14"/>
      <c r="X521" s="14"/>
      <c r="Y521" s="15"/>
      <c r="Z521" s="14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4"/>
      <c r="U522" s="14"/>
      <c r="V522" s="14"/>
      <c r="W522" s="14"/>
      <c r="X522" s="14"/>
      <c r="Y522" s="15"/>
      <c r="Z522" s="14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4"/>
      <c r="U523" s="14"/>
      <c r="V523" s="14"/>
      <c r="W523" s="14"/>
      <c r="X523" s="14"/>
      <c r="Y523" s="15"/>
      <c r="Z523" s="14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4"/>
      <c r="U524" s="14"/>
      <c r="V524" s="14"/>
      <c r="W524" s="14"/>
      <c r="X524" s="14"/>
      <c r="Y524" s="15"/>
      <c r="Z524" s="14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4"/>
      <c r="U525" s="14"/>
      <c r="V525" s="14"/>
      <c r="W525" s="14"/>
      <c r="X525" s="14"/>
      <c r="Y525" s="15"/>
      <c r="Z525" s="14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4"/>
      <c r="U526" s="14"/>
      <c r="V526" s="14"/>
      <c r="W526" s="14"/>
      <c r="X526" s="14"/>
      <c r="Y526" s="15"/>
      <c r="Z526" s="14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4"/>
      <c r="U527" s="14"/>
      <c r="V527" s="14"/>
      <c r="W527" s="14"/>
      <c r="X527" s="14"/>
      <c r="Y527" s="15"/>
      <c r="Z527" s="14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4"/>
      <c r="U528" s="14"/>
      <c r="V528" s="14"/>
      <c r="W528" s="14"/>
      <c r="X528" s="14"/>
      <c r="Y528" s="15"/>
      <c r="Z528" s="14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4"/>
      <c r="U529" s="14"/>
      <c r="V529" s="14"/>
      <c r="W529" s="14"/>
      <c r="X529" s="14"/>
      <c r="Y529" s="15"/>
      <c r="Z529" s="14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4"/>
      <c r="U530" s="14"/>
      <c r="V530" s="14"/>
      <c r="W530" s="14"/>
      <c r="X530" s="14"/>
      <c r="Y530" s="15"/>
      <c r="Z530" s="14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4"/>
      <c r="U531" s="14"/>
      <c r="V531" s="14"/>
      <c r="W531" s="14"/>
      <c r="X531" s="14"/>
      <c r="Y531" s="15"/>
      <c r="Z531" s="14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4"/>
      <c r="U532" s="14"/>
      <c r="V532" s="14"/>
      <c r="W532" s="14"/>
      <c r="X532" s="14"/>
      <c r="Y532" s="15"/>
      <c r="Z532" s="14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4"/>
      <c r="U533" s="14"/>
      <c r="V533" s="14"/>
      <c r="W533" s="14"/>
      <c r="X533" s="14"/>
      <c r="Y533" s="15"/>
      <c r="Z533" s="14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4"/>
      <c r="U534" s="14"/>
      <c r="V534" s="14"/>
      <c r="W534" s="14"/>
      <c r="X534" s="14"/>
      <c r="Y534" s="15"/>
      <c r="Z534" s="14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4"/>
      <c r="U535" s="14"/>
      <c r="V535" s="14"/>
      <c r="W535" s="14"/>
      <c r="X535" s="14"/>
      <c r="Y535" s="15"/>
      <c r="Z535" s="14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4"/>
      <c r="U536" s="14"/>
      <c r="V536" s="14"/>
      <c r="W536" s="14"/>
      <c r="X536" s="14"/>
      <c r="Y536" s="15"/>
      <c r="Z536" s="14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4"/>
      <c r="U537" s="14"/>
      <c r="V537" s="14"/>
      <c r="W537" s="14"/>
      <c r="X537" s="14"/>
      <c r="Y537" s="15"/>
      <c r="Z537" s="14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4"/>
      <c r="U538" s="14"/>
      <c r="V538" s="14"/>
      <c r="W538" s="14"/>
      <c r="X538" s="14"/>
      <c r="Y538" s="15"/>
      <c r="Z538" s="14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4"/>
      <c r="U539" s="14"/>
      <c r="V539" s="14"/>
      <c r="W539" s="14"/>
      <c r="X539" s="14"/>
      <c r="Y539" s="15"/>
      <c r="Z539" s="14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4"/>
      <c r="U540" s="14"/>
      <c r="V540" s="14"/>
      <c r="W540" s="14"/>
      <c r="X540" s="14"/>
      <c r="Y540" s="15"/>
      <c r="Z540" s="14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4"/>
      <c r="U541" s="14"/>
      <c r="V541" s="14"/>
      <c r="W541" s="14"/>
      <c r="X541" s="14"/>
      <c r="Y541" s="15"/>
      <c r="Z541" s="14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4"/>
      <c r="U542" s="14"/>
      <c r="V542" s="14"/>
      <c r="W542" s="14"/>
      <c r="X542" s="14"/>
      <c r="Y542" s="15"/>
      <c r="Z542" s="14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4"/>
      <c r="U543" s="14"/>
      <c r="V543" s="14"/>
      <c r="W543" s="14"/>
      <c r="X543" s="14"/>
      <c r="Y543" s="15"/>
      <c r="Z543" s="14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4"/>
      <c r="U544" s="14"/>
      <c r="V544" s="14"/>
      <c r="W544" s="14"/>
      <c r="X544" s="14"/>
      <c r="Y544" s="15"/>
      <c r="Z544" s="14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4"/>
      <c r="U545" s="14"/>
      <c r="V545" s="14"/>
      <c r="W545" s="14"/>
      <c r="X545" s="14"/>
      <c r="Y545" s="15"/>
      <c r="Z545" s="14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4"/>
      <c r="U546" s="14"/>
      <c r="V546" s="14"/>
      <c r="W546" s="14"/>
      <c r="X546" s="14"/>
      <c r="Y546" s="15"/>
      <c r="Z546" s="14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4"/>
      <c r="U547" s="14"/>
      <c r="V547" s="14"/>
      <c r="W547" s="14"/>
      <c r="X547" s="14"/>
      <c r="Y547" s="15"/>
      <c r="Z547" s="14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4"/>
      <c r="U548" s="14"/>
      <c r="V548" s="14"/>
      <c r="W548" s="14"/>
      <c r="X548" s="14"/>
      <c r="Y548" s="15"/>
      <c r="Z548" s="14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4"/>
      <c r="U549" s="14"/>
      <c r="V549" s="14"/>
      <c r="W549" s="14"/>
      <c r="X549" s="14"/>
      <c r="Y549" s="15"/>
      <c r="Z549" s="14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4"/>
      <c r="U550" s="14"/>
      <c r="V550" s="14"/>
      <c r="W550" s="14"/>
      <c r="X550" s="14"/>
      <c r="Y550" s="15"/>
      <c r="Z550" s="14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4"/>
      <c r="U551" s="14"/>
      <c r="V551" s="14"/>
      <c r="W551" s="14"/>
      <c r="X551" s="14"/>
      <c r="Y551" s="15"/>
      <c r="Z551" s="14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4"/>
      <c r="U552" s="14"/>
      <c r="V552" s="14"/>
      <c r="W552" s="14"/>
      <c r="X552" s="14"/>
      <c r="Y552" s="15"/>
      <c r="Z552" s="14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4"/>
      <c r="U553" s="14"/>
      <c r="V553" s="14"/>
      <c r="W553" s="14"/>
      <c r="X553" s="14"/>
      <c r="Y553" s="15"/>
      <c r="Z553" s="14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4"/>
      <c r="U554" s="14"/>
      <c r="V554" s="14"/>
      <c r="W554" s="14"/>
      <c r="X554" s="14"/>
      <c r="Y554" s="15"/>
      <c r="Z554" s="14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4"/>
      <c r="U555" s="14"/>
      <c r="V555" s="14"/>
      <c r="W555" s="14"/>
      <c r="X555" s="14"/>
      <c r="Y555" s="15"/>
      <c r="Z555" s="14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4"/>
      <c r="U556" s="14"/>
      <c r="V556" s="14"/>
      <c r="W556" s="14"/>
      <c r="X556" s="14"/>
      <c r="Y556" s="15"/>
      <c r="Z556" s="14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4"/>
      <c r="U557" s="14"/>
      <c r="V557" s="14"/>
      <c r="W557" s="14"/>
      <c r="X557" s="14"/>
      <c r="Y557" s="15"/>
      <c r="Z557" s="14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4"/>
      <c r="U558" s="14"/>
      <c r="V558" s="14"/>
      <c r="W558" s="14"/>
      <c r="X558" s="14"/>
      <c r="Y558" s="15"/>
      <c r="Z558" s="14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4"/>
      <c r="U559" s="14"/>
      <c r="V559" s="14"/>
      <c r="W559" s="14"/>
      <c r="X559" s="14"/>
      <c r="Y559" s="15"/>
      <c r="Z559" s="14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4"/>
      <c r="U560" s="14"/>
      <c r="V560" s="14"/>
      <c r="W560" s="14"/>
      <c r="X560" s="14"/>
      <c r="Y560" s="15"/>
      <c r="Z560" s="14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4"/>
      <c r="U561" s="14"/>
      <c r="V561" s="14"/>
      <c r="W561" s="14"/>
      <c r="X561" s="14"/>
      <c r="Y561" s="15"/>
      <c r="Z561" s="14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4"/>
      <c r="U562" s="14"/>
      <c r="V562" s="14"/>
      <c r="W562" s="14"/>
      <c r="X562" s="14"/>
      <c r="Y562" s="15"/>
      <c r="Z562" s="14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4"/>
      <c r="U563" s="14"/>
      <c r="V563" s="14"/>
      <c r="W563" s="14"/>
      <c r="X563" s="14"/>
      <c r="Y563" s="15"/>
      <c r="Z563" s="14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4"/>
      <c r="U564" s="14"/>
      <c r="V564" s="14"/>
      <c r="W564" s="14"/>
      <c r="X564" s="14"/>
      <c r="Y564" s="15"/>
      <c r="Z564" s="14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4"/>
      <c r="U565" s="14"/>
      <c r="V565" s="14"/>
      <c r="W565" s="14"/>
      <c r="X565" s="14"/>
      <c r="Y565" s="15"/>
      <c r="Z565" s="14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4"/>
      <c r="U566" s="14"/>
      <c r="V566" s="14"/>
      <c r="W566" s="14"/>
      <c r="X566" s="14"/>
      <c r="Y566" s="15"/>
      <c r="Z566" s="14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4"/>
      <c r="U567" s="14"/>
      <c r="V567" s="14"/>
      <c r="W567" s="14"/>
      <c r="X567" s="14"/>
      <c r="Y567" s="15"/>
      <c r="Z567" s="14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4"/>
      <c r="U568" s="14"/>
      <c r="V568" s="14"/>
      <c r="W568" s="14"/>
      <c r="X568" s="14"/>
      <c r="Y568" s="15"/>
      <c r="Z568" s="14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4"/>
      <c r="U569" s="14"/>
      <c r="V569" s="14"/>
      <c r="W569" s="14"/>
      <c r="X569" s="14"/>
      <c r="Y569" s="15"/>
      <c r="Z569" s="14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4"/>
      <c r="U570" s="14"/>
      <c r="V570" s="14"/>
      <c r="W570" s="14"/>
      <c r="X570" s="14"/>
      <c r="Y570" s="15"/>
      <c r="Z570" s="14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4"/>
      <c r="U571" s="14"/>
      <c r="V571" s="14"/>
      <c r="W571" s="14"/>
      <c r="X571" s="14"/>
      <c r="Y571" s="15"/>
      <c r="Z571" s="14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4"/>
      <c r="U572" s="14"/>
      <c r="V572" s="14"/>
      <c r="W572" s="14"/>
      <c r="X572" s="14"/>
      <c r="Y572" s="15"/>
      <c r="Z572" s="14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4"/>
      <c r="U573" s="14"/>
      <c r="V573" s="14"/>
      <c r="W573" s="14"/>
      <c r="X573" s="14"/>
      <c r="Y573" s="15"/>
      <c r="Z573" s="14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4"/>
      <c r="U574" s="14"/>
      <c r="V574" s="14"/>
      <c r="W574" s="14"/>
      <c r="X574" s="14"/>
      <c r="Y574" s="15"/>
      <c r="Z574" s="14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4"/>
      <c r="U575" s="14"/>
      <c r="V575" s="14"/>
      <c r="W575" s="14"/>
      <c r="X575" s="14"/>
      <c r="Y575" s="15"/>
      <c r="Z575" s="14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4"/>
      <c r="U576" s="14"/>
      <c r="V576" s="14"/>
      <c r="W576" s="14"/>
      <c r="X576" s="14"/>
      <c r="Y576" s="15"/>
      <c r="Z576" s="14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4"/>
      <c r="U577" s="14"/>
      <c r="V577" s="14"/>
      <c r="W577" s="14"/>
      <c r="X577" s="14"/>
      <c r="Y577" s="15"/>
      <c r="Z577" s="14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4"/>
      <c r="U578" s="14"/>
      <c r="V578" s="14"/>
      <c r="W578" s="14"/>
      <c r="X578" s="14"/>
      <c r="Y578" s="15"/>
      <c r="Z578" s="14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4"/>
      <c r="U579" s="14"/>
      <c r="V579" s="14"/>
      <c r="W579" s="14"/>
      <c r="X579" s="14"/>
      <c r="Y579" s="15"/>
      <c r="Z579" s="14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4"/>
      <c r="U580" s="14"/>
      <c r="V580" s="14"/>
      <c r="W580" s="14"/>
      <c r="X580" s="14"/>
      <c r="Y580" s="15"/>
      <c r="Z580" s="14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4"/>
      <c r="U581" s="14"/>
      <c r="V581" s="14"/>
      <c r="W581" s="14"/>
      <c r="X581" s="14"/>
      <c r="Y581" s="15"/>
      <c r="Z581" s="14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4"/>
      <c r="U582" s="14"/>
      <c r="V582" s="14"/>
      <c r="W582" s="14"/>
      <c r="X582" s="14"/>
      <c r="Y582" s="15"/>
      <c r="Z582" s="14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4"/>
      <c r="U583" s="14"/>
      <c r="V583" s="14"/>
      <c r="W583" s="14"/>
      <c r="X583" s="14"/>
      <c r="Y583" s="15"/>
      <c r="Z583" s="14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4"/>
      <c r="U584" s="14"/>
      <c r="V584" s="14"/>
      <c r="W584" s="14"/>
      <c r="X584" s="14"/>
      <c r="Y584" s="15"/>
      <c r="Z584" s="14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4"/>
      <c r="U585" s="14"/>
      <c r="V585" s="14"/>
      <c r="W585" s="14"/>
      <c r="X585" s="14"/>
      <c r="Y585" s="15"/>
      <c r="Z585" s="14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4"/>
      <c r="U586" s="14"/>
      <c r="V586" s="14"/>
      <c r="W586" s="14"/>
      <c r="X586" s="14"/>
      <c r="Y586" s="15"/>
      <c r="Z586" s="14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4"/>
      <c r="U587" s="14"/>
      <c r="V587" s="14"/>
      <c r="W587" s="14"/>
      <c r="X587" s="14"/>
      <c r="Y587" s="15"/>
      <c r="Z587" s="14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4"/>
      <c r="U588" s="14"/>
      <c r="V588" s="14"/>
      <c r="W588" s="14"/>
      <c r="X588" s="14"/>
      <c r="Y588" s="15"/>
      <c r="Z588" s="14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4"/>
      <c r="U589" s="14"/>
      <c r="V589" s="14"/>
      <c r="W589" s="14"/>
      <c r="X589" s="14"/>
      <c r="Y589" s="15"/>
      <c r="Z589" s="14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4"/>
      <c r="U590" s="14"/>
      <c r="V590" s="14"/>
      <c r="W590" s="14"/>
      <c r="X590" s="14"/>
      <c r="Y590" s="15"/>
      <c r="Z590" s="14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4"/>
      <c r="U591" s="14"/>
      <c r="V591" s="14"/>
      <c r="W591" s="14"/>
      <c r="X591" s="14"/>
      <c r="Y591" s="15"/>
      <c r="Z591" s="14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4"/>
      <c r="U592" s="14"/>
      <c r="V592" s="14"/>
      <c r="W592" s="14"/>
      <c r="X592" s="14"/>
      <c r="Y592" s="15"/>
      <c r="Z592" s="14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4"/>
      <c r="U593" s="14"/>
      <c r="V593" s="14"/>
      <c r="W593" s="14"/>
      <c r="X593" s="14"/>
      <c r="Y593" s="15"/>
      <c r="Z593" s="14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4"/>
      <c r="U594" s="14"/>
      <c r="V594" s="14"/>
      <c r="W594" s="14"/>
      <c r="X594" s="14"/>
      <c r="Y594" s="15"/>
      <c r="Z594" s="14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4"/>
      <c r="U595" s="14"/>
      <c r="V595" s="14"/>
      <c r="W595" s="14"/>
      <c r="X595" s="14"/>
      <c r="Y595" s="15"/>
      <c r="Z595" s="14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4"/>
      <c r="U596" s="14"/>
      <c r="V596" s="14"/>
      <c r="W596" s="14"/>
      <c r="X596" s="14"/>
      <c r="Y596" s="15"/>
      <c r="Z596" s="14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4"/>
      <c r="U597" s="14"/>
      <c r="V597" s="14"/>
      <c r="W597" s="14"/>
      <c r="X597" s="14"/>
      <c r="Y597" s="15"/>
      <c r="Z597" s="14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4"/>
      <c r="U598" s="14"/>
      <c r="V598" s="14"/>
      <c r="W598" s="14"/>
      <c r="X598" s="14"/>
      <c r="Y598" s="15"/>
      <c r="Z598" s="14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4"/>
      <c r="U599" s="14"/>
      <c r="V599" s="14"/>
      <c r="W599" s="14"/>
      <c r="X599" s="14"/>
      <c r="Y599" s="15"/>
      <c r="Z599" s="14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4"/>
      <c r="U600" s="14"/>
      <c r="V600" s="14"/>
      <c r="W600" s="14"/>
      <c r="X600" s="14"/>
      <c r="Y600" s="15"/>
      <c r="Z600" s="14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4"/>
      <c r="U601" s="14"/>
      <c r="V601" s="14"/>
      <c r="W601" s="14"/>
      <c r="X601" s="14"/>
      <c r="Y601" s="15"/>
      <c r="Z601" s="14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4"/>
      <c r="U602" s="14"/>
      <c r="V602" s="14"/>
      <c r="W602" s="14"/>
      <c r="X602" s="14"/>
      <c r="Y602" s="15"/>
      <c r="Z602" s="14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4"/>
      <c r="U603" s="14"/>
      <c r="V603" s="14"/>
      <c r="W603" s="14"/>
      <c r="X603" s="14"/>
      <c r="Y603" s="15"/>
      <c r="Z603" s="14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4"/>
      <c r="U604" s="14"/>
      <c r="V604" s="14"/>
      <c r="W604" s="14"/>
      <c r="X604" s="14"/>
      <c r="Y604" s="15"/>
      <c r="Z604" s="14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4"/>
      <c r="U605" s="14"/>
      <c r="V605" s="14"/>
      <c r="W605" s="14"/>
      <c r="X605" s="14"/>
      <c r="Y605" s="15"/>
      <c r="Z605" s="14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4"/>
      <c r="U606" s="14"/>
      <c r="V606" s="14"/>
      <c r="W606" s="14"/>
      <c r="X606" s="14"/>
      <c r="Y606" s="15"/>
      <c r="Z606" s="14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4"/>
      <c r="U607" s="14"/>
      <c r="V607" s="14"/>
      <c r="W607" s="14"/>
      <c r="X607" s="14"/>
      <c r="Y607" s="15"/>
      <c r="Z607" s="14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4"/>
      <c r="U608" s="14"/>
      <c r="V608" s="14"/>
      <c r="W608" s="14"/>
      <c r="X608" s="14"/>
      <c r="Y608" s="15"/>
      <c r="Z608" s="14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4"/>
      <c r="U609" s="14"/>
      <c r="V609" s="14"/>
      <c r="W609" s="14"/>
      <c r="X609" s="14"/>
      <c r="Y609" s="15"/>
      <c r="Z609" s="14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4"/>
      <c r="U610" s="14"/>
      <c r="V610" s="14"/>
      <c r="W610" s="14"/>
      <c r="X610" s="14"/>
      <c r="Y610" s="15"/>
      <c r="Z610" s="14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4"/>
      <c r="U611" s="14"/>
      <c r="V611" s="14"/>
      <c r="W611" s="14"/>
      <c r="X611" s="14"/>
      <c r="Y611" s="15"/>
      <c r="Z611" s="14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4"/>
      <c r="U612" s="14"/>
      <c r="V612" s="14"/>
      <c r="W612" s="14"/>
      <c r="X612" s="14"/>
      <c r="Y612" s="15"/>
      <c r="Z612" s="14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4"/>
      <c r="U613" s="14"/>
      <c r="V613" s="14"/>
      <c r="W613" s="14"/>
      <c r="X613" s="14"/>
      <c r="Y613" s="15"/>
      <c r="Z613" s="14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4"/>
      <c r="U614" s="14"/>
      <c r="V614" s="14"/>
      <c r="W614" s="14"/>
      <c r="X614" s="14"/>
      <c r="Y614" s="15"/>
      <c r="Z614" s="14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4"/>
      <c r="U615" s="14"/>
      <c r="V615" s="14"/>
      <c r="W615" s="14"/>
      <c r="X615" s="14"/>
      <c r="Y615" s="15"/>
      <c r="Z615" s="14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4"/>
      <c r="U616" s="14"/>
      <c r="V616" s="14"/>
      <c r="W616" s="14"/>
      <c r="X616" s="14"/>
      <c r="Y616" s="15"/>
      <c r="Z616" s="14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4"/>
      <c r="U617" s="14"/>
      <c r="V617" s="14"/>
      <c r="W617" s="14"/>
      <c r="X617" s="14"/>
      <c r="Y617" s="15"/>
      <c r="Z617" s="14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4"/>
      <c r="U618" s="14"/>
      <c r="V618" s="14"/>
      <c r="W618" s="14"/>
      <c r="X618" s="14"/>
      <c r="Y618" s="15"/>
      <c r="Z618" s="14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4"/>
      <c r="U619" s="14"/>
      <c r="V619" s="14"/>
      <c r="W619" s="14"/>
      <c r="X619" s="14"/>
      <c r="Y619" s="15"/>
      <c r="Z619" s="14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4"/>
      <c r="U620" s="14"/>
      <c r="V620" s="14"/>
      <c r="W620" s="14"/>
      <c r="X620" s="14"/>
      <c r="Y620" s="15"/>
      <c r="Z620" s="14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4"/>
      <c r="U621" s="14"/>
      <c r="V621" s="14"/>
      <c r="W621" s="14"/>
      <c r="X621" s="14"/>
      <c r="Y621" s="15"/>
      <c r="Z621" s="14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4"/>
      <c r="U622" s="14"/>
      <c r="V622" s="14"/>
      <c r="W622" s="14"/>
      <c r="X622" s="14"/>
      <c r="Y622" s="15"/>
      <c r="Z622" s="14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4"/>
      <c r="U623" s="14"/>
      <c r="V623" s="14"/>
      <c r="W623" s="14"/>
      <c r="X623" s="14"/>
      <c r="Y623" s="15"/>
      <c r="Z623" s="14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4"/>
      <c r="U624" s="14"/>
      <c r="V624" s="14"/>
      <c r="W624" s="14"/>
      <c r="X624" s="14"/>
      <c r="Y624" s="15"/>
      <c r="Z624" s="14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4"/>
      <c r="U625" s="14"/>
      <c r="V625" s="14"/>
      <c r="W625" s="14"/>
      <c r="X625" s="14"/>
      <c r="Y625" s="15"/>
      <c r="Z625" s="14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4"/>
      <c r="U626" s="14"/>
      <c r="V626" s="14"/>
      <c r="W626" s="14"/>
      <c r="X626" s="14"/>
      <c r="Y626" s="15"/>
      <c r="Z626" s="14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4"/>
      <c r="U627" s="14"/>
      <c r="V627" s="14"/>
      <c r="W627" s="14"/>
      <c r="X627" s="14"/>
      <c r="Y627" s="15"/>
      <c r="Z627" s="14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4"/>
      <c r="U628" s="14"/>
      <c r="V628" s="14"/>
      <c r="W628" s="14"/>
      <c r="X628" s="14"/>
      <c r="Y628" s="15"/>
      <c r="Z628" s="14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4"/>
      <c r="U629" s="14"/>
      <c r="V629" s="14"/>
      <c r="W629" s="14"/>
      <c r="X629" s="14"/>
      <c r="Y629" s="15"/>
      <c r="Z629" s="14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4"/>
      <c r="U630" s="14"/>
      <c r="V630" s="14"/>
      <c r="W630" s="14"/>
      <c r="X630" s="14"/>
      <c r="Y630" s="15"/>
      <c r="Z630" s="14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4"/>
      <c r="U631" s="14"/>
      <c r="V631" s="14"/>
      <c r="W631" s="14"/>
      <c r="X631" s="14"/>
      <c r="Y631" s="15"/>
      <c r="Z631" s="14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4"/>
      <c r="U632" s="14"/>
      <c r="V632" s="14"/>
      <c r="W632" s="14"/>
      <c r="X632" s="14"/>
      <c r="Y632" s="15"/>
      <c r="Z632" s="14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4"/>
      <c r="U633" s="14"/>
      <c r="V633" s="14"/>
      <c r="W633" s="14"/>
      <c r="X633" s="14"/>
      <c r="Y633" s="15"/>
      <c r="Z633" s="14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4"/>
      <c r="U634" s="14"/>
      <c r="V634" s="14"/>
      <c r="W634" s="14"/>
      <c r="X634" s="14"/>
      <c r="Y634" s="15"/>
      <c r="Z634" s="14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4"/>
      <c r="U635" s="14"/>
      <c r="V635" s="14"/>
      <c r="W635" s="14"/>
      <c r="X635" s="14"/>
      <c r="Y635" s="15"/>
      <c r="Z635" s="14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4"/>
      <c r="U636" s="14"/>
      <c r="V636" s="14"/>
      <c r="W636" s="14"/>
      <c r="X636" s="14"/>
      <c r="Y636" s="15"/>
      <c r="Z636" s="14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4"/>
      <c r="U637" s="14"/>
      <c r="V637" s="14"/>
      <c r="W637" s="14"/>
      <c r="X637" s="14"/>
      <c r="Y637" s="15"/>
      <c r="Z637" s="14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4"/>
      <c r="U638" s="14"/>
      <c r="V638" s="14"/>
      <c r="W638" s="14"/>
      <c r="X638" s="14"/>
      <c r="Y638" s="15"/>
      <c r="Z638" s="14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4"/>
      <c r="U639" s="14"/>
      <c r="V639" s="14"/>
      <c r="W639" s="14"/>
      <c r="X639" s="14"/>
      <c r="Y639" s="15"/>
      <c r="Z639" s="14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4"/>
      <c r="U640" s="14"/>
      <c r="V640" s="14"/>
      <c r="W640" s="14"/>
      <c r="X640" s="14"/>
      <c r="Y640" s="15"/>
      <c r="Z640" s="14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4"/>
      <c r="U641" s="14"/>
      <c r="V641" s="14"/>
      <c r="W641" s="14"/>
      <c r="X641" s="14"/>
      <c r="Y641" s="15"/>
      <c r="Z641" s="14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4"/>
      <c r="U642" s="14"/>
      <c r="V642" s="14"/>
      <c r="W642" s="14"/>
      <c r="X642" s="14"/>
      <c r="Y642" s="15"/>
      <c r="Z642" s="14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4"/>
      <c r="U643" s="14"/>
      <c r="V643" s="14"/>
      <c r="W643" s="14"/>
      <c r="X643" s="14"/>
      <c r="Y643" s="15"/>
      <c r="Z643" s="14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4"/>
      <c r="U644" s="14"/>
      <c r="V644" s="14"/>
      <c r="W644" s="14"/>
      <c r="X644" s="14"/>
      <c r="Y644" s="15"/>
      <c r="Z644" s="14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4"/>
      <c r="U645" s="14"/>
      <c r="V645" s="14"/>
      <c r="W645" s="14"/>
      <c r="X645" s="14"/>
      <c r="Y645" s="15"/>
      <c r="Z645" s="14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4"/>
      <c r="U646" s="14"/>
      <c r="V646" s="14"/>
      <c r="W646" s="14"/>
      <c r="X646" s="14"/>
      <c r="Y646" s="15"/>
      <c r="Z646" s="14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4"/>
      <c r="U647" s="14"/>
      <c r="V647" s="14"/>
      <c r="W647" s="14"/>
      <c r="X647" s="14"/>
      <c r="Y647" s="15"/>
      <c r="Z647" s="14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4"/>
      <c r="U648" s="14"/>
      <c r="V648" s="14"/>
      <c r="W648" s="14"/>
      <c r="X648" s="14"/>
      <c r="Y648" s="15"/>
      <c r="Z648" s="14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4"/>
      <c r="U649" s="14"/>
      <c r="V649" s="14"/>
      <c r="W649" s="14"/>
      <c r="X649" s="14"/>
      <c r="Y649" s="15"/>
      <c r="Z649" s="14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4"/>
      <c r="U650" s="14"/>
      <c r="V650" s="14"/>
      <c r="W650" s="14"/>
      <c r="X650" s="14"/>
      <c r="Y650" s="15"/>
      <c r="Z650" s="14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4"/>
      <c r="U651" s="14"/>
      <c r="V651" s="14"/>
      <c r="W651" s="14"/>
      <c r="X651" s="14"/>
      <c r="Y651" s="15"/>
      <c r="Z651" s="14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4"/>
      <c r="U652" s="14"/>
      <c r="V652" s="14"/>
      <c r="W652" s="14"/>
      <c r="X652" s="14"/>
      <c r="Y652" s="15"/>
      <c r="Z652" s="14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4"/>
      <c r="U653" s="14"/>
      <c r="V653" s="14"/>
      <c r="W653" s="14"/>
      <c r="X653" s="14"/>
      <c r="Y653" s="15"/>
      <c r="Z653" s="14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4"/>
      <c r="U654" s="14"/>
      <c r="V654" s="14"/>
      <c r="W654" s="14"/>
      <c r="X654" s="14"/>
      <c r="Y654" s="15"/>
      <c r="Z654" s="14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4"/>
      <c r="U655" s="14"/>
      <c r="V655" s="14"/>
      <c r="W655" s="14"/>
      <c r="X655" s="14"/>
      <c r="Y655" s="15"/>
      <c r="Z655" s="14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4"/>
      <c r="U656" s="14"/>
      <c r="V656" s="14"/>
      <c r="W656" s="14"/>
      <c r="X656" s="14"/>
      <c r="Y656" s="15"/>
      <c r="Z656" s="14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4"/>
      <c r="U657" s="14"/>
      <c r="V657" s="14"/>
      <c r="W657" s="14"/>
      <c r="X657" s="14"/>
      <c r="Y657" s="15"/>
      <c r="Z657" s="14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4"/>
      <c r="U658" s="14"/>
      <c r="V658" s="14"/>
      <c r="W658" s="14"/>
      <c r="X658" s="14"/>
      <c r="Y658" s="15"/>
      <c r="Z658" s="14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4"/>
      <c r="U659" s="14"/>
      <c r="V659" s="14"/>
      <c r="W659" s="14"/>
      <c r="X659" s="14"/>
      <c r="Y659" s="15"/>
      <c r="Z659" s="14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4"/>
      <c r="U660" s="14"/>
      <c r="V660" s="14"/>
      <c r="W660" s="14"/>
      <c r="X660" s="14"/>
      <c r="Y660" s="15"/>
      <c r="Z660" s="14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4"/>
      <c r="U661" s="14"/>
      <c r="V661" s="14"/>
      <c r="W661" s="14"/>
      <c r="X661" s="14"/>
      <c r="Y661" s="15"/>
      <c r="Z661" s="14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4"/>
      <c r="U662" s="14"/>
      <c r="V662" s="14"/>
      <c r="W662" s="14"/>
      <c r="X662" s="14"/>
      <c r="Y662" s="15"/>
      <c r="Z662" s="14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4"/>
      <c r="U663" s="14"/>
      <c r="V663" s="14"/>
      <c r="W663" s="14"/>
      <c r="X663" s="14"/>
      <c r="Y663" s="15"/>
      <c r="Z663" s="14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4"/>
      <c r="U664" s="14"/>
      <c r="V664" s="14"/>
      <c r="W664" s="14"/>
      <c r="X664" s="14"/>
      <c r="Y664" s="15"/>
      <c r="Z664" s="14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4"/>
      <c r="U665" s="14"/>
      <c r="V665" s="14"/>
      <c r="W665" s="14"/>
      <c r="X665" s="14"/>
      <c r="Y665" s="15"/>
      <c r="Z665" s="14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4"/>
      <c r="U666" s="14"/>
      <c r="V666" s="14"/>
      <c r="W666" s="14"/>
      <c r="X666" s="14"/>
      <c r="Y666" s="15"/>
      <c r="Z666" s="14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4"/>
      <c r="U667" s="14"/>
      <c r="V667" s="14"/>
      <c r="W667" s="14"/>
      <c r="X667" s="14"/>
      <c r="Y667" s="15"/>
      <c r="Z667" s="14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4"/>
      <c r="U668" s="14"/>
      <c r="V668" s="14"/>
      <c r="W668" s="14"/>
      <c r="X668" s="14"/>
      <c r="Y668" s="15"/>
      <c r="Z668" s="14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4"/>
      <c r="U669" s="14"/>
      <c r="V669" s="14"/>
      <c r="W669" s="14"/>
      <c r="X669" s="14"/>
      <c r="Y669" s="15"/>
      <c r="Z669" s="14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4"/>
      <c r="U670" s="14"/>
      <c r="V670" s="14"/>
      <c r="W670" s="14"/>
      <c r="X670" s="14"/>
      <c r="Y670" s="15"/>
      <c r="Z670" s="14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4"/>
      <c r="U671" s="14"/>
      <c r="V671" s="14"/>
      <c r="W671" s="14"/>
      <c r="X671" s="14"/>
      <c r="Y671" s="15"/>
      <c r="Z671" s="14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4"/>
      <c r="U672" s="14"/>
      <c r="V672" s="14"/>
      <c r="W672" s="14"/>
      <c r="X672" s="14"/>
      <c r="Y672" s="15"/>
      <c r="Z672" s="14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4"/>
      <c r="U673" s="14"/>
      <c r="V673" s="14"/>
      <c r="W673" s="14"/>
      <c r="X673" s="14"/>
      <c r="Y673" s="15"/>
      <c r="Z673" s="14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4"/>
      <c r="U674" s="14"/>
      <c r="V674" s="14"/>
      <c r="W674" s="14"/>
      <c r="X674" s="14"/>
      <c r="Y674" s="15"/>
      <c r="Z674" s="14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4"/>
      <c r="U675" s="14"/>
      <c r="V675" s="14"/>
      <c r="W675" s="14"/>
      <c r="X675" s="14"/>
      <c r="Y675" s="15"/>
      <c r="Z675" s="14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4"/>
      <c r="U676" s="14"/>
      <c r="V676" s="14"/>
      <c r="W676" s="14"/>
      <c r="X676" s="14"/>
      <c r="Y676" s="15"/>
      <c r="Z676" s="14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4"/>
      <c r="U677" s="14"/>
      <c r="V677" s="14"/>
      <c r="W677" s="14"/>
      <c r="X677" s="14"/>
      <c r="Y677" s="15"/>
      <c r="Z677" s="14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4"/>
      <c r="U678" s="14"/>
      <c r="V678" s="14"/>
      <c r="W678" s="14"/>
      <c r="X678" s="14"/>
      <c r="Y678" s="15"/>
      <c r="Z678" s="14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4"/>
      <c r="U679" s="14"/>
      <c r="V679" s="14"/>
      <c r="W679" s="14"/>
      <c r="X679" s="14"/>
      <c r="Y679" s="15"/>
      <c r="Z679" s="14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4"/>
      <c r="U680" s="14"/>
      <c r="V680" s="14"/>
      <c r="W680" s="14"/>
      <c r="X680" s="14"/>
      <c r="Y680" s="15"/>
      <c r="Z680" s="14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4"/>
      <c r="U681" s="14"/>
      <c r="V681" s="14"/>
      <c r="W681" s="14"/>
      <c r="X681" s="14"/>
      <c r="Y681" s="15"/>
      <c r="Z681" s="14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4"/>
      <c r="U682" s="14"/>
      <c r="V682" s="14"/>
      <c r="W682" s="14"/>
      <c r="X682" s="14"/>
      <c r="Y682" s="15"/>
      <c r="Z682" s="14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4"/>
      <c r="U683" s="14"/>
      <c r="V683" s="14"/>
      <c r="W683" s="14"/>
      <c r="X683" s="14"/>
      <c r="Y683" s="15"/>
      <c r="Z683" s="14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4"/>
      <c r="U684" s="14"/>
      <c r="V684" s="14"/>
      <c r="W684" s="14"/>
      <c r="X684" s="14"/>
      <c r="Y684" s="15"/>
      <c r="Z684" s="14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4"/>
      <c r="U685" s="14"/>
      <c r="V685" s="14"/>
      <c r="W685" s="14"/>
      <c r="X685" s="14"/>
      <c r="Y685" s="15"/>
      <c r="Z685" s="14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4"/>
      <c r="U686" s="14"/>
      <c r="V686" s="14"/>
      <c r="W686" s="14"/>
      <c r="X686" s="14"/>
      <c r="Y686" s="15"/>
      <c r="Z686" s="14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4"/>
      <c r="U687" s="14"/>
      <c r="V687" s="14"/>
      <c r="W687" s="14"/>
      <c r="X687" s="14"/>
      <c r="Y687" s="15"/>
      <c r="Z687" s="14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4"/>
      <c r="U688" s="14"/>
      <c r="V688" s="14"/>
      <c r="W688" s="14"/>
      <c r="X688" s="14"/>
      <c r="Y688" s="15"/>
      <c r="Z688" s="14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4"/>
      <c r="U689" s="14"/>
      <c r="V689" s="14"/>
      <c r="W689" s="14"/>
      <c r="X689" s="14"/>
      <c r="Y689" s="15"/>
      <c r="Z689" s="14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4"/>
      <c r="U690" s="14"/>
      <c r="V690" s="14"/>
      <c r="W690" s="14"/>
      <c r="X690" s="14"/>
      <c r="Y690" s="15"/>
      <c r="Z690" s="14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4"/>
      <c r="U691" s="14"/>
      <c r="V691" s="14"/>
      <c r="W691" s="14"/>
      <c r="X691" s="14"/>
      <c r="Y691" s="15"/>
      <c r="Z691" s="14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4"/>
      <c r="U692" s="14"/>
      <c r="V692" s="14"/>
      <c r="W692" s="14"/>
      <c r="X692" s="14"/>
      <c r="Y692" s="15"/>
      <c r="Z692" s="14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4"/>
      <c r="U693" s="14"/>
      <c r="V693" s="14"/>
      <c r="W693" s="14"/>
      <c r="X693" s="14"/>
      <c r="Y693" s="15"/>
      <c r="Z693" s="14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4"/>
      <c r="U694" s="14"/>
      <c r="V694" s="14"/>
      <c r="W694" s="14"/>
      <c r="X694" s="14"/>
      <c r="Y694" s="15"/>
      <c r="Z694" s="14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4"/>
      <c r="U695" s="14"/>
      <c r="V695" s="14"/>
      <c r="W695" s="14"/>
      <c r="X695" s="14"/>
      <c r="Y695" s="15"/>
      <c r="Z695" s="14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4"/>
      <c r="U696" s="14"/>
      <c r="V696" s="14"/>
      <c r="W696" s="14"/>
      <c r="X696" s="14"/>
      <c r="Y696" s="15"/>
      <c r="Z696" s="14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4"/>
      <c r="U697" s="14"/>
      <c r="V697" s="14"/>
      <c r="W697" s="14"/>
      <c r="X697" s="14"/>
      <c r="Y697" s="15"/>
      <c r="Z697" s="14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4"/>
      <c r="U698" s="14"/>
      <c r="V698" s="14"/>
      <c r="W698" s="14"/>
      <c r="X698" s="14"/>
      <c r="Y698" s="15"/>
      <c r="Z698" s="14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4"/>
      <c r="U699" s="14"/>
      <c r="V699" s="14"/>
      <c r="W699" s="14"/>
      <c r="X699" s="14"/>
      <c r="Y699" s="15"/>
      <c r="Z699" s="14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4"/>
      <c r="U700" s="14"/>
      <c r="V700" s="14"/>
      <c r="W700" s="14"/>
      <c r="X700" s="14"/>
      <c r="Y700" s="15"/>
      <c r="Z700" s="14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4"/>
      <c r="U701" s="14"/>
      <c r="V701" s="14"/>
      <c r="W701" s="14"/>
      <c r="X701" s="14"/>
      <c r="Y701" s="15"/>
      <c r="Z701" s="14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4"/>
      <c r="U702" s="14"/>
      <c r="V702" s="14"/>
      <c r="W702" s="14"/>
      <c r="X702" s="14"/>
      <c r="Y702" s="15"/>
      <c r="Z702" s="14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4"/>
      <c r="U703" s="14"/>
      <c r="V703" s="14"/>
      <c r="W703" s="14"/>
      <c r="X703" s="14"/>
      <c r="Y703" s="15"/>
      <c r="Z703" s="14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4"/>
      <c r="U704" s="14"/>
      <c r="V704" s="14"/>
      <c r="W704" s="14"/>
      <c r="X704" s="14"/>
      <c r="Y704" s="15"/>
      <c r="Z704" s="14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4"/>
      <c r="U705" s="14"/>
      <c r="V705" s="14"/>
      <c r="W705" s="14"/>
      <c r="X705" s="14"/>
      <c r="Y705" s="15"/>
      <c r="Z705" s="14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4"/>
      <c r="U706" s="14"/>
      <c r="V706" s="14"/>
      <c r="W706" s="14"/>
      <c r="X706" s="14"/>
      <c r="Y706" s="15"/>
      <c r="Z706" s="14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4"/>
      <c r="U707" s="14"/>
      <c r="V707" s="14"/>
      <c r="W707" s="14"/>
      <c r="X707" s="14"/>
      <c r="Y707" s="15"/>
      <c r="Z707" s="14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4"/>
      <c r="U708" s="14"/>
      <c r="V708" s="14"/>
      <c r="W708" s="14"/>
      <c r="X708" s="14"/>
      <c r="Y708" s="15"/>
      <c r="Z708" s="14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4"/>
      <c r="U709" s="14"/>
      <c r="V709" s="14"/>
      <c r="W709" s="14"/>
      <c r="X709" s="14"/>
      <c r="Y709" s="15"/>
      <c r="Z709" s="14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4"/>
      <c r="U710" s="14"/>
      <c r="V710" s="14"/>
      <c r="W710" s="14"/>
      <c r="X710" s="14"/>
      <c r="Y710" s="15"/>
      <c r="Z710" s="14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4"/>
      <c r="U711" s="14"/>
      <c r="V711" s="14"/>
      <c r="W711" s="14"/>
      <c r="X711" s="14"/>
      <c r="Y711" s="15"/>
      <c r="Z711" s="14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4"/>
      <c r="U712" s="14"/>
      <c r="V712" s="14"/>
      <c r="W712" s="14"/>
      <c r="X712" s="14"/>
      <c r="Y712" s="15"/>
      <c r="Z712" s="14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4"/>
      <c r="U713" s="14"/>
      <c r="V713" s="14"/>
      <c r="W713" s="14"/>
      <c r="X713" s="14"/>
      <c r="Y713" s="15"/>
      <c r="Z713" s="14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4"/>
      <c r="U714" s="14"/>
      <c r="V714" s="14"/>
      <c r="W714" s="14"/>
      <c r="X714" s="14"/>
      <c r="Y714" s="15"/>
      <c r="Z714" s="14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4"/>
      <c r="U715" s="14"/>
      <c r="V715" s="14"/>
      <c r="W715" s="14"/>
      <c r="X715" s="14"/>
      <c r="Y715" s="15"/>
      <c r="Z715" s="14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4"/>
      <c r="U716" s="14"/>
      <c r="V716" s="14"/>
      <c r="W716" s="14"/>
      <c r="X716" s="14"/>
      <c r="Y716" s="15"/>
      <c r="Z716" s="14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4"/>
      <c r="U717" s="14"/>
      <c r="V717" s="14"/>
      <c r="W717" s="14"/>
      <c r="X717" s="14"/>
      <c r="Y717" s="15"/>
      <c r="Z717" s="14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4"/>
      <c r="U718" s="14"/>
      <c r="V718" s="14"/>
      <c r="W718" s="14"/>
      <c r="X718" s="14"/>
      <c r="Y718" s="15"/>
      <c r="Z718" s="14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4"/>
      <c r="U719" s="14"/>
      <c r="V719" s="14"/>
      <c r="W719" s="14"/>
      <c r="X719" s="14"/>
      <c r="Y719" s="15"/>
      <c r="Z719" s="14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4"/>
      <c r="U720" s="14"/>
      <c r="V720" s="14"/>
      <c r="W720" s="14"/>
      <c r="X720" s="14"/>
      <c r="Y720" s="15"/>
      <c r="Z720" s="14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4"/>
      <c r="U721" s="14"/>
      <c r="V721" s="14"/>
      <c r="W721" s="14"/>
      <c r="X721" s="14"/>
      <c r="Y721" s="15"/>
      <c r="Z721" s="14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4"/>
      <c r="U722" s="14"/>
      <c r="V722" s="14"/>
      <c r="W722" s="14"/>
      <c r="X722" s="14"/>
      <c r="Y722" s="15"/>
      <c r="Z722" s="14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4"/>
      <c r="U723" s="14"/>
      <c r="V723" s="14"/>
      <c r="W723" s="14"/>
      <c r="X723" s="14"/>
      <c r="Y723" s="15"/>
      <c r="Z723" s="14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4"/>
      <c r="U724" s="14"/>
      <c r="V724" s="14"/>
      <c r="W724" s="14"/>
      <c r="X724" s="14"/>
      <c r="Y724" s="15"/>
      <c r="Z724" s="14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4"/>
      <c r="U725" s="14"/>
      <c r="V725" s="14"/>
      <c r="W725" s="14"/>
      <c r="X725" s="14"/>
      <c r="Y725" s="15"/>
      <c r="Z725" s="14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4"/>
      <c r="U726" s="14"/>
      <c r="V726" s="14"/>
      <c r="W726" s="14"/>
      <c r="X726" s="14"/>
      <c r="Y726" s="15"/>
      <c r="Z726" s="14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4"/>
      <c r="U727" s="14"/>
      <c r="V727" s="14"/>
      <c r="W727" s="14"/>
      <c r="X727" s="14"/>
      <c r="Y727" s="15"/>
      <c r="Z727" s="14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4"/>
      <c r="U728" s="14"/>
      <c r="V728" s="14"/>
      <c r="W728" s="14"/>
      <c r="X728" s="14"/>
      <c r="Y728" s="15"/>
      <c r="Z728" s="14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4"/>
      <c r="U729" s="14"/>
      <c r="V729" s="14"/>
      <c r="W729" s="14"/>
      <c r="X729" s="14"/>
      <c r="Y729" s="15"/>
      <c r="Z729" s="14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4"/>
      <c r="U730" s="14"/>
      <c r="V730" s="14"/>
      <c r="W730" s="14"/>
      <c r="X730" s="14"/>
      <c r="Y730" s="15"/>
      <c r="Z730" s="14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4"/>
      <c r="U731" s="14"/>
      <c r="V731" s="14"/>
      <c r="W731" s="14"/>
      <c r="X731" s="14"/>
      <c r="Y731" s="15"/>
      <c r="Z731" s="14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4"/>
      <c r="U732" s="14"/>
      <c r="V732" s="14"/>
      <c r="W732" s="14"/>
      <c r="X732" s="14"/>
      <c r="Y732" s="15"/>
      <c r="Z732" s="14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4"/>
      <c r="U733" s="14"/>
      <c r="V733" s="14"/>
      <c r="W733" s="14"/>
      <c r="X733" s="14"/>
      <c r="Y733" s="15"/>
      <c r="Z733" s="14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4"/>
      <c r="U734" s="14"/>
      <c r="V734" s="14"/>
      <c r="W734" s="14"/>
      <c r="X734" s="14"/>
      <c r="Y734" s="15"/>
      <c r="Z734" s="14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4"/>
      <c r="U735" s="14"/>
      <c r="V735" s="14"/>
      <c r="W735" s="14"/>
      <c r="X735" s="14"/>
      <c r="Y735" s="15"/>
      <c r="Z735" s="14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4"/>
      <c r="U736" s="14"/>
      <c r="V736" s="14"/>
      <c r="W736" s="14"/>
      <c r="X736" s="14"/>
      <c r="Y736" s="15"/>
      <c r="Z736" s="14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4"/>
      <c r="U737" s="14"/>
      <c r="V737" s="14"/>
      <c r="W737" s="14"/>
      <c r="X737" s="14"/>
      <c r="Y737" s="15"/>
      <c r="Z737" s="14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4"/>
      <c r="U738" s="14"/>
      <c r="V738" s="14"/>
      <c r="W738" s="14"/>
      <c r="X738" s="14"/>
      <c r="Y738" s="15"/>
      <c r="Z738" s="14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4"/>
      <c r="U739" s="14"/>
      <c r="V739" s="14"/>
      <c r="W739" s="14"/>
      <c r="X739" s="14"/>
      <c r="Y739" s="15"/>
      <c r="Z739" s="14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4"/>
      <c r="U740" s="14"/>
      <c r="V740" s="14"/>
      <c r="W740" s="14"/>
      <c r="X740" s="14"/>
      <c r="Y740" s="15"/>
      <c r="Z740" s="14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4"/>
      <c r="U741" s="14"/>
      <c r="V741" s="14"/>
      <c r="W741" s="14"/>
      <c r="X741" s="14"/>
      <c r="Y741" s="15"/>
      <c r="Z741" s="14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4"/>
      <c r="U742" s="14"/>
      <c r="V742" s="14"/>
      <c r="W742" s="14"/>
      <c r="X742" s="14"/>
      <c r="Y742" s="15"/>
      <c r="Z742" s="14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4"/>
      <c r="U743" s="14"/>
      <c r="V743" s="14"/>
      <c r="W743" s="14"/>
      <c r="X743" s="14"/>
      <c r="Y743" s="15"/>
      <c r="Z743" s="14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4"/>
      <c r="U744" s="14"/>
      <c r="V744" s="14"/>
      <c r="W744" s="14"/>
      <c r="X744" s="14"/>
      <c r="Y744" s="15"/>
      <c r="Z744" s="14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4"/>
      <c r="U745" s="14"/>
      <c r="V745" s="14"/>
      <c r="W745" s="14"/>
      <c r="X745" s="14"/>
      <c r="Y745" s="15"/>
      <c r="Z745" s="14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4"/>
      <c r="U746" s="14"/>
      <c r="V746" s="14"/>
      <c r="W746" s="14"/>
      <c r="X746" s="14"/>
      <c r="Y746" s="15"/>
      <c r="Z746" s="14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4"/>
      <c r="U747" s="14"/>
      <c r="V747" s="14"/>
      <c r="W747" s="14"/>
      <c r="X747" s="14"/>
      <c r="Y747" s="15"/>
      <c r="Z747" s="14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4"/>
      <c r="U748" s="14"/>
      <c r="V748" s="14"/>
      <c r="W748" s="14"/>
      <c r="X748" s="14"/>
      <c r="Y748" s="15"/>
      <c r="Z748" s="14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4"/>
      <c r="U749" s="14"/>
      <c r="V749" s="14"/>
      <c r="W749" s="14"/>
      <c r="X749" s="14"/>
      <c r="Y749" s="15"/>
      <c r="Z749" s="14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4"/>
      <c r="U750" s="14"/>
      <c r="V750" s="14"/>
      <c r="W750" s="14"/>
      <c r="X750" s="14"/>
      <c r="Y750" s="15"/>
      <c r="Z750" s="14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4"/>
      <c r="U751" s="14"/>
      <c r="V751" s="14"/>
      <c r="W751" s="14"/>
      <c r="X751" s="14"/>
      <c r="Y751" s="15"/>
      <c r="Z751" s="14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4"/>
      <c r="U752" s="14"/>
      <c r="V752" s="14"/>
      <c r="W752" s="14"/>
      <c r="X752" s="14"/>
      <c r="Y752" s="15"/>
      <c r="Z752" s="14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4"/>
      <c r="U753" s="14"/>
      <c r="V753" s="14"/>
      <c r="W753" s="14"/>
      <c r="X753" s="14"/>
      <c r="Y753" s="15"/>
      <c r="Z753" s="14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4"/>
      <c r="U754" s="14"/>
      <c r="V754" s="14"/>
      <c r="W754" s="14"/>
      <c r="X754" s="14"/>
      <c r="Y754" s="15"/>
      <c r="Z754" s="14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4"/>
      <c r="U755" s="14"/>
      <c r="V755" s="14"/>
      <c r="W755" s="14"/>
      <c r="X755" s="14"/>
      <c r="Y755" s="15"/>
      <c r="Z755" s="14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4"/>
      <c r="U756" s="14"/>
      <c r="V756" s="14"/>
      <c r="W756" s="14"/>
      <c r="X756" s="14"/>
      <c r="Y756" s="15"/>
      <c r="Z756" s="14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4"/>
      <c r="U757" s="14"/>
      <c r="V757" s="14"/>
      <c r="W757" s="14"/>
      <c r="X757" s="14"/>
      <c r="Y757" s="15"/>
      <c r="Z757" s="14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4"/>
      <c r="U758" s="14"/>
      <c r="V758" s="14"/>
      <c r="W758" s="14"/>
      <c r="X758" s="14"/>
      <c r="Y758" s="15"/>
      <c r="Z758" s="14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4"/>
      <c r="U759" s="14"/>
      <c r="V759" s="14"/>
      <c r="W759" s="14"/>
      <c r="X759" s="14"/>
      <c r="Y759" s="15"/>
      <c r="Z759" s="14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4"/>
      <c r="U760" s="14"/>
      <c r="V760" s="14"/>
      <c r="W760" s="14"/>
      <c r="X760" s="14"/>
      <c r="Y760" s="15"/>
      <c r="Z760" s="14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4"/>
      <c r="U761" s="14"/>
      <c r="V761" s="14"/>
      <c r="W761" s="14"/>
      <c r="X761" s="14"/>
      <c r="Y761" s="15"/>
      <c r="Z761" s="14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4"/>
      <c r="U762" s="14"/>
      <c r="V762" s="14"/>
      <c r="W762" s="14"/>
      <c r="X762" s="14"/>
      <c r="Y762" s="15"/>
      <c r="Z762" s="14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4"/>
      <c r="U763" s="14"/>
      <c r="V763" s="14"/>
      <c r="W763" s="14"/>
      <c r="X763" s="14"/>
      <c r="Y763" s="15"/>
      <c r="Z763" s="14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4"/>
      <c r="U764" s="14"/>
      <c r="V764" s="14"/>
      <c r="W764" s="14"/>
      <c r="X764" s="14"/>
      <c r="Y764" s="15"/>
      <c r="Z764" s="14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4"/>
      <c r="U765" s="14"/>
      <c r="V765" s="14"/>
      <c r="W765" s="14"/>
      <c r="X765" s="14"/>
      <c r="Y765" s="15"/>
      <c r="Z765" s="14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4"/>
      <c r="U766" s="14"/>
      <c r="V766" s="14"/>
      <c r="W766" s="14"/>
      <c r="X766" s="14"/>
      <c r="Y766" s="15"/>
      <c r="Z766" s="14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4"/>
      <c r="U767" s="14"/>
      <c r="V767" s="14"/>
      <c r="W767" s="14"/>
      <c r="X767" s="14"/>
      <c r="Y767" s="15"/>
      <c r="Z767" s="14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4"/>
      <c r="U768" s="14"/>
      <c r="V768" s="14"/>
      <c r="W768" s="14"/>
      <c r="X768" s="14"/>
      <c r="Y768" s="15"/>
      <c r="Z768" s="14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4"/>
      <c r="U769" s="14"/>
      <c r="V769" s="14"/>
      <c r="W769" s="14"/>
      <c r="X769" s="14"/>
      <c r="Y769" s="15"/>
      <c r="Z769" s="14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4"/>
      <c r="U770" s="14"/>
      <c r="V770" s="14"/>
      <c r="W770" s="14"/>
      <c r="X770" s="14"/>
      <c r="Y770" s="15"/>
      <c r="Z770" s="14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4"/>
      <c r="U771" s="14"/>
      <c r="V771" s="14"/>
      <c r="W771" s="14"/>
      <c r="X771" s="14"/>
      <c r="Y771" s="15"/>
      <c r="Z771" s="14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4"/>
      <c r="U772" s="14"/>
      <c r="V772" s="14"/>
      <c r="W772" s="14"/>
      <c r="X772" s="14"/>
      <c r="Y772" s="15"/>
      <c r="Z772" s="14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4"/>
      <c r="U773" s="14"/>
      <c r="V773" s="14"/>
      <c r="W773" s="14"/>
      <c r="X773" s="14"/>
      <c r="Y773" s="15"/>
      <c r="Z773" s="14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4"/>
      <c r="U774" s="14"/>
      <c r="V774" s="14"/>
      <c r="W774" s="14"/>
      <c r="X774" s="14"/>
      <c r="Y774" s="15"/>
      <c r="Z774" s="14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4"/>
      <c r="U775" s="14"/>
      <c r="V775" s="14"/>
      <c r="W775" s="14"/>
      <c r="X775" s="14"/>
      <c r="Y775" s="15"/>
      <c r="Z775" s="14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4"/>
      <c r="U776" s="14"/>
      <c r="V776" s="14"/>
      <c r="W776" s="14"/>
      <c r="X776" s="14"/>
      <c r="Y776" s="15"/>
      <c r="Z776" s="14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4"/>
      <c r="U777" s="14"/>
      <c r="V777" s="14"/>
      <c r="W777" s="14"/>
      <c r="X777" s="14"/>
      <c r="Y777" s="15"/>
      <c r="Z777" s="14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4"/>
      <c r="U778" s="14"/>
      <c r="V778" s="14"/>
      <c r="W778" s="14"/>
      <c r="X778" s="14"/>
      <c r="Y778" s="15"/>
      <c r="Z778" s="14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4"/>
      <c r="U779" s="14"/>
      <c r="V779" s="14"/>
      <c r="W779" s="14"/>
      <c r="X779" s="14"/>
      <c r="Y779" s="15"/>
      <c r="Z779" s="14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4"/>
      <c r="U780" s="14"/>
      <c r="V780" s="14"/>
      <c r="W780" s="14"/>
      <c r="X780" s="14"/>
      <c r="Y780" s="15"/>
      <c r="Z780" s="14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4"/>
      <c r="U781" s="14"/>
      <c r="V781" s="14"/>
      <c r="W781" s="14"/>
      <c r="X781" s="14"/>
      <c r="Y781" s="15"/>
      <c r="Z781" s="14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4"/>
      <c r="U782" s="14"/>
      <c r="V782" s="14"/>
      <c r="W782" s="14"/>
      <c r="X782" s="14"/>
      <c r="Y782" s="15"/>
      <c r="Z782" s="14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4"/>
      <c r="U783" s="14"/>
      <c r="V783" s="14"/>
      <c r="W783" s="14"/>
      <c r="X783" s="14"/>
      <c r="Y783" s="15"/>
      <c r="Z783" s="14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4"/>
      <c r="U784" s="14"/>
      <c r="V784" s="14"/>
      <c r="W784" s="14"/>
      <c r="X784" s="14"/>
      <c r="Y784" s="15"/>
      <c r="Z784" s="14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4"/>
      <c r="U785" s="14"/>
      <c r="V785" s="14"/>
      <c r="W785" s="14"/>
      <c r="X785" s="14"/>
      <c r="Y785" s="15"/>
      <c r="Z785" s="14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4"/>
      <c r="U786" s="14"/>
      <c r="V786" s="14"/>
      <c r="W786" s="14"/>
      <c r="X786" s="14"/>
      <c r="Y786" s="15"/>
      <c r="Z786" s="14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4"/>
      <c r="U787" s="14"/>
      <c r="V787" s="14"/>
      <c r="W787" s="14"/>
      <c r="X787" s="14"/>
      <c r="Y787" s="15"/>
      <c r="Z787" s="14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4"/>
      <c r="U788" s="14"/>
      <c r="V788" s="14"/>
      <c r="W788" s="14"/>
      <c r="X788" s="14"/>
      <c r="Y788" s="15"/>
      <c r="Z788" s="14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4"/>
      <c r="U789" s="14"/>
      <c r="V789" s="14"/>
      <c r="W789" s="14"/>
      <c r="X789" s="14"/>
      <c r="Y789" s="15"/>
      <c r="Z789" s="14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4"/>
      <c r="U790" s="14"/>
      <c r="V790" s="14"/>
      <c r="W790" s="14"/>
      <c r="X790" s="14"/>
      <c r="Y790" s="15"/>
      <c r="Z790" s="14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4"/>
      <c r="U791" s="14"/>
      <c r="V791" s="14"/>
      <c r="W791" s="14"/>
      <c r="X791" s="14"/>
      <c r="Y791" s="15"/>
      <c r="Z791" s="14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4"/>
      <c r="U792" s="14"/>
      <c r="V792" s="14"/>
      <c r="W792" s="14"/>
      <c r="X792" s="14"/>
      <c r="Y792" s="15"/>
      <c r="Z792" s="14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4"/>
      <c r="U793" s="14"/>
      <c r="V793" s="14"/>
      <c r="W793" s="14"/>
      <c r="X793" s="14"/>
      <c r="Y793" s="15"/>
      <c r="Z793" s="14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4"/>
      <c r="U794" s="14"/>
      <c r="V794" s="14"/>
      <c r="W794" s="14"/>
      <c r="X794" s="14"/>
      <c r="Y794" s="15"/>
      <c r="Z794" s="14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4"/>
      <c r="U795" s="14"/>
      <c r="V795" s="14"/>
      <c r="W795" s="14"/>
      <c r="X795" s="14"/>
      <c r="Y795" s="15"/>
      <c r="Z795" s="14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4"/>
      <c r="U796" s="14"/>
      <c r="V796" s="14"/>
      <c r="W796" s="14"/>
      <c r="X796" s="14"/>
      <c r="Y796" s="15"/>
      <c r="Z796" s="14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4"/>
      <c r="U797" s="14"/>
      <c r="V797" s="14"/>
      <c r="W797" s="14"/>
      <c r="X797" s="14"/>
      <c r="Y797" s="15"/>
      <c r="Z797" s="14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4"/>
      <c r="U798" s="14"/>
      <c r="V798" s="14"/>
      <c r="W798" s="14"/>
      <c r="X798" s="14"/>
      <c r="Y798" s="15"/>
      <c r="Z798" s="14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4"/>
      <c r="U799" s="14"/>
      <c r="V799" s="14"/>
      <c r="W799" s="14"/>
      <c r="X799" s="14"/>
      <c r="Y799" s="15"/>
      <c r="Z799" s="14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4"/>
      <c r="U800" s="14"/>
      <c r="V800" s="14"/>
      <c r="W800" s="14"/>
      <c r="X800" s="14"/>
      <c r="Y800" s="15"/>
      <c r="Z800" s="14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4"/>
      <c r="U801" s="14"/>
      <c r="V801" s="14"/>
      <c r="W801" s="14"/>
      <c r="X801" s="14"/>
      <c r="Y801" s="15"/>
      <c r="Z801" s="14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4"/>
      <c r="U802" s="14"/>
      <c r="V802" s="14"/>
      <c r="W802" s="14"/>
      <c r="X802" s="14"/>
      <c r="Y802" s="15"/>
      <c r="Z802" s="14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4"/>
      <c r="U803" s="14"/>
      <c r="V803" s="14"/>
      <c r="W803" s="14"/>
      <c r="X803" s="14"/>
      <c r="Y803" s="15"/>
      <c r="Z803" s="14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4"/>
      <c r="U804" s="14"/>
      <c r="V804" s="14"/>
      <c r="W804" s="14"/>
      <c r="X804" s="14"/>
      <c r="Y804" s="15"/>
      <c r="Z804" s="14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4"/>
      <c r="U805" s="14"/>
      <c r="V805" s="14"/>
      <c r="W805" s="14"/>
      <c r="X805" s="14"/>
      <c r="Y805" s="15"/>
      <c r="Z805" s="14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4"/>
      <c r="U806" s="14"/>
      <c r="V806" s="14"/>
      <c r="W806" s="14"/>
      <c r="X806" s="14"/>
      <c r="Y806" s="15"/>
      <c r="Z806" s="14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4"/>
      <c r="U807" s="14"/>
      <c r="V807" s="14"/>
      <c r="W807" s="14"/>
      <c r="X807" s="14"/>
      <c r="Y807" s="15"/>
      <c r="Z807" s="14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4"/>
      <c r="U808" s="14"/>
      <c r="V808" s="14"/>
      <c r="W808" s="14"/>
      <c r="X808" s="14"/>
      <c r="Y808" s="15"/>
      <c r="Z808" s="14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4"/>
      <c r="U809" s="14"/>
      <c r="V809" s="14"/>
      <c r="W809" s="14"/>
      <c r="X809" s="14"/>
      <c r="Y809" s="15"/>
      <c r="Z809" s="14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4"/>
      <c r="U810" s="14"/>
      <c r="V810" s="14"/>
      <c r="W810" s="14"/>
      <c r="X810" s="14"/>
      <c r="Y810" s="15"/>
      <c r="Z810" s="14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4"/>
      <c r="U811" s="14"/>
      <c r="V811" s="14"/>
      <c r="W811" s="14"/>
      <c r="X811" s="14"/>
      <c r="Y811" s="15"/>
      <c r="Z811" s="14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4"/>
      <c r="U812" s="14"/>
      <c r="V812" s="14"/>
      <c r="W812" s="14"/>
      <c r="X812" s="14"/>
      <c r="Y812" s="15"/>
      <c r="Z812" s="14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4"/>
      <c r="U813" s="14"/>
      <c r="V813" s="14"/>
      <c r="W813" s="14"/>
      <c r="X813" s="14"/>
      <c r="Y813" s="15"/>
      <c r="Z813" s="14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4"/>
      <c r="U814" s="14"/>
      <c r="V814" s="14"/>
      <c r="W814" s="14"/>
      <c r="X814" s="14"/>
      <c r="Y814" s="15"/>
      <c r="Z814" s="14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4"/>
      <c r="U815" s="14"/>
      <c r="V815" s="14"/>
      <c r="W815" s="14"/>
      <c r="X815" s="14"/>
      <c r="Y815" s="15"/>
      <c r="Z815" s="14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4"/>
      <c r="U816" s="14"/>
      <c r="V816" s="14"/>
      <c r="W816" s="14"/>
      <c r="X816" s="14"/>
      <c r="Y816" s="15"/>
      <c r="Z816" s="14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4"/>
      <c r="U817" s="14"/>
      <c r="V817" s="14"/>
      <c r="W817" s="14"/>
      <c r="X817" s="14"/>
      <c r="Y817" s="15"/>
      <c r="Z817" s="14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4"/>
      <c r="U818" s="14"/>
      <c r="V818" s="14"/>
      <c r="W818" s="14"/>
      <c r="X818" s="14"/>
      <c r="Y818" s="15"/>
      <c r="Z818" s="14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4"/>
      <c r="U819" s="14"/>
      <c r="V819" s="14"/>
      <c r="W819" s="14"/>
      <c r="X819" s="14"/>
      <c r="Y819" s="15"/>
      <c r="Z819" s="14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4"/>
      <c r="U820" s="14"/>
      <c r="V820" s="14"/>
      <c r="W820" s="14"/>
      <c r="X820" s="14"/>
      <c r="Y820" s="15"/>
      <c r="Z820" s="14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4"/>
      <c r="U821" s="14"/>
      <c r="V821" s="14"/>
      <c r="W821" s="14"/>
      <c r="X821" s="14"/>
      <c r="Y821" s="15"/>
      <c r="Z821" s="14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4"/>
      <c r="U822" s="14"/>
      <c r="V822" s="14"/>
      <c r="W822" s="14"/>
      <c r="X822" s="14"/>
      <c r="Y822" s="15"/>
      <c r="Z822" s="14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4"/>
      <c r="U823" s="14"/>
      <c r="V823" s="14"/>
      <c r="W823" s="14"/>
      <c r="X823" s="14"/>
      <c r="Y823" s="15"/>
      <c r="Z823" s="14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4"/>
      <c r="U824" s="14"/>
      <c r="V824" s="14"/>
      <c r="W824" s="14"/>
      <c r="X824" s="14"/>
      <c r="Y824" s="15"/>
      <c r="Z824" s="14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4"/>
      <c r="U825" s="14"/>
      <c r="V825" s="14"/>
      <c r="W825" s="14"/>
      <c r="X825" s="14"/>
      <c r="Y825" s="15"/>
      <c r="Z825" s="14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4"/>
      <c r="U826" s="14"/>
      <c r="V826" s="14"/>
      <c r="W826" s="14"/>
      <c r="X826" s="14"/>
      <c r="Y826" s="15"/>
      <c r="Z826" s="14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4"/>
      <c r="U827" s="14"/>
      <c r="V827" s="14"/>
      <c r="W827" s="14"/>
      <c r="X827" s="14"/>
      <c r="Y827" s="15"/>
      <c r="Z827" s="14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4"/>
      <c r="U828" s="14"/>
      <c r="V828" s="14"/>
      <c r="W828" s="14"/>
      <c r="X828" s="14"/>
      <c r="Y828" s="15"/>
      <c r="Z828" s="14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4"/>
      <c r="U829" s="14"/>
      <c r="V829" s="14"/>
      <c r="W829" s="14"/>
      <c r="X829" s="14"/>
      <c r="Y829" s="15"/>
      <c r="Z829" s="14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4"/>
      <c r="U830" s="14"/>
      <c r="V830" s="14"/>
      <c r="W830" s="14"/>
      <c r="X830" s="14"/>
      <c r="Y830" s="15"/>
      <c r="Z830" s="14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4"/>
      <c r="U831" s="14"/>
      <c r="V831" s="14"/>
      <c r="W831" s="14"/>
      <c r="X831" s="14"/>
      <c r="Y831" s="15"/>
      <c r="Z831" s="14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4"/>
      <c r="U832" s="14"/>
      <c r="V832" s="14"/>
      <c r="W832" s="14"/>
      <c r="X832" s="14"/>
      <c r="Y832" s="15"/>
      <c r="Z832" s="14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4"/>
      <c r="U833" s="14"/>
      <c r="V833" s="14"/>
      <c r="W833" s="14"/>
      <c r="X833" s="14"/>
      <c r="Y833" s="15"/>
      <c r="Z833" s="14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4"/>
      <c r="U834" s="14"/>
      <c r="V834" s="14"/>
      <c r="W834" s="14"/>
      <c r="X834" s="14"/>
      <c r="Y834" s="15"/>
      <c r="Z834" s="14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4"/>
      <c r="U835" s="14"/>
      <c r="V835" s="14"/>
      <c r="W835" s="14"/>
      <c r="X835" s="14"/>
      <c r="Y835" s="15"/>
      <c r="Z835" s="14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4"/>
      <c r="U836" s="14"/>
      <c r="V836" s="14"/>
      <c r="W836" s="14"/>
      <c r="X836" s="14"/>
      <c r="Y836" s="15"/>
      <c r="Z836" s="14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4"/>
      <c r="U837" s="14"/>
      <c r="V837" s="14"/>
      <c r="W837" s="14"/>
      <c r="X837" s="14"/>
      <c r="Y837" s="15"/>
      <c r="Z837" s="14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4"/>
      <c r="U838" s="14"/>
      <c r="V838" s="14"/>
      <c r="W838" s="14"/>
      <c r="X838" s="14"/>
      <c r="Y838" s="15"/>
      <c r="Z838" s="14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4"/>
      <c r="U839" s="14"/>
      <c r="V839" s="14"/>
      <c r="W839" s="14"/>
      <c r="X839" s="14"/>
      <c r="Y839" s="15"/>
      <c r="Z839" s="14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4"/>
      <c r="U840" s="14"/>
      <c r="V840" s="14"/>
      <c r="W840" s="14"/>
      <c r="X840" s="14"/>
      <c r="Y840" s="15"/>
      <c r="Z840" s="14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4"/>
      <c r="U841" s="14"/>
      <c r="V841" s="14"/>
      <c r="W841" s="14"/>
      <c r="X841" s="14"/>
      <c r="Y841" s="15"/>
      <c r="Z841" s="14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4"/>
      <c r="U842" s="14"/>
      <c r="V842" s="14"/>
      <c r="W842" s="14"/>
      <c r="X842" s="14"/>
      <c r="Y842" s="15"/>
      <c r="Z842" s="14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4"/>
      <c r="U843" s="14"/>
      <c r="V843" s="14"/>
      <c r="W843" s="14"/>
      <c r="X843" s="14"/>
      <c r="Y843" s="15"/>
      <c r="Z843" s="14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4"/>
      <c r="U844" s="14"/>
      <c r="V844" s="14"/>
      <c r="W844" s="14"/>
      <c r="X844" s="14"/>
      <c r="Y844" s="15"/>
      <c r="Z844" s="14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4"/>
      <c r="U845" s="14"/>
      <c r="V845" s="14"/>
      <c r="W845" s="14"/>
      <c r="X845" s="14"/>
      <c r="Y845" s="15"/>
      <c r="Z845" s="14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4"/>
      <c r="U846" s="14"/>
      <c r="V846" s="14"/>
      <c r="W846" s="14"/>
      <c r="X846" s="14"/>
      <c r="Y846" s="15"/>
      <c r="Z846" s="14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4"/>
      <c r="U847" s="14"/>
      <c r="V847" s="14"/>
      <c r="W847" s="14"/>
      <c r="X847" s="14"/>
      <c r="Y847" s="15"/>
      <c r="Z847" s="14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4"/>
      <c r="U848" s="14"/>
      <c r="V848" s="14"/>
      <c r="W848" s="14"/>
      <c r="X848" s="14"/>
      <c r="Y848" s="15"/>
      <c r="Z848" s="14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4"/>
      <c r="U849" s="14"/>
      <c r="V849" s="14"/>
      <c r="W849" s="14"/>
      <c r="X849" s="14"/>
      <c r="Y849" s="15"/>
      <c r="Z849" s="14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4"/>
      <c r="U850" s="14"/>
      <c r="V850" s="14"/>
      <c r="W850" s="14"/>
      <c r="X850" s="14"/>
      <c r="Y850" s="15"/>
      <c r="Z850" s="14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4"/>
      <c r="U851" s="14"/>
      <c r="V851" s="14"/>
      <c r="W851" s="14"/>
      <c r="X851" s="14"/>
      <c r="Y851" s="15"/>
      <c r="Z851" s="14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4"/>
      <c r="U852" s="14"/>
      <c r="V852" s="14"/>
      <c r="W852" s="14"/>
      <c r="X852" s="14"/>
      <c r="Y852" s="15"/>
      <c r="Z852" s="14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4"/>
      <c r="U853" s="14"/>
      <c r="V853" s="14"/>
      <c r="W853" s="14"/>
      <c r="X853" s="14"/>
      <c r="Y853" s="15"/>
      <c r="Z853" s="14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4"/>
      <c r="U854" s="14"/>
      <c r="V854" s="14"/>
      <c r="W854" s="14"/>
      <c r="X854" s="14"/>
      <c r="Y854" s="15"/>
      <c r="Z854" s="14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4"/>
      <c r="U855" s="14"/>
      <c r="V855" s="14"/>
      <c r="W855" s="14"/>
      <c r="X855" s="14"/>
      <c r="Y855" s="15"/>
      <c r="Z855" s="14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4"/>
      <c r="U856" s="14"/>
      <c r="V856" s="14"/>
      <c r="W856" s="14"/>
      <c r="X856" s="14"/>
      <c r="Y856" s="15"/>
      <c r="Z856" s="14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4"/>
      <c r="U857" s="14"/>
      <c r="V857" s="14"/>
      <c r="W857" s="14"/>
      <c r="X857" s="14"/>
      <c r="Y857" s="15"/>
      <c r="Z857" s="14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4"/>
      <c r="U858" s="14"/>
      <c r="V858" s="14"/>
      <c r="W858" s="14"/>
      <c r="X858" s="14"/>
      <c r="Y858" s="15"/>
      <c r="Z858" s="14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4"/>
      <c r="U859" s="14"/>
      <c r="V859" s="14"/>
      <c r="W859" s="14"/>
      <c r="X859" s="14"/>
      <c r="Y859" s="15"/>
      <c r="Z859" s="14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4"/>
      <c r="U860" s="14"/>
      <c r="V860" s="14"/>
      <c r="W860" s="14"/>
      <c r="X860" s="14"/>
      <c r="Y860" s="15"/>
      <c r="Z860" s="14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4"/>
      <c r="U861" s="14"/>
      <c r="V861" s="14"/>
      <c r="W861" s="14"/>
      <c r="X861" s="14"/>
      <c r="Y861" s="15"/>
      <c r="Z861" s="14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4"/>
      <c r="U862" s="14"/>
      <c r="V862" s="14"/>
      <c r="W862" s="14"/>
      <c r="X862" s="14"/>
      <c r="Y862" s="15"/>
      <c r="Z862" s="14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4"/>
      <c r="U863" s="14"/>
      <c r="V863" s="14"/>
      <c r="W863" s="14"/>
      <c r="X863" s="14"/>
      <c r="Y863" s="15"/>
      <c r="Z863" s="14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4"/>
      <c r="U864" s="14"/>
      <c r="V864" s="14"/>
      <c r="W864" s="14"/>
      <c r="X864" s="14"/>
      <c r="Y864" s="15"/>
      <c r="Z864" s="14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4"/>
      <c r="U865" s="14"/>
      <c r="V865" s="14"/>
      <c r="W865" s="14"/>
      <c r="X865" s="14"/>
      <c r="Y865" s="15"/>
      <c r="Z865" s="14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4"/>
      <c r="U866" s="14"/>
      <c r="V866" s="14"/>
      <c r="W866" s="14"/>
      <c r="X866" s="14"/>
      <c r="Y866" s="15"/>
      <c r="Z866" s="14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4"/>
      <c r="U867" s="14"/>
      <c r="V867" s="14"/>
      <c r="W867" s="14"/>
      <c r="X867" s="14"/>
      <c r="Y867" s="15"/>
      <c r="Z867" s="14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4"/>
      <c r="U868" s="14"/>
      <c r="V868" s="14"/>
      <c r="W868" s="14"/>
      <c r="X868" s="14"/>
      <c r="Y868" s="15"/>
      <c r="Z868" s="14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4"/>
      <c r="U869" s="14"/>
      <c r="V869" s="14"/>
      <c r="W869" s="14"/>
      <c r="X869" s="14"/>
      <c r="Y869" s="15"/>
      <c r="Z869" s="14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4"/>
      <c r="U870" s="14"/>
      <c r="V870" s="14"/>
      <c r="W870" s="14"/>
      <c r="X870" s="14"/>
      <c r="Y870" s="15"/>
      <c r="Z870" s="14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4"/>
      <c r="U871" s="14"/>
      <c r="V871" s="14"/>
      <c r="W871" s="14"/>
      <c r="X871" s="14"/>
      <c r="Y871" s="15"/>
      <c r="Z871" s="14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4"/>
      <c r="U872" s="14"/>
      <c r="V872" s="14"/>
      <c r="W872" s="14"/>
      <c r="X872" s="14"/>
      <c r="Y872" s="15"/>
      <c r="Z872" s="14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4"/>
      <c r="U873" s="14"/>
      <c r="V873" s="14"/>
      <c r="W873" s="14"/>
      <c r="X873" s="14"/>
      <c r="Y873" s="15"/>
      <c r="Z873" s="14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4"/>
      <c r="U874" s="14"/>
      <c r="V874" s="14"/>
      <c r="W874" s="14"/>
      <c r="X874" s="14"/>
      <c r="Y874" s="15"/>
      <c r="Z874" s="14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4"/>
      <c r="U875" s="14"/>
      <c r="V875" s="14"/>
      <c r="W875" s="14"/>
      <c r="X875" s="14"/>
      <c r="Y875" s="15"/>
      <c r="Z875" s="14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4"/>
      <c r="U876" s="14"/>
      <c r="V876" s="14"/>
      <c r="W876" s="14"/>
      <c r="X876" s="14"/>
      <c r="Y876" s="15"/>
      <c r="Z876" s="14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4"/>
      <c r="U877" s="14"/>
      <c r="V877" s="14"/>
      <c r="W877" s="14"/>
      <c r="X877" s="14"/>
      <c r="Y877" s="15"/>
      <c r="Z877" s="14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4"/>
      <c r="U878" s="14"/>
      <c r="V878" s="14"/>
      <c r="W878" s="14"/>
      <c r="X878" s="14"/>
      <c r="Y878" s="15"/>
      <c r="Z878" s="14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4"/>
      <c r="U879" s="14"/>
      <c r="V879" s="14"/>
      <c r="W879" s="14"/>
      <c r="X879" s="14"/>
      <c r="Y879" s="15"/>
      <c r="Z879" s="14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4"/>
      <c r="U880" s="14"/>
      <c r="V880" s="14"/>
      <c r="W880" s="14"/>
      <c r="X880" s="14"/>
      <c r="Y880" s="15"/>
      <c r="Z880" s="14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4"/>
      <c r="U881" s="14"/>
      <c r="V881" s="14"/>
      <c r="W881" s="14"/>
      <c r="X881" s="14"/>
      <c r="Y881" s="15"/>
      <c r="Z881" s="14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4"/>
      <c r="U882" s="14"/>
      <c r="V882" s="14"/>
      <c r="W882" s="14"/>
      <c r="X882" s="14"/>
      <c r="Y882" s="15"/>
      <c r="Z882" s="14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4"/>
      <c r="U883" s="14"/>
      <c r="V883" s="14"/>
      <c r="W883" s="14"/>
      <c r="X883" s="14"/>
      <c r="Y883" s="15"/>
      <c r="Z883" s="14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4"/>
      <c r="U884" s="14"/>
      <c r="V884" s="14"/>
      <c r="W884" s="14"/>
      <c r="X884" s="14"/>
      <c r="Y884" s="15"/>
      <c r="Z884" s="14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4"/>
      <c r="U885" s="14"/>
      <c r="V885" s="14"/>
      <c r="W885" s="14"/>
      <c r="X885" s="14"/>
      <c r="Y885" s="15"/>
      <c r="Z885" s="14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4"/>
      <c r="U886" s="14"/>
      <c r="V886" s="14"/>
      <c r="W886" s="14"/>
      <c r="X886" s="14"/>
      <c r="Y886" s="15"/>
      <c r="Z886" s="14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4"/>
      <c r="U887" s="14"/>
      <c r="V887" s="14"/>
      <c r="W887" s="14"/>
      <c r="X887" s="14"/>
      <c r="Y887" s="15"/>
      <c r="Z887" s="14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4"/>
      <c r="U888" s="14"/>
      <c r="V888" s="14"/>
      <c r="W888" s="14"/>
      <c r="X888" s="14"/>
      <c r="Y888" s="15"/>
      <c r="Z888" s="14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4"/>
      <c r="U889" s="14"/>
      <c r="V889" s="14"/>
      <c r="W889" s="14"/>
      <c r="X889" s="14"/>
      <c r="Y889" s="15"/>
      <c r="Z889" s="14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4"/>
      <c r="U890" s="14"/>
      <c r="V890" s="14"/>
      <c r="W890" s="14"/>
      <c r="X890" s="14"/>
      <c r="Y890" s="15"/>
      <c r="Z890" s="14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4"/>
      <c r="U891" s="14"/>
      <c r="V891" s="14"/>
      <c r="W891" s="14"/>
      <c r="X891" s="14"/>
      <c r="Y891" s="15"/>
      <c r="Z891" s="14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4"/>
      <c r="U892" s="14"/>
      <c r="V892" s="14"/>
      <c r="W892" s="14"/>
      <c r="X892" s="14"/>
      <c r="Y892" s="15"/>
      <c r="Z892" s="14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4"/>
      <c r="U893" s="14"/>
      <c r="V893" s="14"/>
      <c r="W893" s="14"/>
      <c r="X893" s="14"/>
      <c r="Y893" s="15"/>
      <c r="Z893" s="14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4"/>
      <c r="U894" s="14"/>
      <c r="V894" s="14"/>
      <c r="W894" s="14"/>
      <c r="X894" s="14"/>
      <c r="Y894" s="15"/>
      <c r="Z894" s="14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4"/>
      <c r="U895" s="14"/>
      <c r="V895" s="14"/>
      <c r="W895" s="14"/>
      <c r="X895" s="14"/>
      <c r="Y895" s="15"/>
      <c r="Z895" s="14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4"/>
      <c r="U896" s="14"/>
      <c r="V896" s="14"/>
      <c r="W896" s="14"/>
      <c r="X896" s="14"/>
      <c r="Y896" s="15"/>
      <c r="Z896" s="14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4"/>
      <c r="U897" s="14"/>
      <c r="V897" s="14"/>
      <c r="W897" s="14"/>
      <c r="X897" s="14"/>
      <c r="Y897" s="15"/>
      <c r="Z897" s="14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4"/>
      <c r="U898" s="14"/>
      <c r="V898" s="14"/>
      <c r="W898" s="14"/>
      <c r="X898" s="14"/>
      <c r="Y898" s="15"/>
      <c r="Z898" s="14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4"/>
      <c r="U899" s="14"/>
      <c r="V899" s="14"/>
      <c r="W899" s="14"/>
      <c r="X899" s="14"/>
      <c r="Y899" s="15"/>
      <c r="Z899" s="14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4"/>
      <c r="U900" s="14"/>
      <c r="V900" s="14"/>
      <c r="W900" s="14"/>
      <c r="X900" s="14"/>
      <c r="Y900" s="15"/>
      <c r="Z900" s="14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4"/>
      <c r="U901" s="14"/>
      <c r="V901" s="14"/>
      <c r="W901" s="14"/>
      <c r="X901" s="14"/>
      <c r="Y901" s="15"/>
      <c r="Z901" s="14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4"/>
      <c r="U902" s="14"/>
      <c r="V902" s="14"/>
      <c r="W902" s="14"/>
      <c r="X902" s="14"/>
      <c r="Y902" s="15"/>
      <c r="Z902" s="14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4"/>
      <c r="U903" s="14"/>
      <c r="V903" s="14"/>
      <c r="W903" s="14"/>
      <c r="X903" s="14"/>
      <c r="Y903" s="15"/>
      <c r="Z903" s="14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4"/>
      <c r="U904" s="14"/>
      <c r="V904" s="14"/>
      <c r="W904" s="14"/>
      <c r="X904" s="14"/>
      <c r="Y904" s="15"/>
      <c r="Z904" s="14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4"/>
      <c r="U905" s="14"/>
      <c r="V905" s="14"/>
      <c r="W905" s="14"/>
      <c r="X905" s="14"/>
      <c r="Y905" s="15"/>
      <c r="Z905" s="14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4"/>
      <c r="U906" s="14"/>
      <c r="V906" s="14"/>
      <c r="W906" s="14"/>
      <c r="X906" s="14"/>
      <c r="Y906" s="15"/>
      <c r="Z906" s="14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4"/>
      <c r="U907" s="14"/>
      <c r="V907" s="14"/>
      <c r="W907" s="14"/>
      <c r="X907" s="14"/>
      <c r="Y907" s="15"/>
      <c r="Z907" s="14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4"/>
      <c r="U908" s="14"/>
      <c r="V908" s="14"/>
      <c r="W908" s="14"/>
      <c r="X908" s="14"/>
      <c r="Y908" s="15"/>
      <c r="Z908" s="14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4"/>
      <c r="U909" s="14"/>
      <c r="V909" s="14"/>
      <c r="W909" s="14"/>
      <c r="X909" s="14"/>
      <c r="Y909" s="15"/>
      <c r="Z909" s="14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4"/>
      <c r="U910" s="14"/>
      <c r="V910" s="14"/>
      <c r="W910" s="14"/>
      <c r="X910" s="14"/>
      <c r="Y910" s="15"/>
      <c r="Z910" s="14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4"/>
      <c r="U911" s="14"/>
      <c r="V911" s="14"/>
      <c r="W911" s="14"/>
      <c r="X911" s="14"/>
      <c r="Y911" s="15"/>
      <c r="Z911" s="14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4"/>
      <c r="U912" s="14"/>
      <c r="V912" s="14"/>
      <c r="W912" s="14"/>
      <c r="X912" s="14"/>
      <c r="Y912" s="15"/>
      <c r="Z912" s="14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4"/>
      <c r="U913" s="14"/>
      <c r="V913" s="14"/>
      <c r="W913" s="14"/>
      <c r="X913" s="14"/>
      <c r="Y913" s="15"/>
      <c r="Z913" s="14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4"/>
      <c r="U914" s="14"/>
      <c r="V914" s="14"/>
      <c r="W914" s="14"/>
      <c r="X914" s="14"/>
      <c r="Y914" s="15"/>
      <c r="Z914" s="14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4"/>
      <c r="U915" s="14"/>
      <c r="V915" s="14"/>
      <c r="W915" s="14"/>
      <c r="X915" s="14"/>
      <c r="Y915" s="15"/>
      <c r="Z915" s="14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4"/>
      <c r="U916" s="14"/>
      <c r="V916" s="14"/>
      <c r="W916" s="14"/>
      <c r="X916" s="14"/>
      <c r="Y916" s="15"/>
      <c r="Z916" s="14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4"/>
      <c r="U917" s="14"/>
      <c r="V917" s="14"/>
      <c r="W917" s="14"/>
      <c r="X917" s="14"/>
      <c r="Y917" s="15"/>
      <c r="Z917" s="14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4"/>
      <c r="U918" s="14"/>
      <c r="V918" s="14"/>
      <c r="W918" s="14"/>
      <c r="X918" s="14"/>
      <c r="Y918" s="15"/>
      <c r="Z918" s="14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4"/>
      <c r="U919" s="14"/>
      <c r="V919" s="14"/>
      <c r="W919" s="14"/>
      <c r="X919" s="14"/>
      <c r="Y919" s="15"/>
      <c r="Z919" s="14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4"/>
      <c r="U920" s="14"/>
      <c r="V920" s="14"/>
      <c r="W920" s="14"/>
      <c r="X920" s="14"/>
      <c r="Y920" s="15"/>
      <c r="Z920" s="14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4"/>
      <c r="U921" s="14"/>
      <c r="V921" s="14"/>
      <c r="W921" s="14"/>
      <c r="X921" s="14"/>
      <c r="Y921" s="15"/>
      <c r="Z921" s="14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4"/>
      <c r="U922" s="14"/>
      <c r="V922" s="14"/>
      <c r="W922" s="14"/>
      <c r="X922" s="14"/>
      <c r="Y922" s="15"/>
      <c r="Z922" s="14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4"/>
      <c r="U923" s="14"/>
      <c r="V923" s="14"/>
      <c r="W923" s="14"/>
      <c r="X923" s="14"/>
      <c r="Y923" s="15"/>
      <c r="Z923" s="14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4"/>
      <c r="U924" s="14"/>
      <c r="V924" s="14"/>
      <c r="W924" s="14"/>
      <c r="X924" s="14"/>
      <c r="Y924" s="15"/>
      <c r="Z924" s="14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4"/>
      <c r="U925" s="14"/>
      <c r="V925" s="14"/>
      <c r="W925" s="14"/>
      <c r="X925" s="14"/>
      <c r="Y925" s="15"/>
      <c r="Z925" s="14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4"/>
      <c r="U926" s="14"/>
      <c r="V926" s="14"/>
      <c r="W926" s="14"/>
      <c r="X926" s="14"/>
      <c r="Y926" s="15"/>
      <c r="Z926" s="14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4"/>
      <c r="U927" s="14"/>
      <c r="V927" s="14"/>
      <c r="W927" s="14"/>
      <c r="X927" s="14"/>
      <c r="Y927" s="15"/>
      <c r="Z927" s="14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4"/>
      <c r="U928" s="14"/>
      <c r="V928" s="14"/>
      <c r="W928" s="14"/>
      <c r="X928" s="14"/>
      <c r="Y928" s="15"/>
      <c r="Z928" s="14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4"/>
      <c r="U929" s="14"/>
      <c r="V929" s="14"/>
      <c r="W929" s="14"/>
      <c r="X929" s="14"/>
      <c r="Y929" s="15"/>
      <c r="Z929" s="14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4"/>
      <c r="U930" s="14"/>
      <c r="V930" s="14"/>
      <c r="W930" s="14"/>
      <c r="X930" s="14"/>
      <c r="Y930" s="15"/>
      <c r="Z930" s="14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4"/>
      <c r="U931" s="14"/>
      <c r="V931" s="14"/>
      <c r="W931" s="14"/>
      <c r="X931" s="14"/>
      <c r="Y931" s="15"/>
      <c r="Z931" s="14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4"/>
      <c r="U932" s="14"/>
      <c r="V932" s="14"/>
      <c r="W932" s="14"/>
      <c r="X932" s="14"/>
      <c r="Y932" s="15"/>
      <c r="Z932" s="14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4"/>
      <c r="U933" s="14"/>
      <c r="V933" s="14"/>
      <c r="W933" s="14"/>
      <c r="X933" s="14"/>
      <c r="Y933" s="15"/>
      <c r="Z933" s="14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4"/>
      <c r="U934" s="14"/>
      <c r="V934" s="14"/>
      <c r="W934" s="14"/>
      <c r="X934" s="14"/>
      <c r="Y934" s="15"/>
      <c r="Z934" s="14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4"/>
      <c r="U935" s="14"/>
      <c r="V935" s="14"/>
      <c r="W935" s="14"/>
      <c r="X935" s="14"/>
      <c r="Y935" s="15"/>
      <c r="Z935" s="14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4"/>
      <c r="U936" s="14"/>
      <c r="V936" s="14"/>
      <c r="W936" s="14"/>
      <c r="X936" s="14"/>
      <c r="Y936" s="15"/>
      <c r="Z936" s="14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4"/>
      <c r="U937" s="14"/>
      <c r="V937" s="14"/>
      <c r="W937" s="14"/>
      <c r="X937" s="14"/>
      <c r="Y937" s="15"/>
      <c r="Z937" s="14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4"/>
      <c r="U938" s="14"/>
      <c r="V938" s="14"/>
      <c r="W938" s="14"/>
      <c r="X938" s="14"/>
      <c r="Y938" s="15"/>
      <c r="Z938" s="14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4"/>
      <c r="U939" s="14"/>
      <c r="V939" s="14"/>
      <c r="W939" s="14"/>
      <c r="X939" s="14"/>
      <c r="Y939" s="15"/>
      <c r="Z939" s="14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4"/>
      <c r="U940" s="14"/>
      <c r="V940" s="14"/>
      <c r="W940" s="14"/>
      <c r="X940" s="14"/>
      <c r="Y940" s="15"/>
      <c r="Z940" s="14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4"/>
      <c r="U941" s="14"/>
      <c r="V941" s="14"/>
      <c r="W941" s="14"/>
      <c r="X941" s="14"/>
      <c r="Y941" s="15"/>
      <c r="Z941" s="14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4"/>
      <c r="U942" s="14"/>
      <c r="V942" s="14"/>
      <c r="W942" s="14"/>
      <c r="X942" s="14"/>
      <c r="Y942" s="15"/>
      <c r="Z942" s="14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4"/>
      <c r="U943" s="14"/>
      <c r="V943" s="14"/>
      <c r="W943" s="14"/>
      <c r="X943" s="14"/>
      <c r="Y943" s="15"/>
      <c r="Z943" s="14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4"/>
      <c r="U944" s="14"/>
      <c r="V944" s="14"/>
      <c r="W944" s="14"/>
      <c r="X944" s="14"/>
      <c r="Y944" s="15"/>
      <c r="Z944" s="14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4"/>
      <c r="U945" s="14"/>
      <c r="V945" s="14"/>
      <c r="W945" s="14"/>
      <c r="X945" s="14"/>
      <c r="Y945" s="15"/>
      <c r="Z945" s="14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4"/>
      <c r="U946" s="14"/>
      <c r="V946" s="14"/>
      <c r="W946" s="14"/>
      <c r="X946" s="14"/>
      <c r="Y946" s="15"/>
      <c r="Z946" s="14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4"/>
      <c r="U947" s="14"/>
      <c r="V947" s="14"/>
      <c r="W947" s="14"/>
      <c r="X947" s="14"/>
      <c r="Y947" s="15"/>
      <c r="Z947" s="14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4"/>
      <c r="U948" s="14"/>
      <c r="V948" s="14"/>
      <c r="W948" s="14"/>
      <c r="X948" s="14"/>
      <c r="Y948" s="15"/>
      <c r="Z948" s="14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4"/>
      <c r="U949" s="14"/>
      <c r="V949" s="14"/>
      <c r="W949" s="14"/>
      <c r="X949" s="14"/>
      <c r="Y949" s="15"/>
      <c r="Z949" s="14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4"/>
      <c r="U950" s="14"/>
      <c r="V950" s="14"/>
      <c r="W950" s="14"/>
      <c r="X950" s="14"/>
      <c r="Y950" s="15"/>
      <c r="Z950" s="14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4"/>
      <c r="U951" s="14"/>
      <c r="V951" s="14"/>
      <c r="W951" s="14"/>
      <c r="X951" s="14"/>
      <c r="Y951" s="15"/>
      <c r="Z951" s="14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4"/>
      <c r="U952" s="14"/>
      <c r="V952" s="14"/>
      <c r="W952" s="14"/>
      <c r="X952" s="14"/>
      <c r="Y952" s="15"/>
      <c r="Z952" s="14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4"/>
      <c r="U953" s="14"/>
      <c r="V953" s="14"/>
      <c r="W953" s="14"/>
      <c r="X953" s="14"/>
      <c r="Y953" s="15"/>
      <c r="Z953" s="14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4"/>
      <c r="U954" s="14"/>
      <c r="V954" s="14"/>
      <c r="W954" s="14"/>
      <c r="X954" s="14"/>
      <c r="Y954" s="15"/>
      <c r="Z954" s="14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4"/>
      <c r="U955" s="14"/>
      <c r="V955" s="14"/>
      <c r="W955" s="14"/>
      <c r="X955" s="14"/>
      <c r="Y955" s="15"/>
      <c r="Z955" s="14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4"/>
      <c r="U956" s="14"/>
      <c r="V956" s="14"/>
      <c r="W956" s="14"/>
      <c r="X956" s="14"/>
      <c r="Y956" s="15"/>
      <c r="Z956" s="14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4"/>
      <c r="U957" s="14"/>
      <c r="V957" s="14"/>
      <c r="W957" s="14"/>
      <c r="X957" s="14"/>
      <c r="Y957" s="15"/>
      <c r="Z957" s="14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4"/>
      <c r="U958" s="14"/>
      <c r="V958" s="14"/>
      <c r="W958" s="14"/>
      <c r="X958" s="14"/>
      <c r="Y958" s="15"/>
      <c r="Z958" s="14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4"/>
      <c r="U959" s="14"/>
      <c r="V959" s="14"/>
      <c r="W959" s="14"/>
      <c r="X959" s="14"/>
      <c r="Y959" s="15"/>
      <c r="Z959" s="14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4"/>
      <c r="U960" s="14"/>
      <c r="V960" s="14"/>
      <c r="W960" s="14"/>
      <c r="X960" s="14"/>
      <c r="Y960" s="15"/>
      <c r="Z960" s="14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4"/>
      <c r="U961" s="14"/>
      <c r="V961" s="14"/>
      <c r="W961" s="14"/>
      <c r="X961" s="14"/>
      <c r="Y961" s="15"/>
      <c r="Z961" s="14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4"/>
      <c r="U962" s="14"/>
      <c r="V962" s="14"/>
      <c r="W962" s="14"/>
      <c r="X962" s="14"/>
      <c r="Y962" s="15"/>
      <c r="Z962" s="14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4"/>
      <c r="U963" s="14"/>
      <c r="V963" s="14"/>
      <c r="W963" s="14"/>
      <c r="X963" s="14"/>
      <c r="Y963" s="15"/>
      <c r="Z963" s="14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4"/>
      <c r="U964" s="14"/>
      <c r="V964" s="14"/>
      <c r="W964" s="14"/>
      <c r="X964" s="14"/>
      <c r="Y964" s="15"/>
      <c r="Z964" s="14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4"/>
      <c r="U965" s="14"/>
      <c r="V965" s="14"/>
      <c r="W965" s="14"/>
      <c r="X965" s="14"/>
      <c r="Y965" s="15"/>
      <c r="Z965" s="14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4"/>
      <c r="U966" s="14"/>
      <c r="V966" s="14"/>
      <c r="W966" s="14"/>
      <c r="X966" s="14"/>
      <c r="Y966" s="15"/>
      <c r="Z966" s="14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4"/>
      <c r="U967" s="14"/>
      <c r="V967" s="14"/>
      <c r="W967" s="14"/>
      <c r="X967" s="14"/>
      <c r="Y967" s="15"/>
      <c r="Z967" s="14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4"/>
      <c r="U968" s="14"/>
      <c r="V968" s="14"/>
      <c r="W968" s="14"/>
      <c r="X968" s="14"/>
      <c r="Y968" s="15"/>
      <c r="Z968" s="14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4"/>
      <c r="U969" s="14"/>
      <c r="V969" s="14"/>
      <c r="W969" s="14"/>
      <c r="X969" s="14"/>
      <c r="Y969" s="15"/>
      <c r="Z969" s="14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4"/>
      <c r="U970" s="14"/>
      <c r="V970" s="14"/>
      <c r="W970" s="14"/>
      <c r="X970" s="14"/>
      <c r="Y970" s="15"/>
      <c r="Z970" s="14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4"/>
      <c r="U971" s="14"/>
      <c r="V971" s="14"/>
      <c r="W971" s="14"/>
      <c r="X971" s="14"/>
      <c r="Y971" s="15"/>
      <c r="Z971" s="14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4"/>
      <c r="U972" s="14"/>
      <c r="V972" s="14"/>
      <c r="W972" s="14"/>
      <c r="X972" s="14"/>
      <c r="Y972" s="15"/>
      <c r="Z972" s="14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4"/>
      <c r="U973" s="14"/>
      <c r="V973" s="14"/>
      <c r="W973" s="14"/>
      <c r="X973" s="14"/>
      <c r="Y973" s="15"/>
      <c r="Z973" s="14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4"/>
      <c r="U974" s="14"/>
      <c r="V974" s="14"/>
      <c r="W974" s="14"/>
      <c r="X974" s="14"/>
      <c r="Y974" s="15"/>
      <c r="Z974" s="14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4"/>
      <c r="U975" s="14"/>
      <c r="V975" s="14"/>
      <c r="W975" s="14"/>
      <c r="X975" s="14"/>
      <c r="Y975" s="15"/>
      <c r="Z975" s="14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4"/>
      <c r="U976" s="14"/>
      <c r="V976" s="14"/>
      <c r="W976" s="14"/>
      <c r="X976" s="14"/>
      <c r="Y976" s="15"/>
      <c r="Z976" s="14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4"/>
      <c r="U977" s="14"/>
      <c r="V977" s="14"/>
      <c r="W977" s="14"/>
      <c r="X977" s="14"/>
      <c r="Y977" s="15"/>
      <c r="Z977" s="14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4"/>
      <c r="U978" s="14"/>
      <c r="V978" s="14"/>
      <c r="W978" s="14"/>
      <c r="X978" s="14"/>
      <c r="Y978" s="15"/>
      <c r="Z978" s="14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4"/>
      <c r="U979" s="14"/>
      <c r="V979" s="14"/>
      <c r="W979" s="14"/>
      <c r="X979" s="14"/>
      <c r="Y979" s="15"/>
      <c r="Z979" s="14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4"/>
      <c r="U980" s="14"/>
      <c r="V980" s="14"/>
      <c r="W980" s="14"/>
      <c r="X980" s="14"/>
      <c r="Y980" s="15"/>
      <c r="Z980" s="14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4"/>
      <c r="U981" s="14"/>
      <c r="V981" s="14"/>
      <c r="W981" s="14"/>
      <c r="X981" s="14"/>
      <c r="Y981" s="15"/>
      <c r="Z981" s="14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4"/>
      <c r="U982" s="14"/>
      <c r="V982" s="14"/>
      <c r="W982" s="14"/>
      <c r="X982" s="14"/>
      <c r="Y982" s="15"/>
      <c r="Z982" s="14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4"/>
      <c r="U983" s="14"/>
      <c r="V983" s="14"/>
      <c r="W983" s="14"/>
      <c r="X983" s="14"/>
      <c r="Y983" s="15"/>
      <c r="Z983" s="14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4"/>
      <c r="U984" s="14"/>
      <c r="V984" s="14"/>
      <c r="W984" s="14"/>
      <c r="X984" s="14"/>
      <c r="Y984" s="15"/>
      <c r="Z984" s="14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4"/>
      <c r="U985" s="14"/>
      <c r="V985" s="14"/>
      <c r="W985" s="14"/>
      <c r="X985" s="14"/>
      <c r="Y985" s="15"/>
      <c r="Z985" s="14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4"/>
      <c r="U986" s="14"/>
      <c r="V986" s="14"/>
      <c r="W986" s="14"/>
      <c r="X986" s="14"/>
      <c r="Y986" s="15"/>
      <c r="Z986" s="14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4"/>
      <c r="U987" s="14"/>
      <c r="V987" s="14"/>
      <c r="W987" s="14"/>
      <c r="X987" s="14"/>
      <c r="Y987" s="15"/>
      <c r="Z987" s="14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4"/>
      <c r="U988" s="14"/>
      <c r="V988" s="14"/>
      <c r="W988" s="14"/>
      <c r="X988" s="14"/>
      <c r="Y988" s="15"/>
      <c r="Z988" s="14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4"/>
      <c r="U989" s="14"/>
      <c r="V989" s="14"/>
      <c r="W989" s="14"/>
      <c r="X989" s="14"/>
      <c r="Y989" s="15"/>
      <c r="Z989" s="14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4"/>
      <c r="U990" s="14"/>
      <c r="V990" s="14"/>
      <c r="W990" s="14"/>
      <c r="X990" s="14"/>
      <c r="Y990" s="15"/>
      <c r="Z990" s="14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4"/>
      <c r="U991" s="14"/>
      <c r="V991" s="14"/>
      <c r="W991" s="14"/>
      <c r="X991" s="14"/>
      <c r="Y991" s="15"/>
      <c r="Z991" s="14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4"/>
      <c r="U992" s="14"/>
      <c r="V992" s="14"/>
      <c r="W992" s="14"/>
      <c r="X992" s="14"/>
      <c r="Y992" s="15"/>
      <c r="Z992" s="14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4"/>
      <c r="U993" s="14"/>
      <c r="V993" s="14"/>
      <c r="W993" s="14"/>
      <c r="X993" s="14"/>
      <c r="Y993" s="15"/>
      <c r="Z993" s="14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4"/>
      <c r="U994" s="14"/>
      <c r="V994" s="14"/>
      <c r="W994" s="14"/>
      <c r="X994" s="14"/>
      <c r="Y994" s="15"/>
      <c r="Z994" s="14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4"/>
      <c r="U995" s="14"/>
      <c r="V995" s="14"/>
      <c r="W995" s="14"/>
      <c r="X995" s="14"/>
      <c r="Y995" s="15"/>
      <c r="Z995" s="14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4"/>
      <c r="U996" s="14"/>
      <c r="V996" s="14"/>
      <c r="W996" s="14"/>
      <c r="X996" s="14"/>
      <c r="Y996" s="15"/>
      <c r="Z996" s="14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4"/>
      <c r="U997" s="14"/>
      <c r="V997" s="14"/>
      <c r="W997" s="14"/>
      <c r="X997" s="14"/>
      <c r="Y997" s="15"/>
      <c r="Z997" s="14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4"/>
      <c r="U998" s="14"/>
      <c r="V998" s="14"/>
      <c r="W998" s="14"/>
      <c r="X998" s="14"/>
      <c r="Y998" s="15"/>
      <c r="Z998" s="14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4"/>
      <c r="U999" s="14"/>
      <c r="V999" s="14"/>
      <c r="W999" s="14"/>
      <c r="X999" s="14"/>
      <c r="Y999" s="15"/>
      <c r="Z999" s="14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4"/>
      <c r="U1000" s="14"/>
      <c r="V1000" s="14"/>
      <c r="W1000" s="14"/>
      <c r="X1000" s="14"/>
      <c r="Y1000" s="15"/>
      <c r="Z1000" s="14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4"/>
      <c r="U1001" s="14"/>
      <c r="V1001" s="14"/>
      <c r="W1001" s="14"/>
      <c r="X1001" s="14"/>
      <c r="Y1001" s="15"/>
      <c r="Z1001" s="14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4"/>
      <c r="U1002" s="14"/>
      <c r="V1002" s="14"/>
      <c r="W1002" s="14"/>
      <c r="X1002" s="14"/>
      <c r="Y1002" s="15"/>
      <c r="Z1002" s="14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4"/>
      <c r="U1003" s="14"/>
      <c r="V1003" s="14"/>
      <c r="W1003" s="14"/>
      <c r="X1003" s="14"/>
      <c r="Y1003" s="15"/>
      <c r="Z1003" s="14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4"/>
      <c r="U1004" s="14"/>
      <c r="V1004" s="14"/>
      <c r="W1004" s="14"/>
      <c r="X1004" s="14"/>
      <c r="Y1004" s="15"/>
      <c r="Z1004" s="14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4"/>
      <c r="U1005" s="14"/>
      <c r="V1005" s="14"/>
      <c r="W1005" s="14"/>
      <c r="X1005" s="14"/>
      <c r="Y1005" s="15"/>
      <c r="Z1005" s="14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4"/>
      <c r="U1006" s="14"/>
      <c r="V1006" s="14"/>
      <c r="W1006" s="14"/>
      <c r="X1006" s="14"/>
      <c r="Y1006" s="15"/>
      <c r="Z1006" s="14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4"/>
      <c r="U1007" s="14"/>
      <c r="V1007" s="14"/>
      <c r="W1007" s="14"/>
      <c r="X1007" s="14"/>
      <c r="Y1007" s="15"/>
      <c r="Z1007" s="14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4"/>
      <c r="U1008" s="14"/>
      <c r="V1008" s="14"/>
      <c r="W1008" s="14"/>
      <c r="X1008" s="14"/>
      <c r="Y1008" s="15"/>
      <c r="Z1008" s="14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4"/>
      <c r="U1009" s="14"/>
      <c r="V1009" s="14"/>
      <c r="W1009" s="14"/>
      <c r="X1009" s="14"/>
      <c r="Y1009" s="15"/>
      <c r="Z1009" s="14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4"/>
      <c r="U1010" s="14"/>
      <c r="V1010" s="14"/>
      <c r="W1010" s="14"/>
      <c r="X1010" s="14"/>
      <c r="Y1010" s="15"/>
      <c r="Z1010" s="14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4"/>
      <c r="U1011" s="14"/>
      <c r="V1011" s="14"/>
      <c r="W1011" s="14"/>
      <c r="X1011" s="14"/>
      <c r="Y1011" s="15"/>
      <c r="Z1011" s="14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4"/>
      <c r="U1012" s="14"/>
      <c r="V1012" s="14"/>
      <c r="W1012" s="14"/>
      <c r="X1012" s="14"/>
      <c r="Y1012" s="15"/>
      <c r="Z1012" s="14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4"/>
      <c r="U1013" s="14"/>
      <c r="V1013" s="14"/>
      <c r="W1013" s="14"/>
      <c r="X1013" s="14"/>
      <c r="Y1013" s="15"/>
      <c r="Z1013" s="14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4"/>
      <c r="U1014" s="14"/>
      <c r="V1014" s="14"/>
      <c r="W1014" s="14"/>
      <c r="X1014" s="14"/>
      <c r="Y1014" s="15"/>
      <c r="Z1014" s="14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4"/>
      <c r="U1015" s="14"/>
      <c r="V1015" s="14"/>
      <c r="W1015" s="14"/>
      <c r="X1015" s="14"/>
      <c r="Y1015" s="15"/>
      <c r="Z1015" s="14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4"/>
      <c r="U1016" s="14"/>
      <c r="V1016" s="14"/>
      <c r="W1016" s="14"/>
      <c r="X1016" s="14"/>
      <c r="Y1016" s="15"/>
      <c r="Z1016" s="14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4"/>
      <c r="U1017" s="14"/>
      <c r="V1017" s="14"/>
      <c r="W1017" s="14"/>
      <c r="X1017" s="14"/>
      <c r="Y1017" s="15"/>
      <c r="Z1017" s="14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4"/>
      <c r="U1018" s="14"/>
      <c r="V1018" s="14"/>
      <c r="W1018" s="14"/>
      <c r="X1018" s="14"/>
      <c r="Y1018" s="15"/>
      <c r="Z1018" s="14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4"/>
      <c r="U1019" s="14"/>
      <c r="V1019" s="14"/>
      <c r="W1019" s="14"/>
      <c r="X1019" s="14"/>
      <c r="Y1019" s="15"/>
      <c r="Z1019" s="14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4"/>
      <c r="U1020" s="14"/>
      <c r="V1020" s="14"/>
      <c r="W1020" s="14"/>
      <c r="X1020" s="14"/>
      <c r="Y1020" s="15"/>
      <c r="Z1020" s="14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4"/>
      <c r="U1021" s="14"/>
      <c r="V1021" s="14"/>
      <c r="W1021" s="14"/>
      <c r="X1021" s="14"/>
      <c r="Y1021" s="15"/>
      <c r="Z1021" s="14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4"/>
      <c r="U1022" s="14"/>
      <c r="V1022" s="14"/>
      <c r="W1022" s="14"/>
      <c r="X1022" s="14"/>
      <c r="Y1022" s="15"/>
      <c r="Z1022" s="14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4"/>
      <c r="U1023" s="14"/>
      <c r="V1023" s="14"/>
      <c r="W1023" s="14"/>
      <c r="X1023" s="14"/>
      <c r="Y1023" s="15"/>
      <c r="Z1023" s="14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4"/>
      <c r="U1024" s="14"/>
      <c r="V1024" s="14"/>
      <c r="W1024" s="14"/>
      <c r="X1024" s="14"/>
      <c r="Y1024" s="15"/>
      <c r="Z1024" s="14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4"/>
      <c r="U1025" s="14"/>
      <c r="V1025" s="14"/>
      <c r="W1025" s="14"/>
      <c r="X1025" s="14"/>
      <c r="Y1025" s="15"/>
      <c r="Z1025" s="14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4"/>
      <c r="U1026" s="14"/>
      <c r="V1026" s="14"/>
      <c r="W1026" s="14"/>
      <c r="X1026" s="14"/>
      <c r="Y1026" s="15"/>
      <c r="Z1026" s="14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4"/>
      <c r="U1027" s="14"/>
      <c r="V1027" s="14"/>
      <c r="W1027" s="14"/>
      <c r="X1027" s="14"/>
      <c r="Y1027" s="15"/>
      <c r="Z1027" s="14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4"/>
      <c r="U1028" s="14"/>
      <c r="V1028" s="14"/>
      <c r="W1028" s="14"/>
      <c r="X1028" s="14"/>
      <c r="Y1028" s="15"/>
      <c r="Z1028" s="14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4"/>
      <c r="U1029" s="14"/>
      <c r="V1029" s="14"/>
      <c r="W1029" s="14"/>
      <c r="X1029" s="14"/>
      <c r="Y1029" s="15"/>
      <c r="Z1029" s="14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4"/>
      <c r="U1030" s="14"/>
      <c r="V1030" s="14"/>
      <c r="W1030" s="14"/>
      <c r="X1030" s="14"/>
      <c r="Y1030" s="15"/>
      <c r="Z1030" s="14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4"/>
      <c r="U1031" s="14"/>
      <c r="V1031" s="14"/>
      <c r="W1031" s="14"/>
      <c r="X1031" s="14"/>
      <c r="Y1031" s="15"/>
      <c r="Z1031" s="14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4"/>
      <c r="U1032" s="14"/>
      <c r="V1032" s="14"/>
      <c r="W1032" s="14"/>
      <c r="X1032" s="14"/>
      <c r="Y1032" s="15"/>
      <c r="Z1032" s="14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4"/>
      <c r="U1033" s="14"/>
      <c r="V1033" s="14"/>
      <c r="W1033" s="14"/>
      <c r="X1033" s="14"/>
      <c r="Y1033" s="15"/>
      <c r="Z1033" s="14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4"/>
      <c r="U1034" s="14"/>
      <c r="V1034" s="14"/>
      <c r="W1034" s="14"/>
      <c r="X1034" s="14"/>
      <c r="Y1034" s="15"/>
      <c r="Z1034" s="14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4"/>
      <c r="U1035" s="14"/>
      <c r="V1035" s="14"/>
      <c r="W1035" s="14"/>
      <c r="X1035" s="14"/>
      <c r="Y1035" s="15"/>
      <c r="Z1035" s="14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4"/>
      <c r="U1036" s="14"/>
      <c r="V1036" s="14"/>
      <c r="W1036" s="14"/>
      <c r="X1036" s="14"/>
      <c r="Y1036" s="15"/>
      <c r="Z1036" s="14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4"/>
      <c r="U1037" s="14"/>
      <c r="V1037" s="14"/>
      <c r="W1037" s="14"/>
      <c r="X1037" s="14"/>
      <c r="Y1037" s="15"/>
      <c r="Z1037" s="14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4"/>
      <c r="U1038" s="14"/>
      <c r="V1038" s="14"/>
      <c r="W1038" s="14"/>
      <c r="X1038" s="14"/>
      <c r="Y1038" s="15"/>
      <c r="Z1038" s="14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4"/>
      <c r="U1039" s="14"/>
      <c r="V1039" s="14"/>
      <c r="W1039" s="14"/>
      <c r="X1039" s="14"/>
      <c r="Y1039" s="15"/>
      <c r="Z1039" s="14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4"/>
      <c r="U1040" s="14"/>
      <c r="V1040" s="14"/>
      <c r="W1040" s="14"/>
      <c r="X1040" s="14"/>
      <c r="Y1040" s="15"/>
      <c r="Z1040" s="14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4"/>
      <c r="U1041" s="14"/>
      <c r="V1041" s="14"/>
      <c r="W1041" s="14"/>
      <c r="X1041" s="14"/>
      <c r="Y1041" s="15"/>
      <c r="Z1041" s="14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4"/>
      <c r="U1042" s="14"/>
      <c r="V1042" s="14"/>
      <c r="W1042" s="14"/>
      <c r="X1042" s="14"/>
      <c r="Y1042" s="15"/>
      <c r="Z1042" s="14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4"/>
      <c r="U1043" s="14"/>
      <c r="V1043" s="14"/>
      <c r="W1043" s="14"/>
      <c r="X1043" s="14"/>
      <c r="Y1043" s="15"/>
      <c r="Z1043" s="14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4"/>
      <c r="U1044" s="14"/>
      <c r="V1044" s="14"/>
      <c r="W1044" s="14"/>
      <c r="X1044" s="14"/>
      <c r="Y1044" s="15"/>
      <c r="Z1044" s="14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4"/>
      <c r="U1045" s="14"/>
      <c r="V1045" s="14"/>
      <c r="W1045" s="14"/>
      <c r="X1045" s="14"/>
      <c r="Y1045" s="15"/>
      <c r="Z1045" s="14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4"/>
      <c r="U1046" s="14"/>
      <c r="V1046" s="14"/>
      <c r="W1046" s="14"/>
      <c r="X1046" s="14"/>
      <c r="Y1046" s="15"/>
      <c r="Z1046" s="14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4"/>
      <c r="U1047" s="14"/>
      <c r="V1047" s="14"/>
      <c r="W1047" s="14"/>
      <c r="X1047" s="14"/>
      <c r="Y1047" s="15"/>
      <c r="Z1047" s="14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4"/>
      <c r="U1048" s="14"/>
      <c r="V1048" s="14"/>
      <c r="W1048" s="14"/>
      <c r="X1048" s="14"/>
      <c r="Y1048" s="15"/>
      <c r="Z1048" s="14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4"/>
      <c r="U1049" s="14"/>
      <c r="V1049" s="14"/>
      <c r="W1049" s="14"/>
      <c r="X1049" s="14"/>
      <c r="Y1049" s="15"/>
      <c r="Z1049" s="14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4"/>
      <c r="U1050" s="14"/>
      <c r="V1050" s="14"/>
      <c r="W1050" s="14"/>
      <c r="X1050" s="14"/>
      <c r="Y1050" s="15"/>
      <c r="Z1050" s="14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4"/>
      <c r="U1051" s="14"/>
      <c r="V1051" s="14"/>
      <c r="W1051" s="14"/>
      <c r="X1051" s="14"/>
      <c r="Y1051" s="15"/>
      <c r="Z1051" s="14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4"/>
      <c r="U1052" s="14"/>
      <c r="V1052" s="14"/>
      <c r="W1052" s="14"/>
      <c r="X1052" s="14"/>
      <c r="Y1052" s="15"/>
      <c r="Z1052" s="14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4"/>
      <c r="U1053" s="14"/>
      <c r="V1053" s="14"/>
      <c r="W1053" s="14"/>
      <c r="X1053" s="14"/>
      <c r="Y1053" s="15"/>
      <c r="Z1053" s="14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4"/>
      <c r="U1054" s="14"/>
      <c r="V1054" s="14"/>
      <c r="W1054" s="14"/>
      <c r="X1054" s="14"/>
      <c r="Y1054" s="15"/>
      <c r="Z1054" s="14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4"/>
      <c r="U1055" s="14"/>
      <c r="V1055" s="14"/>
      <c r="W1055" s="14"/>
      <c r="X1055" s="14"/>
      <c r="Y1055" s="15"/>
      <c r="Z1055" s="14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4"/>
      <c r="U1056" s="14"/>
      <c r="V1056" s="14"/>
      <c r="W1056" s="14"/>
      <c r="X1056" s="14"/>
      <c r="Y1056" s="15"/>
      <c r="Z1056" s="14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4"/>
      <c r="U1057" s="14"/>
      <c r="V1057" s="14"/>
      <c r="W1057" s="14"/>
      <c r="X1057" s="14"/>
      <c r="Y1057" s="15"/>
      <c r="Z1057" s="14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4"/>
      <c r="U1058" s="14"/>
      <c r="V1058" s="14"/>
      <c r="W1058" s="14"/>
      <c r="X1058" s="14"/>
      <c r="Y1058" s="15"/>
      <c r="Z1058" s="14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4"/>
      <c r="U1059" s="14"/>
      <c r="V1059" s="14"/>
      <c r="W1059" s="14"/>
      <c r="X1059" s="14"/>
      <c r="Y1059" s="15"/>
      <c r="Z1059" s="14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4"/>
      <c r="U1060" s="14"/>
      <c r="V1060" s="14"/>
      <c r="W1060" s="14"/>
      <c r="X1060" s="14"/>
      <c r="Y1060" s="15"/>
      <c r="Z1060" s="14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4"/>
      <c r="U1061" s="14"/>
      <c r="V1061" s="14"/>
      <c r="W1061" s="14"/>
      <c r="X1061" s="14"/>
      <c r="Y1061" s="15"/>
      <c r="Z1061" s="14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4"/>
      <c r="U1062" s="14"/>
      <c r="V1062" s="14"/>
      <c r="W1062" s="14"/>
      <c r="X1062" s="14"/>
      <c r="Y1062" s="15"/>
      <c r="Z1062" s="14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4"/>
      <c r="U1063" s="14"/>
      <c r="V1063" s="14"/>
      <c r="W1063" s="14"/>
      <c r="X1063" s="14"/>
      <c r="Y1063" s="15"/>
      <c r="Z1063" s="14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4"/>
      <c r="U1064" s="14"/>
      <c r="V1064" s="14"/>
      <c r="W1064" s="14"/>
      <c r="X1064" s="14"/>
      <c r="Y1064" s="15"/>
      <c r="Z1064" s="14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4"/>
      <c r="U1065" s="14"/>
      <c r="V1065" s="14"/>
      <c r="W1065" s="14"/>
      <c r="X1065" s="14"/>
      <c r="Y1065" s="15"/>
      <c r="Z1065" s="14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4"/>
      <c r="U1066" s="14"/>
      <c r="V1066" s="14"/>
      <c r="W1066" s="14"/>
      <c r="X1066" s="14"/>
      <c r="Y1066" s="15"/>
      <c r="Z1066" s="14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4"/>
      <c r="U1067" s="14"/>
      <c r="V1067" s="14"/>
      <c r="W1067" s="14"/>
      <c r="X1067" s="14"/>
      <c r="Y1067" s="15"/>
      <c r="Z1067" s="14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4"/>
      <c r="U1068" s="14"/>
      <c r="V1068" s="14"/>
      <c r="W1068" s="14"/>
      <c r="X1068" s="14"/>
      <c r="Y1068" s="15"/>
      <c r="Z1068" s="14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4"/>
      <c r="U1069" s="14"/>
      <c r="V1069" s="14"/>
      <c r="W1069" s="14"/>
      <c r="X1069" s="14"/>
      <c r="Y1069" s="15"/>
      <c r="Z1069" s="14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4"/>
      <c r="U1070" s="14"/>
      <c r="V1070" s="14"/>
      <c r="W1070" s="14"/>
      <c r="X1070" s="14"/>
      <c r="Y1070" s="15"/>
      <c r="Z1070" s="14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4"/>
      <c r="U1071" s="14"/>
      <c r="V1071" s="14"/>
      <c r="W1071" s="14"/>
      <c r="X1071" s="14"/>
      <c r="Y1071" s="15"/>
      <c r="Z1071" s="14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4"/>
      <c r="U1072" s="14"/>
      <c r="V1072" s="14"/>
      <c r="W1072" s="14"/>
      <c r="X1072" s="14"/>
      <c r="Y1072" s="15"/>
      <c r="Z1072" s="14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4"/>
      <c r="U1073" s="14"/>
      <c r="V1073" s="14"/>
      <c r="W1073" s="14"/>
      <c r="X1073" s="14"/>
      <c r="Y1073" s="15"/>
      <c r="Z1073" s="14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4"/>
      <c r="U1074" s="14"/>
      <c r="V1074" s="14"/>
      <c r="W1074" s="14"/>
      <c r="X1074" s="14"/>
      <c r="Y1074" s="15"/>
      <c r="Z1074" s="14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4"/>
      <c r="U1075" s="14"/>
      <c r="V1075" s="14"/>
      <c r="W1075" s="14"/>
      <c r="X1075" s="14"/>
      <c r="Y1075" s="15"/>
      <c r="Z1075" s="14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4"/>
      <c r="U1076" s="14"/>
      <c r="V1076" s="14"/>
      <c r="W1076" s="14"/>
      <c r="X1076" s="14"/>
      <c r="Y1076" s="15"/>
      <c r="Z1076" s="14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4"/>
      <c r="U1077" s="14"/>
      <c r="V1077" s="14"/>
      <c r="W1077" s="14"/>
      <c r="X1077" s="14"/>
      <c r="Y1077" s="15"/>
      <c r="Z1077" s="14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4"/>
      <c r="U1078" s="14"/>
      <c r="V1078" s="14"/>
      <c r="W1078" s="14"/>
      <c r="X1078" s="14"/>
      <c r="Y1078" s="15"/>
      <c r="Z1078" s="14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4"/>
      <c r="U1079" s="14"/>
      <c r="V1079" s="14"/>
      <c r="W1079" s="14"/>
      <c r="X1079" s="14"/>
      <c r="Y1079" s="15"/>
      <c r="Z1079" s="14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4"/>
      <c r="U1080" s="14"/>
      <c r="V1080" s="14"/>
      <c r="W1080" s="14"/>
      <c r="X1080" s="14"/>
      <c r="Y1080" s="15"/>
      <c r="Z1080" s="14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4"/>
      <c r="U1081" s="14"/>
      <c r="V1081" s="14"/>
      <c r="W1081" s="14"/>
      <c r="X1081" s="14"/>
      <c r="Y1081" s="15"/>
      <c r="Z1081" s="14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4"/>
      <c r="U1082" s="14"/>
      <c r="V1082" s="14"/>
      <c r="W1082" s="14"/>
      <c r="X1082" s="14"/>
      <c r="Y1082" s="15"/>
      <c r="Z1082" s="14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4"/>
      <c r="U1083" s="14"/>
      <c r="V1083" s="14"/>
      <c r="W1083" s="14"/>
      <c r="X1083" s="14"/>
      <c r="Y1083" s="15"/>
      <c r="Z1083" s="14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4"/>
      <c r="U1084" s="14"/>
      <c r="V1084" s="14"/>
      <c r="W1084" s="14"/>
      <c r="X1084" s="14"/>
      <c r="Y1084" s="15"/>
      <c r="Z1084" s="14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4"/>
      <c r="U1085" s="14"/>
      <c r="V1085" s="14"/>
      <c r="W1085" s="14"/>
      <c r="X1085" s="14"/>
      <c r="Y1085" s="15"/>
      <c r="Z1085" s="14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4"/>
      <c r="U1086" s="14"/>
      <c r="V1086" s="14"/>
      <c r="W1086" s="14"/>
      <c r="X1086" s="14"/>
      <c r="Y1086" s="15"/>
      <c r="Z1086" s="14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4"/>
      <c r="U1087" s="14"/>
      <c r="V1087" s="14"/>
      <c r="W1087" s="14"/>
      <c r="X1087" s="14"/>
      <c r="Y1087" s="15"/>
      <c r="Z1087" s="14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4"/>
      <c r="U1088" s="14"/>
      <c r="V1088" s="14"/>
      <c r="W1088" s="14"/>
      <c r="X1088" s="14"/>
      <c r="Y1088" s="15"/>
      <c r="Z1088" s="14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4"/>
      <c r="U1089" s="14"/>
      <c r="V1089" s="14"/>
      <c r="W1089" s="14"/>
      <c r="X1089" s="14"/>
      <c r="Y1089" s="15"/>
      <c r="Z1089" s="14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4"/>
      <c r="U1090" s="14"/>
      <c r="V1090" s="14"/>
      <c r="W1090" s="14"/>
      <c r="X1090" s="14"/>
      <c r="Y1090" s="15"/>
      <c r="Z1090" s="14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4"/>
      <c r="U1091" s="14"/>
      <c r="V1091" s="14"/>
      <c r="W1091" s="14"/>
      <c r="X1091" s="14"/>
      <c r="Y1091" s="15"/>
      <c r="Z1091" s="14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4"/>
      <c r="U1092" s="14"/>
      <c r="V1092" s="14"/>
      <c r="W1092" s="14"/>
      <c r="X1092" s="14"/>
      <c r="Y1092" s="15"/>
      <c r="Z1092" s="14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4"/>
      <c r="U1093" s="14"/>
      <c r="V1093" s="14"/>
      <c r="W1093" s="14"/>
      <c r="X1093" s="14"/>
      <c r="Y1093" s="15"/>
      <c r="Z1093" s="14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4"/>
      <c r="U1094" s="14"/>
      <c r="V1094" s="14"/>
      <c r="W1094" s="14"/>
      <c r="X1094" s="14"/>
      <c r="Y1094" s="15"/>
      <c r="Z1094" s="14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4"/>
      <c r="U1095" s="14"/>
      <c r="V1095" s="14"/>
      <c r="W1095" s="14"/>
      <c r="X1095" s="14"/>
      <c r="Y1095" s="15"/>
      <c r="Z1095" s="14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4"/>
      <c r="U1096" s="14"/>
      <c r="V1096" s="14"/>
      <c r="W1096" s="14"/>
      <c r="X1096" s="14"/>
      <c r="Y1096" s="15"/>
      <c r="Z1096" s="14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4"/>
      <c r="U1097" s="14"/>
      <c r="V1097" s="14"/>
      <c r="W1097" s="14"/>
      <c r="X1097" s="14"/>
      <c r="Y1097" s="15"/>
      <c r="Z1097" s="14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4"/>
      <c r="U1098" s="14"/>
      <c r="V1098" s="14"/>
      <c r="W1098" s="14"/>
      <c r="X1098" s="14"/>
      <c r="Y1098" s="15"/>
      <c r="Z1098" s="14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4"/>
      <c r="U1099" s="14"/>
      <c r="V1099" s="14"/>
      <c r="W1099" s="14"/>
      <c r="X1099" s="14"/>
      <c r="Y1099" s="15"/>
      <c r="Z1099" s="14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4"/>
      <c r="U1100" s="14"/>
      <c r="V1100" s="14"/>
      <c r="W1100" s="14"/>
      <c r="X1100" s="14"/>
      <c r="Y1100" s="15"/>
      <c r="Z1100" s="14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4"/>
      <c r="U1101" s="14"/>
      <c r="V1101" s="14"/>
      <c r="W1101" s="14"/>
      <c r="X1101" s="14"/>
      <c r="Y1101" s="15"/>
      <c r="Z1101" s="14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4"/>
      <c r="U1102" s="14"/>
      <c r="V1102" s="14"/>
      <c r="W1102" s="14"/>
      <c r="X1102" s="14"/>
      <c r="Y1102" s="15"/>
      <c r="Z1102" s="14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4"/>
      <c r="U1103" s="14"/>
      <c r="V1103" s="14"/>
      <c r="W1103" s="14"/>
      <c r="X1103" s="14"/>
      <c r="Y1103" s="15"/>
      <c r="Z1103" s="14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4"/>
      <c r="U1104" s="14"/>
      <c r="V1104" s="14"/>
      <c r="W1104" s="14"/>
      <c r="X1104" s="14"/>
      <c r="Y1104" s="15"/>
      <c r="Z1104" s="14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4"/>
      <c r="U1105" s="14"/>
      <c r="V1105" s="14"/>
      <c r="W1105" s="14"/>
      <c r="X1105" s="14"/>
      <c r="Y1105" s="15"/>
      <c r="Z1105" s="14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4"/>
      <c r="U1106" s="14"/>
      <c r="V1106" s="14"/>
      <c r="W1106" s="14"/>
      <c r="X1106" s="14"/>
      <c r="Y1106" s="15"/>
      <c r="Z1106" s="14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4"/>
      <c r="U1107" s="14"/>
      <c r="V1107" s="14"/>
      <c r="W1107" s="14"/>
      <c r="X1107" s="14"/>
      <c r="Y1107" s="15"/>
      <c r="Z1107" s="14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4"/>
      <c r="U1108" s="14"/>
      <c r="V1108" s="14"/>
      <c r="W1108" s="14"/>
      <c r="X1108" s="14"/>
      <c r="Y1108" s="15"/>
      <c r="Z1108" s="14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4"/>
      <c r="U1109" s="14"/>
      <c r="V1109" s="14"/>
      <c r="W1109" s="14"/>
      <c r="X1109" s="14"/>
      <c r="Y1109" s="15"/>
      <c r="Z1109" s="14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4"/>
      <c r="U1110" s="14"/>
      <c r="V1110" s="14"/>
      <c r="W1110" s="14"/>
      <c r="X1110" s="14"/>
      <c r="Y1110" s="15"/>
      <c r="Z1110" s="14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4"/>
      <c r="U1111" s="14"/>
      <c r="V1111" s="14"/>
      <c r="W1111" s="14"/>
      <c r="X1111" s="14"/>
      <c r="Y1111" s="15"/>
      <c r="Z1111" s="14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4"/>
      <c r="U1112" s="14"/>
      <c r="V1112" s="14"/>
      <c r="W1112" s="14"/>
      <c r="X1112" s="14"/>
      <c r="Y1112" s="15"/>
      <c r="Z1112" s="14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4"/>
      <c r="U1113" s="14"/>
      <c r="V1113" s="14"/>
      <c r="W1113" s="14"/>
      <c r="X1113" s="14"/>
      <c r="Y1113" s="15"/>
      <c r="Z1113" s="14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4"/>
      <c r="U1114" s="14"/>
      <c r="V1114" s="14"/>
      <c r="W1114" s="14"/>
      <c r="X1114" s="14"/>
      <c r="Y1114" s="15"/>
      <c r="Z1114" s="14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4"/>
      <c r="U1115" s="14"/>
      <c r="V1115" s="14"/>
      <c r="W1115" s="14"/>
      <c r="X1115" s="14"/>
      <c r="Y1115" s="15"/>
      <c r="Z1115" s="14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4"/>
      <c r="U1116" s="14"/>
      <c r="V1116" s="14"/>
      <c r="W1116" s="14"/>
      <c r="X1116" s="14"/>
      <c r="Y1116" s="15"/>
      <c r="Z1116" s="14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4"/>
      <c r="U1117" s="14"/>
      <c r="V1117" s="14"/>
      <c r="W1117" s="14"/>
      <c r="X1117" s="14"/>
      <c r="Y1117" s="15"/>
      <c r="Z1117" s="14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4"/>
      <c r="U1118" s="14"/>
      <c r="V1118" s="14"/>
      <c r="W1118" s="14"/>
      <c r="X1118" s="14"/>
      <c r="Y1118" s="15"/>
      <c r="Z1118" s="14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4"/>
      <c r="U1119" s="14"/>
      <c r="V1119" s="14"/>
      <c r="W1119" s="14"/>
      <c r="X1119" s="14"/>
      <c r="Y1119" s="15"/>
      <c r="Z1119" s="14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4"/>
      <c r="U1120" s="14"/>
      <c r="V1120" s="14"/>
      <c r="W1120" s="14"/>
      <c r="X1120" s="14"/>
      <c r="Y1120" s="15"/>
      <c r="Z1120" s="14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4"/>
      <c r="U1121" s="14"/>
      <c r="V1121" s="14"/>
      <c r="W1121" s="14"/>
      <c r="X1121" s="14"/>
      <c r="Y1121" s="15"/>
      <c r="Z1121" s="14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4"/>
      <c r="U1122" s="14"/>
      <c r="V1122" s="14"/>
      <c r="W1122" s="14"/>
      <c r="X1122" s="14"/>
      <c r="Y1122" s="15"/>
      <c r="Z1122" s="14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4"/>
      <c r="U1123" s="14"/>
      <c r="V1123" s="14"/>
      <c r="W1123" s="14"/>
      <c r="X1123" s="14"/>
      <c r="Y1123" s="15"/>
      <c r="Z1123" s="14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4"/>
      <c r="U1124" s="14"/>
      <c r="V1124" s="14"/>
      <c r="W1124" s="14"/>
      <c r="X1124" s="14"/>
      <c r="Y1124" s="15"/>
      <c r="Z1124" s="14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4"/>
      <c r="U1125" s="14"/>
      <c r="V1125" s="14"/>
      <c r="W1125" s="14"/>
      <c r="X1125" s="14"/>
      <c r="Y1125" s="15"/>
      <c r="Z1125" s="14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4"/>
      <c r="U1126" s="14"/>
      <c r="V1126" s="14"/>
      <c r="W1126" s="14"/>
      <c r="X1126" s="14"/>
      <c r="Y1126" s="15"/>
      <c r="Z1126" s="14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4"/>
      <c r="U1127" s="14"/>
      <c r="V1127" s="14"/>
      <c r="W1127" s="14"/>
      <c r="X1127" s="14"/>
      <c r="Y1127" s="15"/>
      <c r="Z1127" s="14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4"/>
      <c r="U1128" s="14"/>
      <c r="V1128" s="14"/>
      <c r="W1128" s="14"/>
      <c r="X1128" s="14"/>
      <c r="Y1128" s="15"/>
      <c r="Z1128" s="14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4"/>
      <c r="U1129" s="14"/>
      <c r="V1129" s="14"/>
      <c r="W1129" s="14"/>
      <c r="X1129" s="14"/>
      <c r="Y1129" s="15"/>
      <c r="Z1129" s="14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4"/>
      <c r="U1130" s="14"/>
      <c r="V1130" s="14"/>
      <c r="W1130" s="14"/>
      <c r="X1130" s="14"/>
      <c r="Y1130" s="15"/>
      <c r="Z1130" s="14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4"/>
      <c r="U1131" s="14"/>
      <c r="V1131" s="14"/>
      <c r="W1131" s="14"/>
      <c r="X1131" s="14"/>
      <c r="Y1131" s="15"/>
      <c r="Z1131" s="14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4"/>
      <c r="U1132" s="14"/>
      <c r="V1132" s="14"/>
      <c r="W1132" s="14"/>
      <c r="X1132" s="14"/>
      <c r="Y1132" s="15"/>
      <c r="Z1132" s="14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4"/>
      <c r="U1133" s="14"/>
      <c r="V1133" s="14"/>
      <c r="W1133" s="14"/>
      <c r="X1133" s="14"/>
      <c r="Y1133" s="15"/>
      <c r="Z1133" s="14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4"/>
      <c r="U1134" s="14"/>
      <c r="V1134" s="14"/>
      <c r="W1134" s="14"/>
      <c r="X1134" s="14"/>
      <c r="Y1134" s="15"/>
      <c r="Z1134" s="14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4"/>
      <c r="U1135" s="14"/>
      <c r="V1135" s="14"/>
      <c r="W1135" s="14"/>
      <c r="X1135" s="14"/>
      <c r="Y1135" s="15"/>
      <c r="Z1135" s="14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4"/>
      <c r="U1136" s="14"/>
      <c r="V1136" s="14"/>
      <c r="W1136" s="14"/>
      <c r="X1136" s="14"/>
      <c r="Y1136" s="15"/>
      <c r="Z1136" s="14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4"/>
      <c r="U1137" s="14"/>
      <c r="V1137" s="14"/>
      <c r="W1137" s="14"/>
      <c r="X1137" s="14"/>
      <c r="Y1137" s="15"/>
      <c r="Z1137" s="14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4"/>
      <c r="U1138" s="14"/>
      <c r="V1138" s="14"/>
      <c r="W1138" s="14"/>
      <c r="X1138" s="14"/>
      <c r="Y1138" s="15"/>
      <c r="Z1138" s="14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4"/>
      <c r="U1139" s="14"/>
      <c r="V1139" s="14"/>
      <c r="W1139" s="14"/>
      <c r="X1139" s="14"/>
      <c r="Y1139" s="15"/>
      <c r="Z1139" s="14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4"/>
      <c r="U1140" s="14"/>
      <c r="V1140" s="14"/>
      <c r="W1140" s="14"/>
      <c r="X1140" s="14"/>
      <c r="Y1140" s="15"/>
      <c r="Z1140" s="14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4"/>
      <c r="U1141" s="14"/>
      <c r="V1141" s="14"/>
      <c r="W1141" s="14"/>
      <c r="X1141" s="14"/>
      <c r="Y1141" s="15"/>
      <c r="Z1141" s="14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4"/>
      <c r="U1142" s="14"/>
      <c r="V1142" s="14"/>
      <c r="W1142" s="14"/>
      <c r="X1142" s="14"/>
      <c r="Y1142" s="15"/>
      <c r="Z1142" s="14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4"/>
      <c r="U1143" s="14"/>
      <c r="V1143" s="14"/>
      <c r="W1143" s="14"/>
      <c r="X1143" s="14"/>
      <c r="Y1143" s="15"/>
      <c r="Z1143" s="14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4"/>
      <c r="U1144" s="14"/>
      <c r="V1144" s="14"/>
      <c r="W1144" s="14"/>
      <c r="X1144" s="14"/>
      <c r="Y1144" s="15"/>
      <c r="Z1144" s="14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4"/>
      <c r="U1145" s="14"/>
      <c r="V1145" s="14"/>
      <c r="W1145" s="14"/>
      <c r="X1145" s="14"/>
      <c r="Y1145" s="15"/>
      <c r="Z1145" s="14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4"/>
      <c r="U1146" s="14"/>
      <c r="V1146" s="14"/>
      <c r="W1146" s="14"/>
      <c r="X1146" s="14"/>
      <c r="Y1146" s="15"/>
      <c r="Z1146" s="14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4"/>
      <c r="U1147" s="14"/>
      <c r="V1147" s="14"/>
      <c r="W1147" s="14"/>
      <c r="X1147" s="14"/>
      <c r="Y1147" s="15"/>
      <c r="Z1147" s="14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4"/>
      <c r="U1148" s="14"/>
      <c r="V1148" s="14"/>
      <c r="W1148" s="14"/>
      <c r="X1148" s="14"/>
      <c r="Y1148" s="15"/>
      <c r="Z1148" s="14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4"/>
      <c r="U1149" s="14"/>
      <c r="V1149" s="14"/>
      <c r="W1149" s="14"/>
      <c r="X1149" s="14"/>
      <c r="Y1149" s="15"/>
      <c r="Z1149" s="14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4"/>
      <c r="U1150" s="14"/>
      <c r="V1150" s="14"/>
      <c r="W1150" s="14"/>
      <c r="X1150" s="14"/>
      <c r="Y1150" s="15"/>
      <c r="Z1150" s="14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4"/>
      <c r="U1151" s="14"/>
      <c r="V1151" s="14"/>
      <c r="W1151" s="14"/>
      <c r="X1151" s="14"/>
      <c r="Y1151" s="15"/>
      <c r="Z1151" s="14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4"/>
      <c r="U1152" s="14"/>
      <c r="V1152" s="14"/>
      <c r="W1152" s="14"/>
      <c r="X1152" s="14"/>
      <c r="Y1152" s="15"/>
      <c r="Z1152" s="14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4"/>
      <c r="U1153" s="14"/>
      <c r="V1153" s="14"/>
      <c r="W1153" s="14"/>
      <c r="X1153" s="14"/>
      <c r="Y1153" s="15"/>
      <c r="Z1153" s="14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4"/>
      <c r="U1154" s="14"/>
      <c r="V1154" s="14"/>
      <c r="W1154" s="14"/>
      <c r="X1154" s="14"/>
      <c r="Y1154" s="15"/>
      <c r="Z1154" s="14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4"/>
      <c r="U1155" s="14"/>
      <c r="V1155" s="14"/>
      <c r="W1155" s="14"/>
      <c r="X1155" s="14"/>
      <c r="Y1155" s="15"/>
      <c r="Z1155" s="14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4"/>
      <c r="U1156" s="14"/>
      <c r="V1156" s="14"/>
      <c r="W1156" s="14"/>
      <c r="X1156" s="14"/>
      <c r="Y1156" s="15"/>
      <c r="Z1156" s="14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4"/>
      <c r="U1157" s="14"/>
      <c r="V1157" s="14"/>
      <c r="W1157" s="14"/>
      <c r="X1157" s="14"/>
      <c r="Y1157" s="15"/>
      <c r="Z1157" s="14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4"/>
      <c r="U1158" s="14"/>
      <c r="V1158" s="14"/>
      <c r="W1158" s="14"/>
      <c r="X1158" s="14"/>
      <c r="Y1158" s="15"/>
      <c r="Z1158" s="14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4"/>
      <c r="U1159" s="14"/>
      <c r="V1159" s="14"/>
      <c r="W1159" s="14"/>
      <c r="X1159" s="14"/>
      <c r="Y1159" s="15"/>
      <c r="Z1159" s="14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4"/>
      <c r="U1160" s="14"/>
      <c r="V1160" s="14"/>
      <c r="W1160" s="14"/>
      <c r="X1160" s="14"/>
      <c r="Y1160" s="15"/>
      <c r="Z1160" s="14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4"/>
      <c r="U1161" s="14"/>
      <c r="V1161" s="14"/>
      <c r="W1161" s="14"/>
      <c r="X1161" s="14"/>
      <c r="Y1161" s="15"/>
      <c r="Z1161" s="14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4"/>
      <c r="U1162" s="14"/>
      <c r="V1162" s="14"/>
      <c r="W1162" s="14"/>
      <c r="X1162" s="14"/>
      <c r="Y1162" s="15"/>
      <c r="Z1162" s="14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4"/>
      <c r="U1163" s="14"/>
      <c r="V1163" s="14"/>
      <c r="W1163" s="14"/>
      <c r="X1163" s="14"/>
      <c r="Y1163" s="15"/>
      <c r="Z1163" s="14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4"/>
      <c r="U1164" s="14"/>
      <c r="V1164" s="14"/>
      <c r="W1164" s="14"/>
      <c r="X1164" s="14"/>
      <c r="Y1164" s="15"/>
      <c r="Z1164" s="14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4"/>
      <c r="U1165" s="14"/>
      <c r="V1165" s="14"/>
      <c r="W1165" s="14"/>
      <c r="X1165" s="14"/>
      <c r="Y1165" s="15"/>
      <c r="Z1165" s="14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4"/>
      <c r="U1166" s="14"/>
      <c r="V1166" s="14"/>
      <c r="W1166" s="14"/>
      <c r="X1166" s="14"/>
      <c r="Y1166" s="15"/>
      <c r="Z1166" s="14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4"/>
      <c r="U1167" s="14"/>
      <c r="V1167" s="14"/>
      <c r="W1167" s="14"/>
      <c r="X1167" s="14"/>
      <c r="Y1167" s="15"/>
      <c r="Z1167" s="14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4"/>
      <c r="U1168" s="14"/>
      <c r="V1168" s="14"/>
      <c r="W1168" s="14"/>
      <c r="X1168" s="14"/>
      <c r="Y1168" s="15"/>
      <c r="Z1168" s="14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4"/>
      <c r="U1169" s="14"/>
      <c r="V1169" s="14"/>
      <c r="W1169" s="14"/>
      <c r="X1169" s="14"/>
      <c r="Y1169" s="15"/>
      <c r="Z1169" s="14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4"/>
      <c r="U1170" s="14"/>
      <c r="V1170" s="14"/>
      <c r="W1170" s="14"/>
      <c r="X1170" s="14"/>
      <c r="Y1170" s="15"/>
      <c r="Z1170" s="14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4"/>
      <c r="U1171" s="14"/>
      <c r="V1171" s="14"/>
      <c r="W1171" s="14"/>
      <c r="X1171" s="14"/>
      <c r="Y1171" s="15"/>
      <c r="Z1171" s="14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4"/>
      <c r="U1172" s="14"/>
      <c r="V1172" s="14"/>
      <c r="W1172" s="14"/>
      <c r="X1172" s="14"/>
      <c r="Y1172" s="15"/>
      <c r="Z1172" s="14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4"/>
      <c r="U1173" s="14"/>
      <c r="V1173" s="14"/>
      <c r="W1173" s="14"/>
      <c r="X1173" s="14"/>
      <c r="Y1173" s="15"/>
      <c r="Z1173" s="14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4"/>
      <c r="U1174" s="14"/>
      <c r="V1174" s="14"/>
      <c r="W1174" s="14"/>
      <c r="X1174" s="14"/>
      <c r="Y1174" s="15"/>
      <c r="Z1174" s="14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4"/>
      <c r="U1175" s="14"/>
      <c r="V1175" s="14"/>
      <c r="W1175" s="14"/>
      <c r="X1175" s="14"/>
      <c r="Y1175" s="15"/>
      <c r="Z1175" s="14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4"/>
      <c r="U1176" s="14"/>
      <c r="V1176" s="14"/>
      <c r="W1176" s="14"/>
      <c r="X1176" s="14"/>
      <c r="Y1176" s="15"/>
      <c r="Z1176" s="14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4"/>
      <c r="U1177" s="14"/>
      <c r="V1177" s="14"/>
      <c r="W1177" s="14"/>
      <c r="X1177" s="14"/>
      <c r="Y1177" s="15"/>
      <c r="Z1177" s="14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4"/>
      <c r="U1178" s="14"/>
      <c r="V1178" s="14"/>
      <c r="W1178" s="14"/>
      <c r="X1178" s="14"/>
      <c r="Y1178" s="15"/>
      <c r="Z1178" s="14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4"/>
      <c r="U1179" s="14"/>
      <c r="V1179" s="14"/>
      <c r="W1179" s="14"/>
      <c r="X1179" s="14"/>
      <c r="Y1179" s="15"/>
      <c r="Z1179" s="14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4"/>
      <c r="U1180" s="14"/>
      <c r="V1180" s="14"/>
      <c r="W1180" s="14"/>
      <c r="X1180" s="14"/>
      <c r="Y1180" s="15"/>
      <c r="Z1180" s="14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4"/>
      <c r="U1181" s="14"/>
      <c r="V1181" s="14"/>
      <c r="W1181" s="14"/>
      <c r="X1181" s="14"/>
      <c r="Y1181" s="15"/>
      <c r="Z1181" s="14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4"/>
      <c r="U1182" s="14"/>
      <c r="V1182" s="14"/>
      <c r="W1182" s="14"/>
      <c r="X1182" s="14"/>
      <c r="Y1182" s="15"/>
      <c r="Z1182" s="14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4"/>
      <c r="U1183" s="14"/>
      <c r="V1183" s="14"/>
      <c r="W1183" s="14"/>
      <c r="X1183" s="14"/>
      <c r="Y1183" s="15"/>
      <c r="Z1183" s="14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4"/>
      <c r="U1184" s="14"/>
      <c r="V1184" s="14"/>
      <c r="W1184" s="14"/>
      <c r="X1184" s="14"/>
      <c r="Y1184" s="15"/>
      <c r="Z1184" s="14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4"/>
      <c r="U1185" s="14"/>
      <c r="V1185" s="14"/>
      <c r="W1185" s="14"/>
      <c r="X1185" s="14"/>
      <c r="Y1185" s="15"/>
      <c r="Z1185" s="14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4"/>
      <c r="U1186" s="14"/>
      <c r="V1186" s="14"/>
      <c r="W1186" s="14"/>
      <c r="X1186" s="14"/>
      <c r="Y1186" s="15"/>
      <c r="Z1186" s="14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4"/>
      <c r="U1187" s="14"/>
      <c r="V1187" s="14"/>
      <c r="W1187" s="14"/>
      <c r="X1187" s="14"/>
      <c r="Y1187" s="15"/>
      <c r="Z1187" s="14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4"/>
      <c r="U1188" s="14"/>
      <c r="V1188" s="14"/>
      <c r="W1188" s="14"/>
      <c r="X1188" s="14"/>
      <c r="Y1188" s="15"/>
      <c r="Z1188" s="14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4"/>
      <c r="U1189" s="14"/>
      <c r="V1189" s="14"/>
      <c r="W1189" s="14"/>
      <c r="X1189" s="14"/>
      <c r="Y1189" s="15"/>
      <c r="Z1189" s="14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4"/>
      <c r="U1190" s="14"/>
      <c r="V1190" s="14"/>
      <c r="W1190" s="14"/>
      <c r="X1190" s="14"/>
      <c r="Y1190" s="15"/>
      <c r="Z1190" s="14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4"/>
      <c r="U1191" s="14"/>
      <c r="V1191" s="14"/>
      <c r="W1191" s="14"/>
      <c r="X1191" s="14"/>
      <c r="Y1191" s="15"/>
      <c r="Z1191" s="14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4"/>
      <c r="U1192" s="14"/>
      <c r="V1192" s="14"/>
      <c r="W1192" s="14"/>
      <c r="X1192" s="14"/>
      <c r="Y1192" s="15"/>
      <c r="Z1192" s="14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4"/>
      <c r="U1193" s="14"/>
      <c r="V1193" s="14"/>
      <c r="W1193" s="14"/>
      <c r="X1193" s="14"/>
      <c r="Y1193" s="15"/>
      <c r="Z1193" s="14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4"/>
      <c r="U1194" s="14"/>
      <c r="V1194" s="14"/>
      <c r="W1194" s="14"/>
      <c r="X1194" s="14"/>
      <c r="Y1194" s="15"/>
      <c r="Z1194" s="14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4"/>
      <c r="U1195" s="14"/>
      <c r="V1195" s="14"/>
      <c r="W1195" s="14"/>
      <c r="X1195" s="14"/>
      <c r="Y1195" s="15"/>
      <c r="Z1195" s="14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4"/>
      <c r="U1196" s="14"/>
      <c r="V1196" s="14"/>
      <c r="W1196" s="14"/>
      <c r="X1196" s="14"/>
      <c r="Y1196" s="15"/>
      <c r="Z1196" s="14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4"/>
      <c r="U1197" s="14"/>
      <c r="V1197" s="14"/>
      <c r="W1197" s="14"/>
      <c r="X1197" s="14"/>
      <c r="Y1197" s="15"/>
      <c r="Z1197" s="14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4"/>
      <c r="U1198" s="14"/>
      <c r="V1198" s="14"/>
      <c r="W1198" s="14"/>
      <c r="X1198" s="14"/>
      <c r="Y1198" s="15"/>
      <c r="Z1198" s="14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4"/>
      <c r="U1199" s="14"/>
      <c r="V1199" s="14"/>
      <c r="W1199" s="14"/>
      <c r="X1199" s="14"/>
      <c r="Y1199" s="15"/>
      <c r="Z1199" s="14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4"/>
      <c r="U1200" s="14"/>
      <c r="V1200" s="14"/>
      <c r="W1200" s="14"/>
      <c r="X1200" s="14"/>
      <c r="Y1200" s="15"/>
      <c r="Z1200" s="14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4"/>
      <c r="U1201" s="14"/>
      <c r="V1201" s="14"/>
      <c r="W1201" s="14"/>
      <c r="X1201" s="14"/>
      <c r="Y1201" s="15"/>
      <c r="Z1201" s="14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4"/>
      <c r="U1202" s="14"/>
      <c r="V1202" s="14"/>
      <c r="W1202" s="14"/>
      <c r="X1202" s="14"/>
      <c r="Y1202" s="15"/>
      <c r="Z1202" s="14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4"/>
      <c r="U1203" s="14"/>
      <c r="V1203" s="14"/>
      <c r="W1203" s="14"/>
      <c r="X1203" s="14"/>
      <c r="Y1203" s="15"/>
      <c r="Z1203" s="14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4"/>
      <c r="U1204" s="14"/>
      <c r="V1204" s="14"/>
      <c r="W1204" s="14"/>
      <c r="X1204" s="14"/>
      <c r="Y1204" s="15"/>
      <c r="Z1204" s="14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4"/>
      <c r="U1205" s="14"/>
      <c r="V1205" s="14"/>
      <c r="W1205" s="14"/>
      <c r="X1205" s="14"/>
      <c r="Y1205" s="15"/>
      <c r="Z1205" s="14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4"/>
      <c r="U1206" s="14"/>
      <c r="V1206" s="14"/>
      <c r="W1206" s="14"/>
      <c r="X1206" s="14"/>
      <c r="Y1206" s="15"/>
      <c r="Z1206" s="14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4"/>
      <c r="U1207" s="14"/>
      <c r="V1207" s="14"/>
      <c r="W1207" s="14"/>
      <c r="X1207" s="14"/>
      <c r="Y1207" s="15"/>
      <c r="Z1207" s="14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4"/>
      <c r="U1208" s="14"/>
      <c r="V1208" s="14"/>
      <c r="W1208" s="14"/>
      <c r="X1208" s="14"/>
      <c r="Y1208" s="15"/>
      <c r="Z1208" s="14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4"/>
      <c r="U1209" s="14"/>
      <c r="V1209" s="14"/>
      <c r="W1209" s="14"/>
      <c r="X1209" s="14"/>
      <c r="Y1209" s="15"/>
      <c r="Z1209" s="14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4"/>
      <c r="U1210" s="14"/>
      <c r="V1210" s="14"/>
      <c r="W1210" s="14"/>
      <c r="X1210" s="14"/>
      <c r="Y1210" s="15"/>
      <c r="Z1210" s="14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4"/>
      <c r="U1211" s="14"/>
      <c r="V1211" s="14"/>
      <c r="W1211" s="14"/>
      <c r="X1211" s="14"/>
      <c r="Y1211" s="15"/>
      <c r="Z1211" s="14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4"/>
      <c r="U1212" s="14"/>
      <c r="V1212" s="14"/>
      <c r="W1212" s="14"/>
      <c r="X1212" s="14"/>
      <c r="Y1212" s="15"/>
      <c r="Z1212" s="14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4"/>
      <c r="U1213" s="14"/>
      <c r="V1213" s="14"/>
      <c r="W1213" s="14"/>
      <c r="X1213" s="14"/>
      <c r="Y1213" s="15"/>
      <c r="Z1213" s="14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4"/>
      <c r="U1214" s="14"/>
      <c r="V1214" s="14"/>
      <c r="W1214" s="14"/>
      <c r="X1214" s="14"/>
      <c r="Y1214" s="15"/>
      <c r="Z1214" s="14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4"/>
      <c r="U1215" s="14"/>
      <c r="V1215" s="14"/>
      <c r="W1215" s="14"/>
      <c r="X1215" s="14"/>
      <c r="Y1215" s="15"/>
      <c r="Z1215" s="14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4"/>
      <c r="U1216" s="14"/>
      <c r="V1216" s="14"/>
      <c r="W1216" s="14"/>
      <c r="X1216" s="14"/>
      <c r="Y1216" s="15"/>
      <c r="Z1216" s="14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4"/>
      <c r="U1217" s="14"/>
      <c r="V1217" s="14"/>
      <c r="W1217" s="14"/>
      <c r="X1217" s="14"/>
      <c r="Y1217" s="15"/>
      <c r="Z1217" s="14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4"/>
      <c r="U1218" s="14"/>
      <c r="V1218" s="14"/>
      <c r="W1218" s="14"/>
      <c r="X1218" s="14"/>
      <c r="Y1218" s="15"/>
      <c r="Z1218" s="14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4"/>
      <c r="U1219" s="14"/>
      <c r="V1219" s="14"/>
      <c r="W1219" s="14"/>
      <c r="X1219" s="14"/>
      <c r="Y1219" s="15"/>
      <c r="Z1219" s="14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4"/>
      <c r="U1220" s="14"/>
      <c r="V1220" s="14"/>
      <c r="W1220" s="14"/>
      <c r="X1220" s="14"/>
      <c r="Y1220" s="15"/>
      <c r="Z1220" s="14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4"/>
      <c r="U1221" s="14"/>
      <c r="V1221" s="14"/>
      <c r="W1221" s="14"/>
      <c r="X1221" s="14"/>
      <c r="Y1221" s="15"/>
      <c r="Z1221" s="14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4"/>
      <c r="U1222" s="14"/>
      <c r="V1222" s="14"/>
      <c r="W1222" s="14"/>
      <c r="X1222" s="14"/>
      <c r="Y1222" s="15"/>
      <c r="Z1222" s="14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4"/>
      <c r="U1223" s="14"/>
      <c r="V1223" s="14"/>
      <c r="W1223" s="14"/>
      <c r="X1223" s="14"/>
      <c r="Y1223" s="15"/>
      <c r="Z1223" s="14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4"/>
      <c r="U1224" s="14"/>
      <c r="V1224" s="14"/>
      <c r="W1224" s="14"/>
      <c r="X1224" s="14"/>
      <c r="Y1224" s="15"/>
      <c r="Z1224" s="14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4"/>
      <c r="U1225" s="14"/>
      <c r="V1225" s="14"/>
      <c r="W1225" s="14"/>
      <c r="X1225" s="14"/>
      <c r="Y1225" s="15"/>
      <c r="Z1225" s="14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4"/>
      <c r="U1226" s="14"/>
      <c r="V1226" s="14"/>
      <c r="W1226" s="14"/>
      <c r="X1226" s="14"/>
      <c r="Y1226" s="15"/>
      <c r="Z1226" s="14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4"/>
      <c r="U1227" s="14"/>
      <c r="V1227" s="14"/>
      <c r="W1227" s="14"/>
      <c r="X1227" s="14"/>
      <c r="Y1227" s="15"/>
      <c r="Z1227" s="14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4"/>
      <c r="U1228" s="14"/>
      <c r="V1228" s="14"/>
      <c r="W1228" s="14"/>
      <c r="X1228" s="14"/>
      <c r="Y1228" s="15"/>
      <c r="Z1228" s="14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4"/>
      <c r="U1229" s="14"/>
      <c r="V1229" s="14"/>
      <c r="W1229" s="14"/>
      <c r="X1229" s="14"/>
      <c r="Y1229" s="15"/>
      <c r="Z1229" s="14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4"/>
      <c r="U1230" s="14"/>
      <c r="V1230" s="14"/>
      <c r="W1230" s="14"/>
      <c r="X1230" s="14"/>
      <c r="Y1230" s="15"/>
      <c r="Z1230" s="14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4"/>
      <c r="U1231" s="14"/>
      <c r="V1231" s="14"/>
      <c r="W1231" s="14"/>
      <c r="X1231" s="14"/>
      <c r="Y1231" s="15"/>
      <c r="Z1231" s="14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4"/>
      <c r="U1232" s="14"/>
      <c r="V1232" s="14"/>
      <c r="W1232" s="14"/>
      <c r="X1232" s="14"/>
      <c r="Y1232" s="15"/>
      <c r="Z1232" s="14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4"/>
      <c r="U1233" s="14"/>
      <c r="V1233" s="14"/>
      <c r="W1233" s="14"/>
      <c r="X1233" s="14"/>
      <c r="Y1233" s="15"/>
      <c r="Z1233" s="14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4"/>
      <c r="U1234" s="14"/>
      <c r="V1234" s="14"/>
      <c r="W1234" s="14"/>
      <c r="X1234" s="14"/>
      <c r="Y1234" s="15"/>
      <c r="Z1234" s="14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4"/>
      <c r="U1235" s="14"/>
      <c r="V1235" s="14"/>
      <c r="W1235" s="14"/>
      <c r="X1235" s="14"/>
      <c r="Y1235" s="15"/>
      <c r="Z1235" s="14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4"/>
      <c r="U1236" s="14"/>
      <c r="V1236" s="14"/>
      <c r="W1236" s="14"/>
      <c r="X1236" s="14"/>
      <c r="Y1236" s="15"/>
      <c r="Z1236" s="14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4"/>
      <c r="U1237" s="14"/>
      <c r="V1237" s="14"/>
      <c r="W1237" s="14"/>
      <c r="X1237" s="14"/>
      <c r="Y1237" s="15"/>
      <c r="Z1237" s="14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4"/>
      <c r="U1238" s="14"/>
      <c r="V1238" s="14"/>
      <c r="W1238" s="14"/>
      <c r="X1238" s="14"/>
      <c r="Y1238" s="15"/>
      <c r="Z1238" s="14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4"/>
      <c r="U1239" s="14"/>
      <c r="V1239" s="14"/>
      <c r="W1239" s="14"/>
      <c r="X1239" s="14"/>
      <c r="Y1239" s="15"/>
      <c r="Z1239" s="14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4"/>
      <c r="U1240" s="14"/>
      <c r="V1240" s="14"/>
      <c r="W1240" s="14"/>
      <c r="X1240" s="14"/>
      <c r="Y1240" s="15"/>
      <c r="Z1240" s="14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4"/>
      <c r="U1241" s="14"/>
      <c r="V1241" s="14"/>
      <c r="W1241" s="14"/>
      <c r="X1241" s="14"/>
      <c r="Y1241" s="15"/>
      <c r="Z1241" s="14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4"/>
      <c r="U1242" s="14"/>
      <c r="V1242" s="14"/>
      <c r="W1242" s="14"/>
      <c r="X1242" s="14"/>
      <c r="Y1242" s="15"/>
      <c r="Z1242" s="14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4"/>
      <c r="U1243" s="14"/>
      <c r="V1243" s="14"/>
      <c r="W1243" s="14"/>
      <c r="X1243" s="14"/>
      <c r="Y1243" s="15"/>
      <c r="Z1243" s="14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4"/>
      <c r="U1244" s="14"/>
      <c r="V1244" s="14"/>
      <c r="W1244" s="14"/>
      <c r="X1244" s="14"/>
      <c r="Y1244" s="15"/>
      <c r="Z1244" s="14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4"/>
      <c r="U1245" s="14"/>
      <c r="V1245" s="14"/>
      <c r="W1245" s="14"/>
      <c r="X1245" s="14"/>
      <c r="Y1245" s="15"/>
      <c r="Z1245" s="14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4"/>
      <c r="U1246" s="14"/>
      <c r="V1246" s="14"/>
      <c r="W1246" s="14"/>
      <c r="X1246" s="14"/>
      <c r="Y1246" s="15"/>
      <c r="Z1246" s="14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4"/>
      <c r="U1247" s="14"/>
      <c r="V1247" s="14"/>
      <c r="W1247" s="14"/>
      <c r="X1247" s="14"/>
      <c r="Y1247" s="15"/>
      <c r="Z1247" s="14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4"/>
      <c r="U1248" s="14"/>
      <c r="V1248" s="14"/>
      <c r="W1248" s="14"/>
      <c r="X1248" s="14"/>
      <c r="Y1248" s="15"/>
      <c r="Z1248" s="14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4"/>
      <c r="U1249" s="14"/>
      <c r="V1249" s="14"/>
      <c r="W1249" s="14"/>
      <c r="X1249" s="14"/>
      <c r="Y1249" s="15"/>
      <c r="Z1249" s="14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4"/>
      <c r="U1250" s="14"/>
      <c r="V1250" s="14"/>
      <c r="W1250" s="14"/>
      <c r="X1250" s="14"/>
      <c r="Y1250" s="15"/>
      <c r="Z1250" s="14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4"/>
      <c r="U1251" s="14"/>
      <c r="V1251" s="14"/>
      <c r="W1251" s="14"/>
      <c r="X1251" s="14"/>
      <c r="Y1251" s="15"/>
      <c r="Z1251" s="14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4"/>
      <c r="U1252" s="14"/>
      <c r="V1252" s="14"/>
      <c r="W1252" s="14"/>
      <c r="X1252" s="14"/>
      <c r="Y1252" s="15"/>
      <c r="Z1252" s="14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4"/>
      <c r="U1253" s="14"/>
      <c r="V1253" s="14"/>
      <c r="W1253" s="14"/>
      <c r="X1253" s="14"/>
      <c r="Y1253" s="15"/>
      <c r="Z1253" s="14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4"/>
      <c r="U1254" s="14"/>
      <c r="V1254" s="14"/>
      <c r="W1254" s="14"/>
      <c r="X1254" s="14"/>
      <c r="Y1254" s="15"/>
      <c r="Z1254" s="14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4"/>
      <c r="U1255" s="14"/>
      <c r="V1255" s="14"/>
      <c r="W1255" s="14"/>
      <c r="X1255" s="14"/>
      <c r="Y1255" s="15"/>
      <c r="Z1255" s="14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4"/>
      <c r="U1256" s="14"/>
      <c r="V1256" s="14"/>
      <c r="W1256" s="14"/>
      <c r="X1256" s="14"/>
      <c r="Y1256" s="15"/>
      <c r="Z1256" s="14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4"/>
      <c r="U1257" s="14"/>
      <c r="V1257" s="14"/>
      <c r="W1257" s="14"/>
      <c r="X1257" s="14"/>
      <c r="Y1257" s="15"/>
      <c r="Z1257" s="14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4"/>
      <c r="U1258" s="14"/>
      <c r="V1258" s="14"/>
      <c r="W1258" s="14"/>
      <c r="X1258" s="14"/>
      <c r="Y1258" s="15"/>
      <c r="Z1258" s="14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4"/>
      <c r="U1259" s="14"/>
      <c r="V1259" s="14"/>
      <c r="W1259" s="14"/>
      <c r="X1259" s="14"/>
      <c r="Y1259" s="15"/>
      <c r="Z1259" s="14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4"/>
      <c r="U1260" s="14"/>
      <c r="V1260" s="14"/>
      <c r="W1260" s="14"/>
      <c r="X1260" s="14"/>
      <c r="Y1260" s="15"/>
      <c r="Z1260" s="14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4"/>
      <c r="U1261" s="14"/>
      <c r="V1261" s="14"/>
      <c r="W1261" s="14"/>
      <c r="X1261" s="14"/>
      <c r="Y1261" s="15"/>
      <c r="Z1261" s="14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4"/>
      <c r="U1262" s="14"/>
      <c r="V1262" s="14"/>
      <c r="W1262" s="14"/>
      <c r="X1262" s="14"/>
      <c r="Y1262" s="15"/>
      <c r="Z1262" s="14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4"/>
      <c r="U1263" s="14"/>
      <c r="V1263" s="14"/>
      <c r="W1263" s="14"/>
      <c r="X1263" s="14"/>
      <c r="Y1263" s="15"/>
      <c r="Z1263" s="14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4"/>
      <c r="U1264" s="14"/>
      <c r="V1264" s="14"/>
      <c r="W1264" s="14"/>
      <c r="X1264" s="14"/>
      <c r="Y1264" s="15"/>
      <c r="Z1264" s="14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4"/>
      <c r="U1265" s="14"/>
      <c r="V1265" s="14"/>
      <c r="W1265" s="14"/>
      <c r="X1265" s="14"/>
      <c r="Y1265" s="15"/>
      <c r="Z1265" s="14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4"/>
      <c r="U1266" s="14"/>
      <c r="V1266" s="14"/>
      <c r="W1266" s="14"/>
      <c r="X1266" s="14"/>
      <c r="Y1266" s="15"/>
      <c r="Z1266" s="14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4"/>
      <c r="U1267" s="14"/>
      <c r="V1267" s="14"/>
      <c r="W1267" s="14"/>
      <c r="X1267" s="14"/>
      <c r="Y1267" s="15"/>
      <c r="Z1267" s="14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4"/>
      <c r="U1268" s="14"/>
      <c r="V1268" s="14"/>
      <c r="W1268" s="14"/>
      <c r="X1268" s="14"/>
      <c r="Y1268" s="15"/>
      <c r="Z1268" s="14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4"/>
      <c r="U1269" s="14"/>
      <c r="V1269" s="14"/>
      <c r="W1269" s="14"/>
      <c r="X1269" s="14"/>
      <c r="Y1269" s="15"/>
      <c r="Z1269" s="14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4"/>
      <c r="U1270" s="14"/>
      <c r="V1270" s="14"/>
      <c r="W1270" s="14"/>
      <c r="X1270" s="14"/>
      <c r="Y1270" s="15"/>
      <c r="Z1270" s="14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4"/>
      <c r="U1271" s="14"/>
      <c r="V1271" s="14"/>
      <c r="W1271" s="14"/>
      <c r="X1271" s="14"/>
      <c r="Y1271" s="15"/>
      <c r="Z1271" s="14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4"/>
      <c r="U1272" s="14"/>
      <c r="V1272" s="14"/>
      <c r="W1272" s="14"/>
      <c r="X1272" s="14"/>
      <c r="Y1272" s="15"/>
      <c r="Z1272" s="14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4"/>
      <c r="U1273" s="14"/>
      <c r="V1273" s="14"/>
      <c r="W1273" s="14"/>
      <c r="X1273" s="14"/>
      <c r="Y1273" s="15"/>
      <c r="Z1273" s="14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4"/>
      <c r="U1274" s="14"/>
      <c r="V1274" s="14"/>
      <c r="W1274" s="14"/>
      <c r="X1274" s="14"/>
      <c r="Y1274" s="15"/>
      <c r="Z1274" s="14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4"/>
      <c r="U1275" s="14"/>
      <c r="V1275" s="14"/>
      <c r="W1275" s="14"/>
      <c r="X1275" s="14"/>
      <c r="Y1275" s="15"/>
      <c r="Z1275" s="14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4"/>
      <c r="U1276" s="14"/>
      <c r="V1276" s="14"/>
      <c r="W1276" s="14"/>
      <c r="X1276" s="14"/>
      <c r="Y1276" s="15"/>
      <c r="Z1276" s="14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4"/>
      <c r="U1277" s="14"/>
      <c r="V1277" s="14"/>
      <c r="W1277" s="14"/>
      <c r="X1277" s="14"/>
      <c r="Y1277" s="15"/>
      <c r="Z1277" s="14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4"/>
      <c r="U1278" s="14"/>
      <c r="V1278" s="14"/>
      <c r="W1278" s="14"/>
      <c r="X1278" s="14"/>
      <c r="Y1278" s="15"/>
      <c r="Z1278" s="14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4"/>
      <c r="U1279" s="14"/>
      <c r="V1279" s="14"/>
      <c r="W1279" s="14"/>
      <c r="X1279" s="14"/>
      <c r="Y1279" s="15"/>
      <c r="Z1279" s="14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4"/>
      <c r="U1280" s="14"/>
      <c r="V1280" s="14"/>
      <c r="W1280" s="14"/>
      <c r="X1280" s="14"/>
      <c r="Y1280" s="15"/>
      <c r="Z1280" s="14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4"/>
      <c r="U1281" s="14"/>
      <c r="V1281" s="14"/>
      <c r="W1281" s="14"/>
      <c r="X1281" s="14"/>
      <c r="Y1281" s="15"/>
      <c r="Z1281" s="14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4"/>
      <c r="U1282" s="14"/>
      <c r="V1282" s="14"/>
      <c r="W1282" s="14"/>
      <c r="X1282" s="14"/>
      <c r="Y1282" s="15"/>
      <c r="Z1282" s="14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4"/>
      <c r="U1283" s="14"/>
      <c r="V1283" s="14"/>
      <c r="W1283" s="14"/>
      <c r="X1283" s="14"/>
      <c r="Y1283" s="15"/>
      <c r="Z1283" s="14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4"/>
      <c r="U1284" s="14"/>
      <c r="V1284" s="14"/>
      <c r="W1284" s="14"/>
      <c r="X1284" s="14"/>
      <c r="Y1284" s="15"/>
      <c r="Z1284" s="14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4"/>
      <c r="U1285" s="14"/>
      <c r="V1285" s="14"/>
      <c r="W1285" s="14"/>
      <c r="X1285" s="14"/>
      <c r="Y1285" s="15"/>
      <c r="Z1285" s="14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4"/>
      <c r="U1286" s="14"/>
      <c r="V1286" s="14"/>
      <c r="W1286" s="14"/>
      <c r="X1286" s="14"/>
      <c r="Y1286" s="15"/>
      <c r="Z1286" s="14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4"/>
      <c r="U1287" s="14"/>
      <c r="V1287" s="14"/>
      <c r="W1287" s="14"/>
      <c r="X1287" s="14"/>
      <c r="Y1287" s="15"/>
      <c r="Z1287" s="14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4"/>
      <c r="U1288" s="14"/>
      <c r="V1288" s="14"/>
      <c r="W1288" s="14"/>
      <c r="X1288" s="14"/>
      <c r="Y1288" s="15"/>
      <c r="Z1288" s="14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4"/>
      <c r="U1289" s="14"/>
      <c r="V1289" s="14"/>
      <c r="W1289" s="14"/>
      <c r="X1289" s="14"/>
      <c r="Y1289" s="15"/>
      <c r="Z1289" s="14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4"/>
      <c r="U1290" s="14"/>
      <c r="V1290" s="14"/>
      <c r="W1290" s="14"/>
      <c r="X1290" s="14"/>
      <c r="Y1290" s="15"/>
      <c r="Z1290" s="14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4"/>
      <c r="U1291" s="14"/>
      <c r="V1291" s="14"/>
      <c r="W1291" s="14"/>
      <c r="X1291" s="14"/>
      <c r="Y1291" s="15"/>
      <c r="Z1291" s="14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4"/>
      <c r="U1292" s="14"/>
      <c r="V1292" s="14"/>
      <c r="W1292" s="14"/>
      <c r="X1292" s="14"/>
      <c r="Y1292" s="15"/>
      <c r="Z1292" s="14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4"/>
      <c r="U1293" s="14"/>
      <c r="V1293" s="14"/>
      <c r="W1293" s="14"/>
      <c r="X1293" s="14"/>
      <c r="Y1293" s="15"/>
      <c r="Z1293" s="14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4"/>
      <c r="U1294" s="14"/>
      <c r="V1294" s="14"/>
      <c r="W1294" s="14"/>
      <c r="X1294" s="14"/>
      <c r="Y1294" s="15"/>
      <c r="Z1294" s="14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4"/>
      <c r="U1295" s="14"/>
      <c r="V1295" s="14"/>
      <c r="W1295" s="14"/>
      <c r="X1295" s="14"/>
      <c r="Y1295" s="15"/>
      <c r="Z1295" s="14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4"/>
      <c r="U1296" s="14"/>
      <c r="V1296" s="14"/>
      <c r="W1296" s="14"/>
      <c r="X1296" s="14"/>
      <c r="Y1296" s="15"/>
      <c r="Z1296" s="14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4"/>
      <c r="U1297" s="14"/>
      <c r="V1297" s="14"/>
      <c r="W1297" s="14"/>
      <c r="X1297" s="14"/>
      <c r="Y1297" s="15"/>
      <c r="Z1297" s="14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4"/>
      <c r="U1298" s="14"/>
      <c r="V1298" s="14"/>
      <c r="W1298" s="14"/>
      <c r="X1298" s="14"/>
      <c r="Y1298" s="15"/>
      <c r="Z1298" s="14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4"/>
      <c r="U1299" s="14"/>
      <c r="V1299" s="14"/>
      <c r="W1299" s="14"/>
      <c r="X1299" s="14"/>
      <c r="Y1299" s="15"/>
      <c r="Z1299" s="14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4"/>
      <c r="U1300" s="14"/>
      <c r="V1300" s="14"/>
      <c r="W1300" s="14"/>
      <c r="X1300" s="14"/>
      <c r="Y1300" s="15"/>
      <c r="Z1300" s="14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4"/>
      <c r="U1301" s="14"/>
      <c r="V1301" s="14"/>
      <c r="W1301" s="14"/>
      <c r="X1301" s="14"/>
      <c r="Y1301" s="15"/>
      <c r="Z1301" s="14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4"/>
      <c r="U1302" s="14"/>
      <c r="V1302" s="14"/>
      <c r="W1302" s="14"/>
      <c r="X1302" s="14"/>
      <c r="Y1302" s="15"/>
      <c r="Z1302" s="14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4"/>
      <c r="U1303" s="14"/>
      <c r="V1303" s="14"/>
      <c r="W1303" s="14"/>
      <c r="X1303" s="14"/>
      <c r="Y1303" s="15"/>
      <c r="Z1303" s="14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4"/>
      <c r="U1304" s="14"/>
      <c r="V1304" s="14"/>
      <c r="W1304" s="14"/>
      <c r="X1304" s="14"/>
      <c r="Y1304" s="15"/>
      <c r="Z1304" s="14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4"/>
      <c r="U1305" s="14"/>
      <c r="V1305" s="14"/>
      <c r="W1305" s="14"/>
      <c r="X1305" s="14"/>
      <c r="Y1305" s="15"/>
      <c r="Z1305" s="14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4"/>
      <c r="U1306" s="14"/>
      <c r="V1306" s="14"/>
      <c r="W1306" s="14"/>
      <c r="X1306" s="14"/>
      <c r="Y1306" s="15"/>
      <c r="Z1306" s="14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4"/>
      <c r="U1307" s="14"/>
      <c r="V1307" s="14"/>
      <c r="W1307" s="14"/>
      <c r="X1307" s="14"/>
      <c r="Y1307" s="15"/>
      <c r="Z1307" s="14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4"/>
      <c r="U1308" s="14"/>
      <c r="V1308" s="14"/>
      <c r="W1308" s="14"/>
      <c r="X1308" s="14"/>
      <c r="Y1308" s="15"/>
      <c r="Z1308" s="14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4"/>
      <c r="U1309" s="14"/>
      <c r="V1309" s="14"/>
      <c r="W1309" s="14"/>
      <c r="X1309" s="14"/>
      <c r="Y1309" s="15"/>
      <c r="Z1309" s="14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4"/>
      <c r="U1310" s="14"/>
      <c r="V1310" s="14"/>
      <c r="W1310" s="14"/>
      <c r="X1310" s="14"/>
      <c r="Y1310" s="15"/>
      <c r="Z1310" s="14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4"/>
      <c r="U1311" s="14"/>
      <c r="V1311" s="14"/>
      <c r="W1311" s="14"/>
      <c r="X1311" s="14"/>
      <c r="Y1311" s="15"/>
      <c r="Z1311" s="14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4"/>
      <c r="U1312" s="14"/>
      <c r="V1312" s="14"/>
      <c r="W1312" s="14"/>
      <c r="X1312" s="14"/>
      <c r="Y1312" s="15"/>
      <c r="Z1312" s="14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4"/>
      <c r="U1313" s="14"/>
      <c r="V1313" s="14"/>
      <c r="W1313" s="14"/>
      <c r="X1313" s="14"/>
      <c r="Y1313" s="15"/>
      <c r="Z1313" s="14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4"/>
      <c r="U1314" s="14"/>
      <c r="V1314" s="14"/>
      <c r="W1314" s="14"/>
      <c r="X1314" s="14"/>
      <c r="Y1314" s="15"/>
      <c r="Z1314" s="14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4"/>
      <c r="U1315" s="14"/>
      <c r="V1315" s="14"/>
      <c r="W1315" s="14"/>
      <c r="X1315" s="14"/>
      <c r="Y1315" s="15"/>
      <c r="Z1315" s="14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4"/>
      <c r="U1316" s="14"/>
      <c r="V1316" s="14"/>
      <c r="W1316" s="14"/>
      <c r="X1316" s="14"/>
      <c r="Y1316" s="15"/>
      <c r="Z1316" s="14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4"/>
      <c r="U1317" s="14"/>
      <c r="V1317" s="14"/>
      <c r="W1317" s="14"/>
      <c r="X1317" s="14"/>
      <c r="Y1317" s="15"/>
      <c r="Z1317" s="14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4"/>
      <c r="U1318" s="14"/>
      <c r="V1318" s="14"/>
      <c r="W1318" s="14"/>
      <c r="X1318" s="14"/>
      <c r="Y1318" s="15"/>
      <c r="Z1318" s="14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4"/>
      <c r="U1319" s="14"/>
      <c r="V1319" s="14"/>
      <c r="W1319" s="14"/>
      <c r="X1319" s="14"/>
      <c r="Y1319" s="15"/>
      <c r="Z1319" s="14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4"/>
      <c r="U1320" s="14"/>
      <c r="V1320" s="14"/>
      <c r="W1320" s="14"/>
      <c r="X1320" s="14"/>
      <c r="Y1320" s="15"/>
      <c r="Z1320" s="14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4"/>
      <c r="U1321" s="14"/>
      <c r="V1321" s="14"/>
      <c r="W1321" s="14"/>
      <c r="X1321" s="14"/>
      <c r="Y1321" s="15"/>
      <c r="Z1321" s="14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4"/>
      <c r="U1322" s="14"/>
      <c r="V1322" s="14"/>
      <c r="W1322" s="14"/>
      <c r="X1322" s="14"/>
      <c r="Y1322" s="15"/>
      <c r="Z1322" s="14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4"/>
      <c r="U1323" s="14"/>
      <c r="V1323" s="14"/>
      <c r="W1323" s="14"/>
      <c r="X1323" s="14"/>
      <c r="Y1323" s="15"/>
      <c r="Z1323" s="14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4"/>
      <c r="U1324" s="14"/>
      <c r="V1324" s="14"/>
      <c r="W1324" s="14"/>
      <c r="X1324" s="14"/>
      <c r="Y1324" s="15"/>
      <c r="Z1324" s="14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4"/>
      <c r="U1325" s="14"/>
      <c r="V1325" s="14"/>
      <c r="W1325" s="14"/>
      <c r="X1325" s="14"/>
      <c r="Y1325" s="15"/>
      <c r="Z1325" s="14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4"/>
      <c r="U1326" s="14"/>
      <c r="V1326" s="14"/>
      <c r="W1326" s="14"/>
      <c r="X1326" s="14"/>
      <c r="Y1326" s="15"/>
      <c r="Z1326" s="14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4"/>
      <c r="U1327" s="14"/>
      <c r="V1327" s="14"/>
      <c r="W1327" s="14"/>
      <c r="X1327" s="14"/>
      <c r="Y1327" s="15"/>
      <c r="Z1327" s="14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4"/>
      <c r="U1328" s="14"/>
      <c r="V1328" s="14"/>
      <c r="W1328" s="14"/>
      <c r="X1328" s="14"/>
      <c r="Y1328" s="15"/>
      <c r="Z1328" s="14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4"/>
      <c r="U1329" s="14"/>
      <c r="V1329" s="14"/>
      <c r="W1329" s="14"/>
      <c r="X1329" s="14"/>
      <c r="Y1329" s="15"/>
      <c r="Z1329" s="14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4"/>
      <c r="U1330" s="14"/>
      <c r="V1330" s="14"/>
      <c r="W1330" s="14"/>
      <c r="X1330" s="14"/>
      <c r="Y1330" s="15"/>
      <c r="Z1330" s="14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4"/>
      <c r="U1331" s="14"/>
      <c r="V1331" s="14"/>
      <c r="W1331" s="14"/>
      <c r="X1331" s="14"/>
      <c r="Y1331" s="15"/>
      <c r="Z1331" s="14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4"/>
      <c r="U1332" s="14"/>
      <c r="V1332" s="14"/>
      <c r="W1332" s="14"/>
      <c r="X1332" s="14"/>
      <c r="Y1332" s="15"/>
      <c r="Z1332" s="14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4"/>
      <c r="U1333" s="14"/>
      <c r="V1333" s="14"/>
      <c r="W1333" s="14"/>
      <c r="X1333" s="14"/>
      <c r="Y1333" s="15"/>
      <c r="Z1333" s="14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4"/>
      <c r="U1334" s="14"/>
      <c r="V1334" s="14"/>
      <c r="W1334" s="14"/>
      <c r="X1334" s="14"/>
      <c r="Y1334" s="15"/>
      <c r="Z1334" s="14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4"/>
      <c r="U1335" s="14"/>
      <c r="V1335" s="14"/>
      <c r="W1335" s="14"/>
      <c r="X1335" s="14"/>
      <c r="Y1335" s="15"/>
      <c r="Z1335" s="14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4"/>
      <c r="U1336" s="14"/>
      <c r="V1336" s="14"/>
      <c r="W1336" s="14"/>
      <c r="X1336" s="14"/>
      <c r="Y1336" s="15"/>
      <c r="Z1336" s="14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4"/>
      <c r="U1337" s="14"/>
      <c r="V1337" s="14"/>
      <c r="W1337" s="14"/>
      <c r="X1337" s="14"/>
      <c r="Y1337" s="15"/>
      <c r="Z1337" s="14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4"/>
      <c r="U1338" s="14"/>
      <c r="V1338" s="14"/>
      <c r="W1338" s="14"/>
      <c r="X1338" s="14"/>
      <c r="Y1338" s="15"/>
      <c r="Z1338" s="14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4"/>
      <c r="U1339" s="14"/>
      <c r="V1339" s="14"/>
      <c r="W1339" s="14"/>
      <c r="X1339" s="14"/>
      <c r="Y1339" s="15"/>
      <c r="Z1339" s="14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4"/>
      <c r="U1340" s="14"/>
      <c r="V1340" s="14"/>
      <c r="W1340" s="14"/>
      <c r="X1340" s="14"/>
      <c r="Y1340" s="15"/>
      <c r="Z1340" s="14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4"/>
      <c r="U1341" s="14"/>
      <c r="V1341" s="14"/>
      <c r="W1341" s="14"/>
      <c r="X1341" s="14"/>
      <c r="Y1341" s="15"/>
      <c r="Z1341" s="14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4"/>
      <c r="U1342" s="14"/>
      <c r="V1342" s="14"/>
      <c r="W1342" s="14"/>
      <c r="X1342" s="14"/>
      <c r="Y1342" s="15"/>
      <c r="Z1342" s="14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4"/>
      <c r="U1343" s="14"/>
      <c r="V1343" s="14"/>
      <c r="W1343" s="14"/>
      <c r="X1343" s="14"/>
      <c r="Y1343" s="15"/>
      <c r="Z1343" s="14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4"/>
      <c r="U1344" s="14"/>
      <c r="V1344" s="14"/>
      <c r="W1344" s="14"/>
      <c r="X1344" s="14"/>
      <c r="Y1344" s="15"/>
      <c r="Z1344" s="14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4"/>
      <c r="U1345" s="14"/>
      <c r="V1345" s="14"/>
      <c r="W1345" s="14"/>
      <c r="X1345" s="14"/>
      <c r="Y1345" s="15"/>
      <c r="Z1345" s="14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4"/>
      <c r="U1346" s="14"/>
      <c r="V1346" s="14"/>
      <c r="W1346" s="14"/>
      <c r="X1346" s="14"/>
      <c r="Y1346" s="15"/>
      <c r="Z1346" s="14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4"/>
      <c r="U1347" s="14"/>
      <c r="V1347" s="14"/>
      <c r="W1347" s="14"/>
      <c r="X1347" s="14"/>
      <c r="Y1347" s="15"/>
      <c r="Z1347" s="14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4"/>
      <c r="U1348" s="14"/>
      <c r="V1348" s="14"/>
      <c r="W1348" s="14"/>
      <c r="X1348" s="14"/>
      <c r="Y1348" s="15"/>
      <c r="Z1348" s="14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4"/>
      <c r="U1349" s="14"/>
      <c r="V1349" s="14"/>
      <c r="W1349" s="14"/>
      <c r="X1349" s="14"/>
      <c r="Y1349" s="15"/>
      <c r="Z1349" s="14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4"/>
      <c r="U1350" s="14"/>
      <c r="V1350" s="14"/>
      <c r="W1350" s="14"/>
      <c r="X1350" s="14"/>
      <c r="Y1350" s="15"/>
      <c r="Z1350" s="14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4"/>
      <c r="U1351" s="14"/>
      <c r="V1351" s="14"/>
      <c r="W1351" s="14"/>
      <c r="X1351" s="14"/>
      <c r="Y1351" s="15"/>
      <c r="Z1351" s="14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4"/>
      <c r="U1352" s="14"/>
      <c r="V1352" s="14"/>
      <c r="W1352" s="14"/>
      <c r="X1352" s="14"/>
      <c r="Y1352" s="15"/>
      <c r="Z1352" s="14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4"/>
      <c r="U1353" s="14"/>
      <c r="V1353" s="14"/>
      <c r="W1353" s="14"/>
      <c r="X1353" s="14"/>
      <c r="Y1353" s="15"/>
      <c r="Z1353" s="14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4"/>
      <c r="U1354" s="14"/>
      <c r="V1354" s="14"/>
      <c r="W1354" s="14"/>
      <c r="X1354" s="14"/>
      <c r="Y1354" s="15"/>
      <c r="Z1354" s="14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4"/>
      <c r="U1355" s="14"/>
      <c r="V1355" s="14"/>
      <c r="W1355" s="14"/>
      <c r="X1355" s="14"/>
      <c r="Y1355" s="15"/>
      <c r="Z1355" s="14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4"/>
      <c r="U1356" s="14"/>
      <c r="V1356" s="14"/>
      <c r="W1356" s="14"/>
      <c r="X1356" s="14"/>
      <c r="Y1356" s="15"/>
      <c r="Z1356" s="14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4"/>
      <c r="U1357" s="14"/>
      <c r="V1357" s="14"/>
      <c r="W1357" s="14"/>
      <c r="X1357" s="14"/>
      <c r="Y1357" s="15"/>
      <c r="Z1357" s="14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4"/>
      <c r="U1358" s="14"/>
      <c r="V1358" s="14"/>
      <c r="W1358" s="14"/>
      <c r="X1358" s="14"/>
      <c r="Y1358" s="15"/>
      <c r="Z1358" s="14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4"/>
      <c r="U1359" s="14"/>
      <c r="V1359" s="14"/>
      <c r="W1359" s="14"/>
      <c r="X1359" s="14"/>
      <c r="Y1359" s="15"/>
      <c r="Z1359" s="14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4"/>
      <c r="U1360" s="14"/>
      <c r="V1360" s="14"/>
      <c r="W1360" s="14"/>
      <c r="X1360" s="14"/>
      <c r="Y1360" s="15"/>
      <c r="Z1360" s="14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4"/>
      <c r="U1361" s="14"/>
      <c r="V1361" s="14"/>
      <c r="W1361" s="14"/>
      <c r="X1361" s="14"/>
      <c r="Y1361" s="15"/>
      <c r="Z1361" s="14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4"/>
      <c r="U1362" s="14"/>
      <c r="V1362" s="14"/>
      <c r="W1362" s="14"/>
      <c r="X1362" s="14"/>
      <c r="Y1362" s="15"/>
      <c r="Z1362" s="14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4"/>
      <c r="U1363" s="14"/>
      <c r="V1363" s="14"/>
      <c r="W1363" s="14"/>
      <c r="X1363" s="14"/>
      <c r="Y1363" s="15"/>
      <c r="Z1363" s="14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4"/>
      <c r="U1364" s="14"/>
      <c r="V1364" s="14"/>
      <c r="W1364" s="14"/>
      <c r="X1364" s="14"/>
      <c r="Y1364" s="15"/>
      <c r="Z1364" s="14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4"/>
      <c r="U1365" s="14"/>
      <c r="V1365" s="14"/>
      <c r="W1365" s="14"/>
      <c r="X1365" s="14"/>
      <c r="Y1365" s="15"/>
      <c r="Z1365" s="14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4"/>
      <c r="U1366" s="14"/>
      <c r="V1366" s="14"/>
      <c r="W1366" s="14"/>
      <c r="X1366" s="14"/>
      <c r="Y1366" s="15"/>
      <c r="Z1366" s="14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4"/>
      <c r="U1367" s="14"/>
      <c r="V1367" s="14"/>
      <c r="W1367" s="14"/>
      <c r="X1367" s="14"/>
      <c r="Y1367" s="15"/>
      <c r="Z1367" s="14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4"/>
      <c r="U1368" s="14"/>
      <c r="V1368" s="14"/>
      <c r="W1368" s="14"/>
      <c r="X1368" s="14"/>
      <c r="Y1368" s="15"/>
      <c r="Z1368" s="14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4"/>
      <c r="U1369" s="14"/>
      <c r="V1369" s="14"/>
      <c r="W1369" s="14"/>
      <c r="X1369" s="14"/>
      <c r="Y1369" s="15"/>
      <c r="Z1369" s="14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4"/>
      <c r="U1370" s="14"/>
      <c r="V1370" s="14"/>
      <c r="W1370" s="14"/>
      <c r="X1370" s="14"/>
      <c r="Y1370" s="15"/>
      <c r="Z1370" s="14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4"/>
      <c r="U1371" s="14"/>
      <c r="V1371" s="14"/>
      <c r="W1371" s="14"/>
      <c r="X1371" s="14"/>
      <c r="Y1371" s="15"/>
      <c r="Z1371" s="14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4"/>
      <c r="U1372" s="14"/>
      <c r="V1372" s="14"/>
      <c r="W1372" s="14"/>
      <c r="X1372" s="14"/>
      <c r="Y1372" s="15"/>
      <c r="Z1372" s="14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4"/>
      <c r="U1373" s="14"/>
      <c r="V1373" s="14"/>
      <c r="W1373" s="14"/>
      <c r="X1373" s="14"/>
      <c r="Y1373" s="15"/>
      <c r="Z1373" s="14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4"/>
      <c r="U1374" s="14"/>
      <c r="V1374" s="14"/>
      <c r="W1374" s="14"/>
      <c r="X1374" s="14"/>
      <c r="Y1374" s="15"/>
      <c r="Z1374" s="14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4"/>
      <c r="U1375" s="14"/>
      <c r="V1375" s="14"/>
      <c r="W1375" s="14"/>
      <c r="X1375" s="14"/>
      <c r="Y1375" s="15"/>
      <c r="Z1375" s="14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4"/>
      <c r="U1376" s="14"/>
      <c r="V1376" s="14"/>
      <c r="W1376" s="14"/>
      <c r="X1376" s="14"/>
      <c r="Y1376" s="15"/>
      <c r="Z1376" s="14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4"/>
      <c r="U1377" s="14"/>
      <c r="V1377" s="14"/>
      <c r="W1377" s="14"/>
      <c r="X1377" s="14"/>
      <c r="Y1377" s="15"/>
      <c r="Z1377" s="14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4"/>
      <c r="U1378" s="14"/>
      <c r="V1378" s="14"/>
      <c r="W1378" s="14"/>
      <c r="X1378" s="14"/>
      <c r="Y1378" s="15"/>
      <c r="Z1378" s="14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4"/>
      <c r="U1379" s="14"/>
      <c r="V1379" s="14"/>
      <c r="W1379" s="14"/>
      <c r="X1379" s="14"/>
      <c r="Y1379" s="15"/>
      <c r="Z1379" s="14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4"/>
      <c r="U1380" s="14"/>
      <c r="V1380" s="14"/>
      <c r="W1380" s="14"/>
      <c r="X1380" s="14"/>
      <c r="Y1380" s="15"/>
      <c r="Z1380" s="14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4"/>
      <c r="U1381" s="14"/>
      <c r="V1381" s="14"/>
      <c r="W1381" s="14"/>
      <c r="X1381" s="14"/>
      <c r="Y1381" s="15"/>
      <c r="Z1381" s="14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4"/>
      <c r="U1382" s="14"/>
      <c r="V1382" s="14"/>
      <c r="W1382" s="14"/>
      <c r="X1382" s="14"/>
      <c r="Y1382" s="15"/>
      <c r="Z1382" s="14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4"/>
      <c r="U1383" s="14"/>
      <c r="V1383" s="14"/>
      <c r="W1383" s="14"/>
      <c r="X1383" s="14"/>
      <c r="Y1383" s="15"/>
      <c r="Z1383" s="14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4"/>
      <c r="U1384" s="14"/>
      <c r="V1384" s="14"/>
      <c r="W1384" s="14"/>
      <c r="X1384" s="14"/>
      <c r="Y1384" s="15"/>
      <c r="Z1384" s="14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4"/>
      <c r="U1385" s="14"/>
      <c r="V1385" s="14"/>
      <c r="W1385" s="14"/>
      <c r="X1385" s="14"/>
      <c r="Y1385" s="15"/>
      <c r="Z1385" s="14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4"/>
      <c r="U1386" s="14"/>
      <c r="V1386" s="14"/>
      <c r="W1386" s="14"/>
      <c r="X1386" s="14"/>
      <c r="Y1386" s="15"/>
      <c r="Z1386" s="14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4"/>
      <c r="U1387" s="14"/>
      <c r="V1387" s="14"/>
      <c r="W1387" s="14"/>
      <c r="X1387" s="14"/>
      <c r="Y1387" s="15"/>
      <c r="Z1387" s="14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4"/>
      <c r="U1388" s="14"/>
      <c r="V1388" s="14"/>
      <c r="W1388" s="14"/>
      <c r="X1388" s="14"/>
      <c r="Y1388" s="15"/>
      <c r="Z1388" s="14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4"/>
      <c r="U1389" s="14"/>
      <c r="V1389" s="14"/>
      <c r="W1389" s="14"/>
      <c r="X1389" s="14"/>
      <c r="Y1389" s="15"/>
      <c r="Z1389" s="14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4"/>
      <c r="U1390" s="14"/>
      <c r="V1390" s="14"/>
      <c r="W1390" s="14"/>
      <c r="X1390" s="14"/>
      <c r="Y1390" s="15"/>
      <c r="Z1390" s="14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4"/>
      <c r="U1391" s="14"/>
      <c r="V1391" s="14"/>
      <c r="W1391" s="14"/>
      <c r="X1391" s="14"/>
      <c r="Y1391" s="15"/>
      <c r="Z1391" s="14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4"/>
      <c r="U1392" s="14"/>
      <c r="V1392" s="14"/>
      <c r="W1392" s="14"/>
      <c r="X1392" s="14"/>
      <c r="Y1392" s="15"/>
      <c r="Z1392" s="14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4"/>
      <c r="U1393" s="14"/>
      <c r="V1393" s="14"/>
      <c r="W1393" s="14"/>
      <c r="X1393" s="14"/>
      <c r="Y1393" s="15"/>
      <c r="Z1393" s="14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4"/>
      <c r="U1394" s="14"/>
      <c r="V1394" s="14"/>
      <c r="W1394" s="14"/>
      <c r="X1394" s="14"/>
      <c r="Y1394" s="15"/>
      <c r="Z1394" s="14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4"/>
      <c r="U1395" s="14"/>
      <c r="V1395" s="14"/>
      <c r="W1395" s="14"/>
      <c r="X1395" s="14"/>
      <c r="Y1395" s="15"/>
      <c r="Z1395" s="14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4"/>
      <c r="U1396" s="14"/>
      <c r="V1396" s="14"/>
      <c r="W1396" s="14"/>
      <c r="X1396" s="14"/>
      <c r="Y1396" s="15"/>
      <c r="Z1396" s="14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4"/>
      <c r="U1397" s="14"/>
      <c r="V1397" s="14"/>
      <c r="W1397" s="14"/>
      <c r="X1397" s="14"/>
      <c r="Y1397" s="15"/>
      <c r="Z1397" s="14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4"/>
      <c r="U1398" s="14"/>
      <c r="V1398" s="14"/>
      <c r="W1398" s="14"/>
      <c r="X1398" s="14"/>
      <c r="Y1398" s="15"/>
      <c r="Z1398" s="14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4"/>
      <c r="U1399" s="14"/>
      <c r="V1399" s="14"/>
      <c r="W1399" s="14"/>
      <c r="X1399" s="14"/>
      <c r="Y1399" s="15"/>
      <c r="Z1399" s="14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4"/>
      <c r="U1400" s="14"/>
      <c r="V1400" s="14"/>
      <c r="W1400" s="14"/>
      <c r="X1400" s="14"/>
      <c r="Y1400" s="15"/>
      <c r="Z1400" s="14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4"/>
      <c r="U1401" s="14"/>
      <c r="V1401" s="14"/>
      <c r="W1401" s="14"/>
      <c r="X1401" s="14"/>
      <c r="Y1401" s="15"/>
      <c r="Z1401" s="14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4"/>
      <c r="U1402" s="14"/>
      <c r="V1402" s="14"/>
      <c r="W1402" s="14"/>
      <c r="X1402" s="14"/>
      <c r="Y1402" s="15"/>
      <c r="Z1402" s="14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4"/>
      <c r="U1403" s="14"/>
      <c r="V1403" s="14"/>
      <c r="W1403" s="14"/>
      <c r="X1403" s="14"/>
      <c r="Y1403" s="15"/>
      <c r="Z1403" s="14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4"/>
      <c r="U1404" s="14"/>
      <c r="V1404" s="14"/>
      <c r="W1404" s="14"/>
      <c r="X1404" s="14"/>
      <c r="Y1404" s="15"/>
      <c r="Z1404" s="14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4"/>
      <c r="U1405" s="14"/>
      <c r="V1405" s="14"/>
      <c r="W1405" s="14"/>
      <c r="X1405" s="14"/>
      <c r="Y1405" s="15"/>
      <c r="Z1405" s="14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4"/>
      <c r="U1406" s="14"/>
      <c r="V1406" s="14"/>
      <c r="W1406" s="14"/>
      <c r="X1406" s="14"/>
      <c r="Y1406" s="15"/>
      <c r="Z1406" s="14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4"/>
      <c r="U1407" s="14"/>
      <c r="V1407" s="14"/>
      <c r="W1407" s="14"/>
      <c r="X1407" s="14"/>
      <c r="Y1407" s="15"/>
      <c r="Z1407" s="14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4"/>
      <c r="U1408" s="14"/>
      <c r="V1408" s="14"/>
      <c r="W1408" s="14"/>
      <c r="X1408" s="14"/>
      <c r="Y1408" s="15"/>
      <c r="Z1408" s="14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4"/>
      <c r="U1409" s="14"/>
      <c r="V1409" s="14"/>
      <c r="W1409" s="14"/>
      <c r="X1409" s="14"/>
      <c r="Y1409" s="15"/>
      <c r="Z1409" s="14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4"/>
      <c r="U1410" s="14"/>
      <c r="V1410" s="14"/>
      <c r="W1410" s="14"/>
      <c r="X1410" s="14"/>
      <c r="Y1410" s="15"/>
      <c r="Z1410" s="14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4"/>
      <c r="U1411" s="14"/>
      <c r="V1411" s="14"/>
      <c r="W1411" s="14"/>
      <c r="X1411" s="14"/>
      <c r="Y1411" s="15"/>
      <c r="Z1411" s="14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4"/>
      <c r="U1412" s="14"/>
      <c r="V1412" s="14"/>
      <c r="W1412" s="14"/>
      <c r="X1412" s="14"/>
      <c r="Y1412" s="15"/>
      <c r="Z1412" s="14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4"/>
      <c r="U1413" s="14"/>
      <c r="V1413" s="14"/>
      <c r="W1413" s="14"/>
      <c r="X1413" s="14"/>
      <c r="Y1413" s="15"/>
      <c r="Z1413" s="14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4"/>
      <c r="U1414" s="14"/>
      <c r="V1414" s="14"/>
      <c r="W1414" s="14"/>
      <c r="X1414" s="14"/>
      <c r="Y1414" s="15"/>
      <c r="Z1414" s="14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4"/>
      <c r="U1415" s="14"/>
      <c r="V1415" s="14"/>
      <c r="W1415" s="14"/>
      <c r="X1415" s="14"/>
      <c r="Y1415" s="15"/>
      <c r="Z1415" s="14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4"/>
      <c r="U1416" s="14"/>
      <c r="V1416" s="14"/>
      <c r="W1416" s="14"/>
      <c r="X1416" s="14"/>
      <c r="Y1416" s="15"/>
      <c r="Z1416" s="14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4"/>
      <c r="U1417" s="14"/>
      <c r="V1417" s="14"/>
      <c r="W1417" s="14"/>
      <c r="X1417" s="14"/>
      <c r="Y1417" s="15"/>
      <c r="Z1417" s="14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4"/>
      <c r="U1418" s="14"/>
      <c r="V1418" s="14"/>
      <c r="W1418" s="14"/>
      <c r="X1418" s="14"/>
      <c r="Y1418" s="15"/>
      <c r="Z1418" s="14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4"/>
      <c r="U1419" s="14"/>
      <c r="V1419" s="14"/>
      <c r="W1419" s="14"/>
      <c r="X1419" s="14"/>
      <c r="Y1419" s="15"/>
      <c r="Z1419" s="14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4"/>
      <c r="U1420" s="14"/>
      <c r="V1420" s="14"/>
      <c r="W1420" s="14"/>
      <c r="X1420" s="14"/>
      <c r="Y1420" s="15"/>
      <c r="Z1420" s="14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4"/>
      <c r="U1421" s="14"/>
      <c r="V1421" s="14"/>
      <c r="W1421" s="14"/>
      <c r="X1421" s="14"/>
      <c r="Y1421" s="15"/>
      <c r="Z1421" s="14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4"/>
      <c r="U1422" s="14"/>
      <c r="V1422" s="14"/>
      <c r="W1422" s="14"/>
      <c r="X1422" s="14"/>
      <c r="Y1422" s="15"/>
      <c r="Z1422" s="14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4"/>
      <c r="U1423" s="14"/>
      <c r="V1423" s="14"/>
      <c r="W1423" s="14"/>
      <c r="X1423" s="14"/>
      <c r="Y1423" s="15"/>
      <c r="Z1423" s="14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4"/>
      <c r="U1424" s="14"/>
      <c r="V1424" s="14"/>
      <c r="W1424" s="14"/>
      <c r="X1424" s="14"/>
      <c r="Y1424" s="15"/>
      <c r="Z1424" s="14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4"/>
      <c r="U1425" s="14"/>
      <c r="V1425" s="14"/>
      <c r="W1425" s="14"/>
      <c r="X1425" s="14"/>
      <c r="Y1425" s="15"/>
      <c r="Z1425" s="14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4"/>
      <c r="U1426" s="14"/>
      <c r="V1426" s="14"/>
      <c r="W1426" s="14"/>
      <c r="X1426" s="14"/>
      <c r="Y1426" s="15"/>
      <c r="Z1426" s="14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4"/>
      <c r="U1427" s="14"/>
      <c r="V1427" s="14"/>
      <c r="W1427" s="14"/>
      <c r="X1427" s="14"/>
      <c r="Y1427" s="15"/>
      <c r="Z1427" s="14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4"/>
      <c r="U1428" s="14"/>
      <c r="V1428" s="14"/>
      <c r="W1428" s="14"/>
      <c r="X1428" s="14"/>
      <c r="Y1428" s="15"/>
      <c r="Z1428" s="14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4"/>
      <c r="U1429" s="14"/>
      <c r="V1429" s="14"/>
      <c r="W1429" s="14"/>
      <c r="X1429" s="14"/>
      <c r="Y1429" s="15"/>
      <c r="Z1429" s="14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4"/>
      <c r="U1430" s="14"/>
      <c r="V1430" s="14"/>
      <c r="W1430" s="14"/>
      <c r="X1430" s="14"/>
      <c r="Y1430" s="15"/>
      <c r="Z1430" s="14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4"/>
      <c r="U1431" s="14"/>
      <c r="V1431" s="14"/>
      <c r="W1431" s="14"/>
      <c r="X1431" s="14"/>
      <c r="Y1431" s="15"/>
      <c r="Z1431" s="14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4"/>
      <c r="U1432" s="14"/>
      <c r="V1432" s="14"/>
      <c r="W1432" s="14"/>
      <c r="X1432" s="14"/>
      <c r="Y1432" s="15"/>
      <c r="Z1432" s="14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4"/>
      <c r="U1433" s="14"/>
      <c r="V1433" s="14"/>
      <c r="W1433" s="14"/>
      <c r="X1433" s="14"/>
      <c r="Y1433" s="15"/>
      <c r="Z1433" s="14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4"/>
      <c r="U1434" s="14"/>
      <c r="V1434" s="14"/>
      <c r="W1434" s="14"/>
      <c r="X1434" s="14"/>
      <c r="Y1434" s="15"/>
      <c r="Z1434" s="14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4"/>
      <c r="U1435" s="14"/>
      <c r="V1435" s="14"/>
      <c r="W1435" s="14"/>
      <c r="X1435" s="14"/>
      <c r="Y1435" s="15"/>
      <c r="Z1435" s="14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4"/>
      <c r="U1436" s="14"/>
      <c r="V1436" s="14"/>
      <c r="W1436" s="14"/>
      <c r="X1436" s="14"/>
      <c r="Y1436" s="15"/>
      <c r="Z1436" s="14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4"/>
      <c r="U1437" s="14"/>
      <c r="V1437" s="14"/>
      <c r="W1437" s="14"/>
      <c r="X1437" s="14"/>
      <c r="Y1437" s="15"/>
      <c r="Z1437" s="14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4"/>
      <c r="U1438" s="14"/>
      <c r="V1438" s="14"/>
      <c r="W1438" s="14"/>
      <c r="X1438" s="14"/>
      <c r="Y1438" s="15"/>
      <c r="Z1438" s="14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4"/>
      <c r="U1439" s="14"/>
      <c r="V1439" s="14"/>
      <c r="W1439" s="14"/>
      <c r="X1439" s="14"/>
      <c r="Y1439" s="15"/>
      <c r="Z1439" s="14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4"/>
      <c r="U1440" s="14"/>
      <c r="V1440" s="14"/>
      <c r="W1440" s="14"/>
      <c r="X1440" s="14"/>
      <c r="Y1440" s="15"/>
      <c r="Z1440" s="14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4"/>
      <c r="U1441" s="14"/>
      <c r="V1441" s="14"/>
      <c r="W1441" s="14"/>
      <c r="X1441" s="14"/>
      <c r="Y1441" s="15"/>
      <c r="Z1441" s="14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4"/>
      <c r="U1442" s="14"/>
      <c r="V1442" s="14"/>
      <c r="W1442" s="14"/>
      <c r="X1442" s="14"/>
      <c r="Y1442" s="15"/>
      <c r="Z1442" s="14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4"/>
      <c r="U1443" s="14"/>
      <c r="V1443" s="14"/>
      <c r="W1443" s="14"/>
      <c r="X1443" s="14"/>
      <c r="Y1443" s="15"/>
      <c r="Z1443" s="14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4"/>
      <c r="U1444" s="14"/>
      <c r="V1444" s="14"/>
      <c r="W1444" s="14"/>
      <c r="X1444" s="14"/>
      <c r="Y1444" s="15"/>
      <c r="Z1444" s="14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4"/>
      <c r="U1445" s="14"/>
      <c r="V1445" s="14"/>
      <c r="W1445" s="14"/>
      <c r="X1445" s="14"/>
      <c r="Y1445" s="15"/>
      <c r="Z1445" s="14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4"/>
      <c r="U1446" s="14"/>
      <c r="V1446" s="14"/>
      <c r="W1446" s="14"/>
      <c r="X1446" s="14"/>
      <c r="Y1446" s="15"/>
      <c r="Z1446" s="14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4"/>
      <c r="U1447" s="14"/>
      <c r="V1447" s="14"/>
      <c r="W1447" s="14"/>
      <c r="X1447" s="14"/>
      <c r="Y1447" s="15"/>
      <c r="Z1447" s="14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4"/>
      <c r="U1448" s="14"/>
      <c r="V1448" s="14"/>
      <c r="W1448" s="14"/>
      <c r="X1448" s="14"/>
      <c r="Y1448" s="15"/>
      <c r="Z1448" s="14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4"/>
      <c r="U1449" s="14"/>
      <c r="V1449" s="14"/>
      <c r="W1449" s="14"/>
      <c r="X1449" s="14"/>
      <c r="Y1449" s="15"/>
      <c r="Z1449" s="14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4"/>
      <c r="U1450" s="14"/>
      <c r="V1450" s="14"/>
      <c r="W1450" s="14"/>
      <c r="X1450" s="14"/>
      <c r="Y1450" s="15"/>
      <c r="Z1450" s="14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4"/>
      <c r="U1451" s="14"/>
      <c r="V1451" s="14"/>
      <c r="W1451" s="14"/>
      <c r="X1451" s="14"/>
      <c r="Y1451" s="15"/>
      <c r="Z1451" s="14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4"/>
      <c r="U1452" s="14"/>
      <c r="V1452" s="14"/>
      <c r="W1452" s="14"/>
      <c r="X1452" s="14"/>
      <c r="Y1452" s="15"/>
      <c r="Z1452" s="14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4"/>
      <c r="U1453" s="14"/>
      <c r="V1453" s="14"/>
      <c r="W1453" s="14"/>
      <c r="X1453" s="14"/>
      <c r="Y1453" s="15"/>
      <c r="Z1453" s="14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4"/>
      <c r="U1454" s="14"/>
      <c r="V1454" s="14"/>
      <c r="W1454" s="14"/>
      <c r="X1454" s="14"/>
      <c r="Y1454" s="15"/>
      <c r="Z1454" s="14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4"/>
      <c r="U1455" s="14"/>
      <c r="V1455" s="14"/>
      <c r="W1455" s="14"/>
      <c r="X1455" s="14"/>
      <c r="Y1455" s="15"/>
      <c r="Z1455" s="14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4"/>
      <c r="U1456" s="14"/>
      <c r="V1456" s="14"/>
      <c r="W1456" s="14"/>
      <c r="X1456" s="14"/>
      <c r="Y1456" s="15"/>
      <c r="Z1456" s="14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4"/>
      <c r="U1457" s="14"/>
      <c r="V1457" s="14"/>
      <c r="W1457" s="14"/>
      <c r="X1457" s="14"/>
      <c r="Y1457" s="15"/>
      <c r="Z1457" s="14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4"/>
      <c r="U1458" s="14"/>
      <c r="V1458" s="14"/>
      <c r="W1458" s="14"/>
      <c r="X1458" s="14"/>
      <c r="Y1458" s="15"/>
      <c r="Z1458" s="14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4"/>
      <c r="U1459" s="14"/>
      <c r="V1459" s="14"/>
      <c r="W1459" s="14"/>
      <c r="X1459" s="14"/>
      <c r="Y1459" s="15"/>
      <c r="Z1459" s="14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4"/>
      <c r="U1460" s="14"/>
      <c r="V1460" s="14"/>
      <c r="W1460" s="14"/>
      <c r="X1460" s="14"/>
      <c r="Y1460" s="15"/>
      <c r="Z1460" s="14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4"/>
      <c r="U1461" s="14"/>
      <c r="V1461" s="14"/>
      <c r="W1461" s="14"/>
      <c r="X1461" s="14"/>
      <c r="Y1461" s="15"/>
      <c r="Z1461" s="14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4"/>
      <c r="U1462" s="14"/>
      <c r="V1462" s="14"/>
      <c r="W1462" s="14"/>
      <c r="X1462" s="14"/>
      <c r="Y1462" s="15"/>
      <c r="Z1462" s="14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4"/>
      <c r="U1463" s="14"/>
      <c r="V1463" s="14"/>
      <c r="W1463" s="14"/>
      <c r="X1463" s="14"/>
      <c r="Y1463" s="15"/>
      <c r="Z1463" s="14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4"/>
      <c r="U1464" s="14"/>
      <c r="V1464" s="14"/>
      <c r="W1464" s="14"/>
      <c r="X1464" s="14"/>
      <c r="Y1464" s="15"/>
      <c r="Z1464" s="14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4"/>
      <c r="U1465" s="14"/>
      <c r="V1465" s="14"/>
      <c r="W1465" s="14"/>
      <c r="X1465" s="14"/>
      <c r="Y1465" s="15"/>
      <c r="Z1465" s="14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4"/>
      <c r="U1466" s="14"/>
      <c r="V1466" s="14"/>
      <c r="W1466" s="14"/>
      <c r="X1466" s="14"/>
      <c r="Y1466" s="15"/>
      <c r="Z1466" s="14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4"/>
      <c r="U1467" s="14"/>
      <c r="V1467" s="14"/>
      <c r="W1467" s="14"/>
      <c r="X1467" s="14"/>
      <c r="Y1467" s="15"/>
      <c r="Z1467" s="14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4"/>
      <c r="U1468" s="14"/>
      <c r="V1468" s="14"/>
      <c r="W1468" s="14"/>
      <c r="X1468" s="14"/>
      <c r="Y1468" s="15"/>
      <c r="Z1468" s="14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4"/>
      <c r="U1469" s="14"/>
      <c r="V1469" s="14"/>
      <c r="W1469" s="14"/>
      <c r="X1469" s="14"/>
      <c r="Y1469" s="15"/>
      <c r="Z1469" s="14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4"/>
      <c r="U1470" s="14"/>
      <c r="V1470" s="14"/>
      <c r="W1470" s="14"/>
      <c r="X1470" s="14"/>
      <c r="Y1470" s="15"/>
      <c r="Z1470" s="14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4"/>
      <c r="U1471" s="14"/>
      <c r="V1471" s="14"/>
      <c r="W1471" s="14"/>
      <c r="X1471" s="14"/>
      <c r="Y1471" s="15"/>
      <c r="Z1471" s="14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4"/>
      <c r="U1472" s="14"/>
      <c r="V1472" s="14"/>
      <c r="W1472" s="14"/>
      <c r="X1472" s="14"/>
      <c r="Y1472" s="15"/>
      <c r="Z1472" s="14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4"/>
      <c r="U1473" s="14"/>
      <c r="V1473" s="14"/>
      <c r="W1473" s="14"/>
      <c r="X1473" s="14"/>
      <c r="Y1473" s="15"/>
      <c r="Z1473" s="14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4"/>
      <c r="U1474" s="14"/>
      <c r="V1474" s="14"/>
      <c r="W1474" s="14"/>
      <c r="X1474" s="14"/>
      <c r="Y1474" s="15"/>
      <c r="Z1474" s="14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4"/>
      <c r="U1475" s="14"/>
      <c r="V1475" s="14"/>
      <c r="W1475" s="14"/>
      <c r="X1475" s="14"/>
      <c r="Y1475" s="15"/>
      <c r="Z1475" s="14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4"/>
      <c r="U1476" s="14"/>
      <c r="V1476" s="14"/>
      <c r="W1476" s="14"/>
      <c r="X1476" s="14"/>
      <c r="Y1476" s="15"/>
      <c r="Z1476" s="14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4"/>
      <c r="U1477" s="14"/>
      <c r="V1477" s="14"/>
      <c r="W1477" s="14"/>
      <c r="X1477" s="14"/>
      <c r="Y1477" s="15"/>
      <c r="Z1477" s="14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4"/>
      <c r="U1478" s="14"/>
      <c r="V1478" s="14"/>
      <c r="W1478" s="14"/>
      <c r="X1478" s="14"/>
      <c r="Y1478" s="15"/>
      <c r="Z1478" s="14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4"/>
      <c r="U1479" s="14"/>
      <c r="V1479" s="14"/>
      <c r="W1479" s="14"/>
      <c r="X1479" s="14"/>
      <c r="Y1479" s="15"/>
      <c r="Z1479" s="14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4"/>
      <c r="U1480" s="14"/>
      <c r="V1480" s="14"/>
      <c r="W1480" s="14"/>
      <c r="X1480" s="14"/>
      <c r="Y1480" s="15"/>
      <c r="Z1480" s="14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4"/>
      <c r="U1481" s="14"/>
      <c r="V1481" s="14"/>
      <c r="W1481" s="14"/>
      <c r="X1481" s="14"/>
      <c r="Y1481" s="15"/>
      <c r="Z1481" s="14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4"/>
      <c r="U1482" s="14"/>
      <c r="V1482" s="14"/>
      <c r="W1482" s="14"/>
      <c r="X1482" s="14"/>
      <c r="Y1482" s="15"/>
      <c r="Z1482" s="14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4"/>
      <c r="U1483" s="14"/>
      <c r="V1483" s="14"/>
      <c r="W1483" s="14"/>
      <c r="X1483" s="14"/>
      <c r="Y1483" s="15"/>
      <c r="Z1483" s="14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4"/>
      <c r="U1484" s="14"/>
      <c r="V1484" s="14"/>
      <c r="W1484" s="14"/>
      <c r="X1484" s="14"/>
      <c r="Y1484" s="15"/>
      <c r="Z1484" s="14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4"/>
      <c r="U1485" s="14"/>
      <c r="V1485" s="14"/>
      <c r="W1485" s="14"/>
      <c r="X1485" s="14"/>
      <c r="Y1485" s="15"/>
      <c r="Z1485" s="14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4"/>
      <c r="U1486" s="14"/>
      <c r="V1486" s="14"/>
      <c r="W1486" s="14"/>
      <c r="X1486" s="14"/>
      <c r="Y1486" s="15"/>
      <c r="Z1486" s="14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4"/>
      <c r="U1487" s="14"/>
      <c r="V1487" s="14"/>
      <c r="W1487" s="14"/>
      <c r="X1487" s="14"/>
      <c r="Y1487" s="15"/>
      <c r="Z1487" s="14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4"/>
      <c r="U1488" s="14"/>
      <c r="V1488" s="14"/>
      <c r="W1488" s="14"/>
      <c r="X1488" s="14"/>
      <c r="Y1488" s="15"/>
      <c r="Z1488" s="14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4"/>
      <c r="U1489" s="14"/>
      <c r="V1489" s="14"/>
      <c r="W1489" s="14"/>
      <c r="X1489" s="14"/>
      <c r="Y1489" s="15"/>
      <c r="Z1489" s="14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4"/>
      <c r="U1490" s="14"/>
      <c r="V1490" s="14"/>
      <c r="W1490" s="14"/>
      <c r="X1490" s="14"/>
      <c r="Y1490" s="15"/>
      <c r="Z1490" s="14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4"/>
      <c r="U1491" s="14"/>
      <c r="V1491" s="14"/>
      <c r="W1491" s="14"/>
      <c r="X1491" s="14"/>
      <c r="Y1491" s="15"/>
      <c r="Z1491" s="14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4"/>
      <c r="U1492" s="14"/>
      <c r="V1492" s="14"/>
      <c r="W1492" s="14"/>
      <c r="X1492" s="14"/>
      <c r="Y1492" s="15"/>
      <c r="Z1492" s="14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4"/>
      <c r="U1493" s="14"/>
      <c r="V1493" s="14"/>
      <c r="W1493" s="14"/>
      <c r="X1493" s="14"/>
      <c r="Y1493" s="15"/>
      <c r="Z1493" s="14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4"/>
      <c r="U1494" s="14"/>
      <c r="V1494" s="14"/>
      <c r="W1494" s="14"/>
      <c r="X1494" s="14"/>
      <c r="Y1494" s="15"/>
      <c r="Z1494" s="14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4"/>
      <c r="U1495" s="14"/>
      <c r="V1495" s="14"/>
      <c r="W1495" s="14"/>
      <c r="X1495" s="14"/>
      <c r="Y1495" s="15"/>
      <c r="Z1495" s="14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4"/>
      <c r="U1496" s="14"/>
      <c r="V1496" s="14"/>
      <c r="W1496" s="14"/>
      <c r="X1496" s="14"/>
      <c r="Y1496" s="15"/>
      <c r="Z1496" s="14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4"/>
      <c r="U1497" s="14"/>
      <c r="V1497" s="14"/>
      <c r="W1497" s="14"/>
      <c r="X1497" s="14"/>
      <c r="Y1497" s="15"/>
      <c r="Z1497" s="14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4"/>
      <c r="U1498" s="14"/>
      <c r="V1498" s="14"/>
      <c r="W1498" s="14"/>
      <c r="X1498" s="14"/>
      <c r="Y1498" s="15"/>
      <c r="Z1498" s="14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4"/>
      <c r="U1499" s="14"/>
      <c r="V1499" s="14"/>
      <c r="W1499" s="14"/>
      <c r="X1499" s="14"/>
      <c r="Y1499" s="15"/>
      <c r="Z1499" s="14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4"/>
      <c r="U1500" s="14"/>
      <c r="V1500" s="14"/>
      <c r="W1500" s="14"/>
      <c r="X1500" s="14"/>
      <c r="Y1500" s="15"/>
      <c r="Z1500" s="14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4"/>
      <c r="U1501" s="14"/>
      <c r="V1501" s="14"/>
      <c r="W1501" s="14"/>
      <c r="X1501" s="14"/>
      <c r="Y1501" s="15"/>
      <c r="Z1501" s="14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4"/>
      <c r="U1502" s="14"/>
      <c r="V1502" s="14"/>
      <c r="W1502" s="14"/>
      <c r="X1502" s="14"/>
      <c r="Y1502" s="15"/>
      <c r="Z1502" s="14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4"/>
      <c r="U1503" s="14"/>
      <c r="V1503" s="14"/>
      <c r="W1503" s="14"/>
      <c r="X1503" s="14"/>
      <c r="Y1503" s="15"/>
      <c r="Z1503" s="14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4"/>
      <c r="U1504" s="14"/>
      <c r="V1504" s="14"/>
      <c r="W1504" s="14"/>
      <c r="X1504" s="14"/>
      <c r="Y1504" s="15"/>
      <c r="Z1504" s="14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4"/>
      <c r="U1505" s="14"/>
      <c r="V1505" s="14"/>
      <c r="W1505" s="14"/>
      <c r="X1505" s="14"/>
      <c r="Y1505" s="15"/>
      <c r="Z1505" s="14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4"/>
      <c r="U1506" s="14"/>
      <c r="V1506" s="14"/>
      <c r="W1506" s="14"/>
      <c r="X1506" s="14"/>
      <c r="Y1506" s="15"/>
      <c r="Z1506" s="14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4"/>
      <c r="U1507" s="14"/>
      <c r="V1507" s="14"/>
      <c r="W1507" s="14"/>
      <c r="X1507" s="14"/>
      <c r="Y1507" s="15"/>
      <c r="Z1507" s="14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4"/>
      <c r="U1508" s="14"/>
      <c r="V1508" s="14"/>
      <c r="W1508" s="14"/>
      <c r="X1508" s="14"/>
      <c r="Y1508" s="15"/>
      <c r="Z1508" s="14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4"/>
      <c r="U1509" s="14"/>
      <c r="V1509" s="14"/>
      <c r="W1509" s="14"/>
      <c r="X1509" s="14"/>
      <c r="Y1509" s="15"/>
      <c r="Z1509" s="14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4"/>
      <c r="U1510" s="14"/>
      <c r="V1510" s="14"/>
      <c r="W1510" s="14"/>
      <c r="X1510" s="14"/>
      <c r="Y1510" s="15"/>
      <c r="Z1510" s="14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4"/>
      <c r="U1511" s="14"/>
      <c r="V1511" s="14"/>
      <c r="W1511" s="14"/>
      <c r="X1511" s="14"/>
      <c r="Y1511" s="15"/>
      <c r="Z1511" s="14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4"/>
      <c r="U1512" s="14"/>
      <c r="V1512" s="14"/>
      <c r="W1512" s="14"/>
      <c r="X1512" s="14"/>
      <c r="Y1512" s="15"/>
      <c r="Z1512" s="14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4"/>
      <c r="U1513" s="14"/>
      <c r="V1513" s="14"/>
      <c r="W1513" s="14"/>
      <c r="X1513" s="14"/>
      <c r="Y1513" s="15"/>
      <c r="Z1513" s="14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4"/>
      <c r="U1514" s="14"/>
      <c r="V1514" s="14"/>
      <c r="W1514" s="14"/>
      <c r="X1514" s="14"/>
      <c r="Y1514" s="15"/>
      <c r="Z1514" s="14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4"/>
      <c r="U1515" s="14"/>
      <c r="V1515" s="14"/>
      <c r="W1515" s="14"/>
      <c r="X1515" s="14"/>
      <c r="Y1515" s="15"/>
      <c r="Z1515" s="14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4"/>
      <c r="U1516" s="14"/>
      <c r="V1516" s="14"/>
      <c r="W1516" s="14"/>
      <c r="X1516" s="14"/>
      <c r="Y1516" s="15"/>
      <c r="Z1516" s="14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4"/>
      <c r="U1517" s="14"/>
      <c r="V1517" s="14"/>
      <c r="W1517" s="14"/>
      <c r="X1517" s="14"/>
      <c r="Y1517" s="15"/>
      <c r="Z1517" s="14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4"/>
      <c r="U1518" s="14"/>
      <c r="V1518" s="14"/>
      <c r="W1518" s="14"/>
      <c r="X1518" s="14"/>
      <c r="Y1518" s="15"/>
      <c r="Z1518" s="14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4"/>
      <c r="U1519" s="14"/>
      <c r="V1519" s="14"/>
      <c r="W1519" s="14"/>
      <c r="X1519" s="14"/>
      <c r="Y1519" s="15"/>
      <c r="Z1519" s="14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4"/>
      <c r="U1520" s="14"/>
      <c r="V1520" s="14"/>
      <c r="W1520" s="14"/>
      <c r="X1520" s="14"/>
      <c r="Y1520" s="15"/>
      <c r="Z1520" s="14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4"/>
      <c r="U1521" s="14"/>
      <c r="V1521" s="14"/>
      <c r="W1521" s="14"/>
      <c r="X1521" s="14"/>
      <c r="Y1521" s="15"/>
      <c r="Z1521" s="14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4"/>
      <c r="U1522" s="14"/>
      <c r="V1522" s="14"/>
      <c r="W1522" s="14"/>
      <c r="X1522" s="14"/>
      <c r="Y1522" s="15"/>
      <c r="Z1522" s="14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4"/>
      <c r="U1523" s="14"/>
      <c r="V1523" s="14"/>
      <c r="W1523" s="14"/>
      <c r="X1523" s="14"/>
      <c r="Y1523" s="15"/>
      <c r="Z1523" s="14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4"/>
      <c r="U1524" s="14"/>
      <c r="V1524" s="14"/>
      <c r="W1524" s="14"/>
      <c r="X1524" s="14"/>
      <c r="Y1524" s="15"/>
      <c r="Z1524" s="14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4"/>
      <c r="U1525" s="14"/>
      <c r="V1525" s="14"/>
      <c r="W1525" s="14"/>
      <c r="X1525" s="14"/>
      <c r="Y1525" s="15"/>
      <c r="Z1525" s="14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4"/>
      <c r="U1526" s="14"/>
      <c r="V1526" s="14"/>
      <c r="W1526" s="14"/>
      <c r="X1526" s="14"/>
      <c r="Y1526" s="15"/>
      <c r="Z1526" s="14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4"/>
      <c r="U1527" s="14"/>
      <c r="V1527" s="14"/>
      <c r="W1527" s="14"/>
      <c r="X1527" s="14"/>
      <c r="Y1527" s="15"/>
      <c r="Z1527" s="14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4"/>
      <c r="U1528" s="14"/>
      <c r="V1528" s="14"/>
      <c r="W1528" s="14"/>
      <c r="X1528" s="14"/>
      <c r="Y1528" s="15"/>
      <c r="Z1528" s="14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4"/>
      <c r="U1529" s="14"/>
      <c r="V1529" s="14"/>
      <c r="W1529" s="14"/>
      <c r="X1529" s="14"/>
      <c r="Y1529" s="15"/>
      <c r="Z1529" s="14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4"/>
      <c r="U1530" s="14"/>
      <c r="V1530" s="14"/>
      <c r="W1530" s="14"/>
      <c r="X1530" s="14"/>
      <c r="Y1530" s="15"/>
      <c r="Z1530" s="14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4"/>
      <c r="U1531" s="14"/>
      <c r="V1531" s="14"/>
      <c r="W1531" s="14"/>
      <c r="X1531" s="14"/>
      <c r="Y1531" s="15"/>
      <c r="Z1531" s="14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4"/>
      <c r="U1532" s="14"/>
      <c r="V1532" s="14"/>
      <c r="W1532" s="14"/>
      <c r="X1532" s="14"/>
      <c r="Y1532" s="15"/>
      <c r="Z1532" s="14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4"/>
      <c r="U1533" s="14"/>
      <c r="V1533" s="14"/>
      <c r="W1533" s="14"/>
      <c r="X1533" s="14"/>
      <c r="Y1533" s="15"/>
      <c r="Z1533" s="14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4"/>
      <c r="U1534" s="14"/>
      <c r="V1534" s="14"/>
      <c r="W1534" s="14"/>
      <c r="X1534" s="14"/>
      <c r="Y1534" s="15"/>
      <c r="Z1534" s="14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4"/>
      <c r="U1535" s="14"/>
      <c r="V1535" s="14"/>
      <c r="W1535" s="14"/>
      <c r="X1535" s="14"/>
      <c r="Y1535" s="15"/>
      <c r="Z1535" s="14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4"/>
      <c r="U1536" s="14"/>
      <c r="V1536" s="14"/>
      <c r="W1536" s="14"/>
      <c r="X1536" s="14"/>
      <c r="Y1536" s="15"/>
      <c r="Z1536" s="14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4"/>
      <c r="U1537" s="14"/>
      <c r="V1537" s="14"/>
      <c r="W1537" s="14"/>
      <c r="X1537" s="14"/>
      <c r="Y1537" s="15"/>
      <c r="Z1537" s="14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4"/>
      <c r="U1538" s="14"/>
      <c r="V1538" s="14"/>
      <c r="W1538" s="14"/>
      <c r="X1538" s="14"/>
      <c r="Y1538" s="15"/>
      <c r="Z1538" s="14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4"/>
      <c r="U1539" s="14"/>
      <c r="V1539" s="14"/>
      <c r="W1539" s="14"/>
      <c r="X1539" s="14"/>
      <c r="Y1539" s="15"/>
      <c r="Z1539" s="14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4"/>
      <c r="U1540" s="14"/>
      <c r="V1540" s="14"/>
      <c r="W1540" s="14"/>
      <c r="X1540" s="14"/>
      <c r="Y1540" s="15"/>
      <c r="Z1540" s="14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4"/>
      <c r="U1541" s="14"/>
      <c r="V1541" s="14"/>
      <c r="W1541" s="14"/>
      <c r="X1541" s="14"/>
      <c r="Y1541" s="15"/>
      <c r="Z1541" s="14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4"/>
      <c r="U1542" s="14"/>
      <c r="V1542" s="14"/>
      <c r="W1542" s="14"/>
      <c r="X1542" s="14"/>
      <c r="Y1542" s="15"/>
      <c r="Z1542" s="14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4"/>
      <c r="U1543" s="14"/>
      <c r="V1543" s="14"/>
      <c r="W1543" s="14"/>
      <c r="X1543" s="14"/>
      <c r="Y1543" s="15"/>
      <c r="Z1543" s="14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4"/>
      <c r="U1544" s="14"/>
      <c r="V1544" s="14"/>
      <c r="W1544" s="14"/>
      <c r="X1544" s="14"/>
      <c r="Y1544" s="15"/>
      <c r="Z1544" s="14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4"/>
      <c r="U1545" s="14"/>
      <c r="V1545" s="14"/>
      <c r="W1545" s="14"/>
      <c r="X1545" s="14"/>
      <c r="Y1545" s="15"/>
      <c r="Z1545" s="14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4"/>
      <c r="U1546" s="14"/>
      <c r="V1546" s="14"/>
      <c r="W1546" s="14"/>
      <c r="X1546" s="14"/>
      <c r="Y1546" s="15"/>
      <c r="Z1546" s="14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4"/>
      <c r="U1547" s="14"/>
      <c r="V1547" s="14"/>
      <c r="W1547" s="14"/>
      <c r="X1547" s="14"/>
      <c r="Y1547" s="15"/>
      <c r="Z1547" s="14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4"/>
      <c r="U1548" s="14"/>
      <c r="V1548" s="14"/>
      <c r="W1548" s="14"/>
      <c r="X1548" s="14"/>
      <c r="Y1548" s="15"/>
      <c r="Z1548" s="14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4"/>
      <c r="U1549" s="14"/>
      <c r="V1549" s="14"/>
      <c r="W1549" s="14"/>
      <c r="X1549" s="14"/>
      <c r="Y1549" s="15"/>
      <c r="Z1549" s="14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4"/>
      <c r="U1550" s="14"/>
      <c r="V1550" s="14"/>
      <c r="W1550" s="14"/>
      <c r="X1550" s="14"/>
      <c r="Y1550" s="15"/>
      <c r="Z1550" s="14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4"/>
      <c r="U1551" s="14"/>
      <c r="V1551" s="14"/>
      <c r="W1551" s="14"/>
      <c r="X1551" s="14"/>
      <c r="Y1551" s="15"/>
      <c r="Z1551" s="14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4"/>
      <c r="U1552" s="14"/>
      <c r="V1552" s="14"/>
      <c r="W1552" s="14"/>
      <c r="X1552" s="14"/>
      <c r="Y1552" s="15"/>
      <c r="Z1552" s="14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4"/>
      <c r="U1553" s="14"/>
      <c r="V1553" s="14"/>
      <c r="W1553" s="14"/>
      <c r="X1553" s="14"/>
      <c r="Y1553" s="15"/>
      <c r="Z1553" s="14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4"/>
      <c r="U1554" s="14"/>
      <c r="V1554" s="14"/>
      <c r="W1554" s="14"/>
      <c r="X1554" s="14"/>
      <c r="Y1554" s="15"/>
      <c r="Z1554" s="14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4"/>
      <c r="U1555" s="14"/>
      <c r="V1555" s="14"/>
      <c r="W1555" s="14"/>
      <c r="X1555" s="14"/>
      <c r="Y1555" s="15"/>
      <c r="Z1555" s="14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4"/>
      <c r="U1556" s="14"/>
      <c r="V1556" s="14"/>
      <c r="W1556" s="14"/>
      <c r="X1556" s="14"/>
      <c r="Y1556" s="15"/>
      <c r="Z1556" s="14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4"/>
      <c r="U1557" s="14"/>
      <c r="V1557" s="14"/>
      <c r="W1557" s="14"/>
      <c r="X1557" s="14"/>
      <c r="Y1557" s="15"/>
      <c r="Z1557" s="14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4"/>
      <c r="U1558" s="14"/>
      <c r="V1558" s="14"/>
      <c r="W1558" s="14"/>
      <c r="X1558" s="14"/>
      <c r="Y1558" s="15"/>
      <c r="Z1558" s="14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4"/>
      <c r="U1559" s="14"/>
      <c r="V1559" s="14"/>
      <c r="W1559" s="14"/>
      <c r="X1559" s="14"/>
      <c r="Y1559" s="15"/>
      <c r="Z1559" s="14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4"/>
      <c r="U1560" s="14"/>
      <c r="V1560" s="14"/>
      <c r="W1560" s="14"/>
      <c r="X1560" s="14"/>
      <c r="Y1560" s="15"/>
      <c r="Z1560" s="14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4"/>
      <c r="U1561" s="14"/>
      <c r="V1561" s="14"/>
      <c r="W1561" s="14"/>
      <c r="X1561" s="14"/>
      <c r="Y1561" s="15"/>
      <c r="Z1561" s="14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4"/>
      <c r="U1562" s="14"/>
      <c r="V1562" s="14"/>
      <c r="W1562" s="14"/>
      <c r="X1562" s="14"/>
      <c r="Y1562" s="15"/>
      <c r="Z1562" s="14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4"/>
      <c r="U1563" s="14"/>
      <c r="V1563" s="14"/>
      <c r="W1563" s="14"/>
      <c r="X1563" s="14"/>
      <c r="Y1563" s="15"/>
      <c r="Z1563" s="14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4"/>
      <c r="U1564" s="14"/>
      <c r="V1564" s="14"/>
      <c r="W1564" s="14"/>
      <c r="X1564" s="14"/>
      <c r="Y1564" s="15"/>
      <c r="Z1564" s="14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4"/>
      <c r="U1565" s="14"/>
      <c r="V1565" s="14"/>
      <c r="W1565" s="14"/>
      <c r="X1565" s="14"/>
      <c r="Y1565" s="15"/>
      <c r="Z1565" s="14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4"/>
      <c r="U1566" s="14"/>
      <c r="V1566" s="14"/>
      <c r="W1566" s="14"/>
      <c r="X1566" s="14"/>
      <c r="Y1566" s="15"/>
      <c r="Z1566" s="14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4"/>
      <c r="U1567" s="14"/>
      <c r="V1567" s="14"/>
      <c r="W1567" s="14"/>
      <c r="X1567" s="14"/>
      <c r="Y1567" s="15"/>
      <c r="Z1567" s="14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4"/>
      <c r="U1568" s="14"/>
      <c r="V1568" s="14"/>
      <c r="W1568" s="14"/>
      <c r="X1568" s="14"/>
      <c r="Y1568" s="15"/>
      <c r="Z1568" s="14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4"/>
      <c r="U1569" s="14"/>
      <c r="V1569" s="14"/>
      <c r="W1569" s="14"/>
      <c r="X1569" s="14"/>
      <c r="Y1569" s="15"/>
      <c r="Z1569" s="14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4"/>
      <c r="U1570" s="14"/>
      <c r="V1570" s="14"/>
      <c r="W1570" s="14"/>
      <c r="X1570" s="14"/>
      <c r="Y1570" s="15"/>
      <c r="Z1570" s="14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4"/>
      <c r="U1571" s="14"/>
      <c r="V1571" s="14"/>
      <c r="W1571" s="14"/>
      <c r="X1571" s="14"/>
      <c r="Y1571" s="15"/>
      <c r="Z1571" s="14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4"/>
      <c r="U1572" s="14"/>
      <c r="V1572" s="14"/>
      <c r="W1572" s="14"/>
      <c r="X1572" s="14"/>
      <c r="Y1572" s="15"/>
      <c r="Z1572" s="14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4"/>
      <c r="U1573" s="14"/>
      <c r="V1573" s="14"/>
      <c r="W1573" s="14"/>
      <c r="X1573" s="14"/>
      <c r="Y1573" s="15"/>
      <c r="Z1573" s="14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4"/>
      <c r="U1574" s="14"/>
      <c r="V1574" s="14"/>
      <c r="W1574" s="14"/>
      <c r="X1574" s="14"/>
      <c r="Y1574" s="15"/>
      <c r="Z1574" s="14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4"/>
      <c r="U1575" s="14"/>
      <c r="V1575" s="14"/>
      <c r="W1575" s="14"/>
      <c r="X1575" s="14"/>
      <c r="Y1575" s="15"/>
      <c r="Z1575" s="14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4"/>
      <c r="U1576" s="14"/>
      <c r="V1576" s="14"/>
      <c r="W1576" s="14"/>
      <c r="X1576" s="14"/>
      <c r="Y1576" s="15"/>
      <c r="Z1576" s="14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4"/>
      <c r="U1577" s="14"/>
      <c r="V1577" s="14"/>
      <c r="W1577" s="14"/>
      <c r="X1577" s="14"/>
      <c r="Y1577" s="15"/>
      <c r="Z1577" s="14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4"/>
      <c r="U1578" s="14"/>
      <c r="V1578" s="14"/>
      <c r="W1578" s="14"/>
      <c r="X1578" s="14"/>
      <c r="Y1578" s="15"/>
      <c r="Z1578" s="14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4"/>
      <c r="U1579" s="14"/>
      <c r="V1579" s="14"/>
      <c r="W1579" s="14"/>
      <c r="X1579" s="14"/>
      <c r="Y1579" s="15"/>
      <c r="Z1579" s="14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4"/>
      <c r="U1580" s="14"/>
      <c r="V1580" s="14"/>
      <c r="W1580" s="14"/>
      <c r="X1580" s="14"/>
      <c r="Y1580" s="15"/>
      <c r="Z1580" s="14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4"/>
      <c r="U1581" s="14"/>
      <c r="V1581" s="14"/>
      <c r="W1581" s="14"/>
      <c r="X1581" s="14"/>
      <c r="Y1581" s="15"/>
      <c r="Z1581" s="14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4"/>
      <c r="U1582" s="14"/>
      <c r="V1582" s="14"/>
      <c r="W1582" s="14"/>
      <c r="X1582" s="14"/>
      <c r="Y1582" s="15"/>
      <c r="Z1582" s="14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4"/>
      <c r="U1583" s="14"/>
      <c r="V1583" s="14"/>
      <c r="W1583" s="14"/>
      <c r="X1583" s="14"/>
      <c r="Y1583" s="15"/>
      <c r="Z1583" s="14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4"/>
      <c r="U1584" s="14"/>
      <c r="V1584" s="14"/>
      <c r="W1584" s="14"/>
      <c r="X1584" s="14"/>
      <c r="Y1584" s="15"/>
      <c r="Z1584" s="14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4"/>
      <c r="U1585" s="14"/>
      <c r="V1585" s="14"/>
      <c r="W1585" s="14"/>
      <c r="X1585" s="14"/>
      <c r="Y1585" s="15"/>
      <c r="Z1585" s="14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4"/>
      <c r="U1586" s="14"/>
      <c r="V1586" s="14"/>
      <c r="W1586" s="14"/>
      <c r="X1586" s="14"/>
      <c r="Y1586" s="15"/>
      <c r="Z1586" s="14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4"/>
      <c r="U1587" s="14"/>
      <c r="V1587" s="14"/>
      <c r="W1587" s="14"/>
      <c r="X1587" s="14"/>
      <c r="Y1587" s="15"/>
      <c r="Z1587" s="14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4"/>
      <c r="U1588" s="14"/>
      <c r="V1588" s="14"/>
      <c r="W1588" s="14"/>
      <c r="X1588" s="14"/>
      <c r="Y1588" s="15"/>
      <c r="Z1588" s="14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4"/>
      <c r="U1589" s="14"/>
      <c r="V1589" s="14"/>
      <c r="W1589" s="14"/>
      <c r="X1589" s="14"/>
      <c r="Y1589" s="15"/>
      <c r="Z1589" s="14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4"/>
      <c r="U1590" s="14"/>
      <c r="V1590" s="14"/>
      <c r="W1590" s="14"/>
      <c r="X1590" s="14"/>
      <c r="Y1590" s="15"/>
      <c r="Z1590" s="14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4"/>
      <c r="U1591" s="14"/>
      <c r="V1591" s="14"/>
      <c r="W1591" s="14"/>
      <c r="X1591" s="14"/>
      <c r="Y1591" s="15"/>
      <c r="Z1591" s="14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4"/>
      <c r="U1592" s="14"/>
      <c r="V1592" s="14"/>
      <c r="W1592" s="14"/>
      <c r="X1592" s="14"/>
      <c r="Y1592" s="15"/>
      <c r="Z1592" s="14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4"/>
      <c r="U1593" s="14"/>
      <c r="V1593" s="14"/>
      <c r="W1593" s="14"/>
      <c r="X1593" s="14"/>
      <c r="Y1593" s="15"/>
      <c r="Z1593" s="14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4"/>
      <c r="U1594" s="14"/>
      <c r="V1594" s="14"/>
      <c r="W1594" s="14"/>
      <c r="X1594" s="14"/>
      <c r="Y1594" s="15"/>
      <c r="Z1594" s="14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4"/>
      <c r="U1595" s="14"/>
      <c r="V1595" s="14"/>
      <c r="W1595" s="14"/>
      <c r="X1595" s="14"/>
      <c r="Y1595" s="15"/>
      <c r="Z1595" s="14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4"/>
      <c r="U1596" s="14"/>
      <c r="V1596" s="14"/>
      <c r="W1596" s="14"/>
      <c r="X1596" s="14"/>
      <c r="Y1596" s="15"/>
      <c r="Z1596" s="14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4"/>
      <c r="U1597" s="14"/>
      <c r="V1597" s="14"/>
      <c r="W1597" s="14"/>
      <c r="X1597" s="14"/>
      <c r="Y1597" s="15"/>
      <c r="Z1597" s="14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4"/>
      <c r="U1598" s="14"/>
      <c r="V1598" s="14"/>
      <c r="W1598" s="14"/>
      <c r="X1598" s="14"/>
      <c r="Y1598" s="15"/>
      <c r="Z1598" s="14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4"/>
      <c r="U1599" s="14"/>
      <c r="V1599" s="14"/>
      <c r="W1599" s="14"/>
      <c r="X1599" s="14"/>
      <c r="Y1599" s="15"/>
      <c r="Z1599" s="14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4"/>
      <c r="U1600" s="14"/>
      <c r="V1600" s="14"/>
      <c r="W1600" s="14"/>
      <c r="X1600" s="14"/>
      <c r="Y1600" s="15"/>
      <c r="Z1600" s="14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4"/>
      <c r="U1601" s="14"/>
      <c r="V1601" s="14"/>
      <c r="W1601" s="14"/>
      <c r="X1601" s="14"/>
      <c r="Y1601" s="15"/>
      <c r="Z1601" s="14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4"/>
      <c r="U1602" s="14"/>
      <c r="V1602" s="14"/>
      <c r="W1602" s="14"/>
      <c r="X1602" s="14"/>
      <c r="Y1602" s="15"/>
      <c r="Z1602" s="14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4"/>
      <c r="U1603" s="14"/>
      <c r="V1603" s="14"/>
      <c r="W1603" s="14"/>
      <c r="X1603" s="14"/>
      <c r="Y1603" s="15"/>
      <c r="Z1603" s="14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4"/>
      <c r="U1604" s="14"/>
      <c r="V1604" s="14"/>
      <c r="W1604" s="14"/>
      <c r="X1604" s="14"/>
      <c r="Y1604" s="15"/>
      <c r="Z1604" s="14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4"/>
      <c r="U1605" s="14"/>
      <c r="V1605" s="14"/>
      <c r="W1605" s="14"/>
      <c r="X1605" s="14"/>
      <c r="Y1605" s="15"/>
      <c r="Z1605" s="14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4"/>
      <c r="U1606" s="14"/>
      <c r="V1606" s="14"/>
      <c r="W1606" s="14"/>
      <c r="X1606" s="14"/>
      <c r="Y1606" s="15"/>
      <c r="Z1606" s="14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4"/>
      <c r="U1607" s="14"/>
      <c r="V1607" s="14"/>
      <c r="W1607" s="14"/>
      <c r="X1607" s="14"/>
      <c r="Y1607" s="15"/>
      <c r="Z1607" s="14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4"/>
      <c r="U1608" s="14"/>
      <c r="V1608" s="14"/>
      <c r="W1608" s="14"/>
      <c r="X1608" s="14"/>
      <c r="Y1608" s="15"/>
      <c r="Z1608" s="14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4"/>
      <c r="U1609" s="14"/>
      <c r="V1609" s="14"/>
      <c r="W1609" s="14"/>
      <c r="X1609" s="14"/>
      <c r="Y1609" s="15"/>
      <c r="Z1609" s="14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4"/>
      <c r="U1610" s="14"/>
      <c r="V1610" s="14"/>
      <c r="W1610" s="14"/>
      <c r="X1610" s="14"/>
      <c r="Y1610" s="15"/>
      <c r="Z1610" s="14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4"/>
      <c r="U1611" s="14"/>
      <c r="V1611" s="14"/>
      <c r="W1611" s="14"/>
      <c r="X1611" s="14"/>
      <c r="Y1611" s="15"/>
      <c r="Z1611" s="14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4"/>
      <c r="U1612" s="14"/>
      <c r="V1612" s="14"/>
      <c r="W1612" s="14"/>
      <c r="X1612" s="14"/>
      <c r="Y1612" s="15"/>
      <c r="Z1612" s="14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4"/>
      <c r="U1613" s="14"/>
      <c r="V1613" s="14"/>
      <c r="W1613" s="14"/>
      <c r="X1613" s="14"/>
      <c r="Y1613" s="15"/>
      <c r="Z1613" s="14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4"/>
      <c r="U1614" s="14"/>
      <c r="V1614" s="14"/>
      <c r="W1614" s="14"/>
      <c r="X1614" s="14"/>
      <c r="Y1614" s="15"/>
      <c r="Z1614" s="14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4"/>
      <c r="U1615" s="14"/>
      <c r="V1615" s="14"/>
      <c r="W1615" s="14"/>
      <c r="X1615" s="14"/>
      <c r="Y1615" s="15"/>
      <c r="Z1615" s="14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4"/>
      <c r="U1616" s="14"/>
      <c r="V1616" s="14"/>
      <c r="W1616" s="14"/>
      <c r="X1616" s="14"/>
      <c r="Y1616" s="15"/>
      <c r="Z1616" s="14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4"/>
      <c r="U1617" s="14"/>
      <c r="V1617" s="14"/>
      <c r="W1617" s="14"/>
      <c r="X1617" s="14"/>
      <c r="Y1617" s="15"/>
      <c r="Z1617" s="14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4"/>
      <c r="U1618" s="14"/>
      <c r="V1618" s="14"/>
      <c r="W1618" s="14"/>
      <c r="X1618" s="14"/>
      <c r="Y1618" s="15"/>
      <c r="Z1618" s="14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4"/>
      <c r="U1619" s="14"/>
      <c r="V1619" s="14"/>
      <c r="W1619" s="14"/>
      <c r="X1619" s="14"/>
      <c r="Y1619" s="15"/>
      <c r="Z1619" s="14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4"/>
      <c r="U1620" s="14"/>
      <c r="V1620" s="14"/>
      <c r="W1620" s="14"/>
      <c r="X1620" s="14"/>
      <c r="Y1620" s="15"/>
      <c r="Z1620" s="14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4"/>
      <c r="U1621" s="14"/>
      <c r="V1621" s="14"/>
      <c r="W1621" s="14"/>
      <c r="X1621" s="14"/>
      <c r="Y1621" s="15"/>
      <c r="Z1621" s="14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4"/>
      <c r="U1622" s="14"/>
      <c r="V1622" s="14"/>
      <c r="W1622" s="14"/>
      <c r="X1622" s="14"/>
      <c r="Y1622" s="15"/>
      <c r="Z1622" s="14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4"/>
      <c r="U1623" s="14"/>
      <c r="V1623" s="14"/>
      <c r="W1623" s="14"/>
      <c r="X1623" s="14"/>
      <c r="Y1623" s="15"/>
      <c r="Z1623" s="14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4"/>
      <c r="U1624" s="14"/>
      <c r="V1624" s="14"/>
      <c r="W1624" s="14"/>
      <c r="X1624" s="14"/>
      <c r="Y1624" s="15"/>
      <c r="Z1624" s="14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4"/>
      <c r="U1625" s="14"/>
      <c r="V1625" s="14"/>
      <c r="W1625" s="14"/>
      <c r="X1625" s="14"/>
      <c r="Y1625" s="15"/>
      <c r="Z1625" s="14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4"/>
      <c r="U1626" s="14"/>
      <c r="V1626" s="14"/>
      <c r="W1626" s="14"/>
      <c r="X1626" s="14"/>
      <c r="Y1626" s="15"/>
      <c r="Z1626" s="14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4"/>
      <c r="U1627" s="14"/>
      <c r="V1627" s="14"/>
      <c r="W1627" s="14"/>
      <c r="X1627" s="14"/>
      <c r="Y1627" s="15"/>
      <c r="Z1627" s="14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4"/>
      <c r="U1628" s="14"/>
      <c r="V1628" s="14"/>
      <c r="W1628" s="14"/>
      <c r="X1628" s="14"/>
      <c r="Y1628" s="15"/>
      <c r="Z1628" s="14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4"/>
      <c r="U1629" s="14"/>
      <c r="V1629" s="14"/>
      <c r="W1629" s="14"/>
      <c r="X1629" s="14"/>
      <c r="Y1629" s="15"/>
      <c r="Z1629" s="14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4"/>
      <c r="U1630" s="14"/>
      <c r="V1630" s="14"/>
      <c r="W1630" s="14"/>
      <c r="X1630" s="14"/>
      <c r="Y1630" s="15"/>
      <c r="Z1630" s="14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4"/>
      <c r="U1631" s="14"/>
      <c r="V1631" s="14"/>
      <c r="W1631" s="14"/>
      <c r="X1631" s="14"/>
      <c r="Y1631" s="15"/>
      <c r="Z1631" s="14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4"/>
      <c r="U1632" s="14"/>
      <c r="V1632" s="14"/>
      <c r="W1632" s="14"/>
      <c r="X1632" s="14"/>
      <c r="Y1632" s="15"/>
      <c r="Z1632" s="14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4"/>
      <c r="U1633" s="14"/>
      <c r="V1633" s="14"/>
      <c r="W1633" s="14"/>
      <c r="X1633" s="14"/>
      <c r="Y1633" s="15"/>
      <c r="Z1633" s="14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4"/>
      <c r="U1634" s="14"/>
      <c r="V1634" s="14"/>
      <c r="W1634" s="14"/>
      <c r="X1634" s="14"/>
      <c r="Y1634" s="15"/>
      <c r="Z1634" s="14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4"/>
      <c r="U1635" s="14"/>
      <c r="V1635" s="14"/>
      <c r="W1635" s="14"/>
      <c r="X1635" s="14"/>
      <c r="Y1635" s="15"/>
      <c r="Z1635" s="14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4"/>
      <c r="U1636" s="14"/>
      <c r="V1636" s="14"/>
      <c r="W1636" s="14"/>
      <c r="X1636" s="14"/>
      <c r="Y1636" s="15"/>
      <c r="Z1636" s="14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4"/>
      <c r="U1637" s="14"/>
      <c r="V1637" s="14"/>
      <c r="W1637" s="14"/>
      <c r="X1637" s="14"/>
      <c r="Y1637" s="15"/>
      <c r="Z1637" s="14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4"/>
      <c r="U1638" s="14"/>
      <c r="V1638" s="14"/>
      <c r="W1638" s="14"/>
      <c r="X1638" s="14"/>
      <c r="Y1638" s="15"/>
      <c r="Z1638" s="14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4"/>
      <c r="U1639" s="14"/>
      <c r="V1639" s="14"/>
      <c r="W1639" s="14"/>
      <c r="X1639" s="14"/>
      <c r="Y1639" s="15"/>
      <c r="Z1639" s="14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4"/>
      <c r="U1640" s="14"/>
      <c r="V1640" s="14"/>
      <c r="W1640" s="14"/>
      <c r="X1640" s="14"/>
      <c r="Y1640" s="15"/>
      <c r="Z1640" s="14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4"/>
      <c r="U1641" s="14"/>
      <c r="V1641" s="14"/>
      <c r="W1641" s="14"/>
      <c r="X1641" s="14"/>
      <c r="Y1641" s="15"/>
      <c r="Z1641" s="14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4"/>
      <c r="U1642" s="14"/>
      <c r="V1642" s="14"/>
      <c r="W1642" s="14"/>
      <c r="X1642" s="14"/>
      <c r="Y1642" s="15"/>
      <c r="Z1642" s="14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4"/>
      <c r="U1643" s="14"/>
      <c r="V1643" s="14"/>
      <c r="W1643" s="14"/>
      <c r="X1643" s="14"/>
      <c r="Y1643" s="15"/>
      <c r="Z1643" s="14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4"/>
      <c r="U1644" s="14"/>
      <c r="V1644" s="14"/>
      <c r="W1644" s="14"/>
      <c r="X1644" s="14"/>
      <c r="Y1644" s="15"/>
      <c r="Z1644" s="14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4"/>
      <c r="U1645" s="14"/>
      <c r="V1645" s="14"/>
      <c r="W1645" s="14"/>
      <c r="X1645" s="14"/>
      <c r="Y1645" s="15"/>
      <c r="Z1645" s="14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4"/>
      <c r="U1646" s="14"/>
      <c r="V1646" s="14"/>
      <c r="W1646" s="14"/>
      <c r="X1646" s="14"/>
      <c r="Y1646" s="15"/>
      <c r="Z1646" s="14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4"/>
      <c r="U1647" s="14"/>
      <c r="V1647" s="14"/>
      <c r="W1647" s="14"/>
      <c r="X1647" s="14"/>
      <c r="Y1647" s="15"/>
      <c r="Z1647" s="14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4"/>
      <c r="U1648" s="14"/>
      <c r="V1648" s="14"/>
      <c r="W1648" s="14"/>
      <c r="X1648" s="14"/>
      <c r="Y1648" s="15"/>
      <c r="Z1648" s="14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4"/>
      <c r="U1649" s="14"/>
      <c r="V1649" s="14"/>
      <c r="W1649" s="14"/>
      <c r="X1649" s="14"/>
      <c r="Y1649" s="15"/>
      <c r="Z1649" s="14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4"/>
      <c r="U1650" s="14"/>
      <c r="V1650" s="14"/>
      <c r="W1650" s="14"/>
      <c r="X1650" s="14"/>
      <c r="Y1650" s="15"/>
      <c r="Z1650" s="14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4"/>
      <c r="U1651" s="14"/>
      <c r="V1651" s="14"/>
      <c r="W1651" s="14"/>
      <c r="X1651" s="14"/>
      <c r="Y1651" s="15"/>
      <c r="Z1651" s="14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4"/>
      <c r="U1652" s="14"/>
      <c r="V1652" s="14"/>
      <c r="W1652" s="14"/>
      <c r="X1652" s="14"/>
      <c r="Y1652" s="15"/>
      <c r="Z1652" s="14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4"/>
      <c r="U1653" s="14"/>
      <c r="V1653" s="14"/>
      <c r="W1653" s="14"/>
      <c r="X1653" s="14"/>
      <c r="Y1653" s="15"/>
      <c r="Z1653" s="14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4"/>
      <c r="U1654" s="14"/>
      <c r="V1654" s="14"/>
      <c r="W1654" s="14"/>
      <c r="X1654" s="14"/>
      <c r="Y1654" s="15"/>
      <c r="Z1654" s="14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4"/>
      <c r="U1655" s="14"/>
      <c r="V1655" s="14"/>
      <c r="W1655" s="14"/>
      <c r="X1655" s="14"/>
      <c r="Y1655" s="15"/>
      <c r="Z1655" s="14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4"/>
      <c r="U1656" s="14"/>
      <c r="V1656" s="14"/>
      <c r="W1656" s="14"/>
      <c r="X1656" s="14"/>
      <c r="Y1656" s="15"/>
      <c r="Z1656" s="14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4"/>
      <c r="U1657" s="14"/>
      <c r="V1657" s="14"/>
      <c r="W1657" s="14"/>
      <c r="X1657" s="14"/>
      <c r="Y1657" s="15"/>
      <c r="Z1657" s="14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4"/>
      <c r="U1658" s="14"/>
      <c r="V1658" s="14"/>
      <c r="W1658" s="14"/>
      <c r="X1658" s="14"/>
      <c r="Y1658" s="15"/>
      <c r="Z1658" s="14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4"/>
      <c r="U1659" s="14"/>
      <c r="V1659" s="14"/>
      <c r="W1659" s="14"/>
      <c r="X1659" s="14"/>
      <c r="Y1659" s="15"/>
      <c r="Z1659" s="14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4"/>
      <c r="U1660" s="14"/>
      <c r="V1660" s="14"/>
      <c r="W1660" s="14"/>
      <c r="X1660" s="14"/>
      <c r="Y1660" s="15"/>
      <c r="Z1660" s="14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4"/>
      <c r="U1661" s="14"/>
      <c r="V1661" s="14"/>
      <c r="W1661" s="14"/>
      <c r="X1661" s="14"/>
      <c r="Y1661" s="15"/>
      <c r="Z1661" s="14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4"/>
      <c r="U1662" s="14"/>
      <c r="V1662" s="14"/>
      <c r="W1662" s="14"/>
      <c r="X1662" s="14"/>
      <c r="Y1662" s="15"/>
      <c r="Z1662" s="14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4"/>
      <c r="U1663" s="14"/>
      <c r="V1663" s="14"/>
      <c r="W1663" s="14"/>
      <c r="X1663" s="14"/>
      <c r="Y1663" s="15"/>
      <c r="Z1663" s="14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4"/>
      <c r="U1664" s="14"/>
      <c r="V1664" s="14"/>
      <c r="W1664" s="14"/>
      <c r="X1664" s="14"/>
      <c r="Y1664" s="15"/>
      <c r="Z1664" s="14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4"/>
      <c r="U1665" s="14"/>
      <c r="V1665" s="14"/>
      <c r="W1665" s="14"/>
      <c r="X1665" s="14"/>
      <c r="Y1665" s="15"/>
      <c r="Z1665" s="14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4"/>
      <c r="U1666" s="14"/>
      <c r="V1666" s="14"/>
      <c r="W1666" s="14"/>
      <c r="X1666" s="14"/>
      <c r="Y1666" s="15"/>
      <c r="Z1666" s="14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4"/>
      <c r="U1667" s="14"/>
      <c r="V1667" s="14"/>
      <c r="W1667" s="14"/>
      <c r="X1667" s="14"/>
      <c r="Y1667" s="15"/>
      <c r="Z1667" s="14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4"/>
      <c r="U1668" s="14"/>
      <c r="V1668" s="14"/>
      <c r="W1668" s="14"/>
      <c r="X1668" s="14"/>
      <c r="Y1668" s="15"/>
      <c r="Z1668" s="14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4"/>
      <c r="U1669" s="14"/>
      <c r="V1669" s="14"/>
      <c r="W1669" s="14"/>
      <c r="X1669" s="14"/>
      <c r="Y1669" s="15"/>
      <c r="Z1669" s="14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4"/>
      <c r="U1670" s="14"/>
      <c r="V1670" s="14"/>
      <c r="W1670" s="14"/>
      <c r="X1670" s="14"/>
      <c r="Y1670" s="15"/>
      <c r="Z1670" s="14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4"/>
      <c r="U1671" s="14"/>
      <c r="V1671" s="14"/>
      <c r="W1671" s="14"/>
      <c r="X1671" s="14"/>
      <c r="Y1671" s="15"/>
      <c r="Z1671" s="14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4"/>
      <c r="U1672" s="14"/>
      <c r="V1672" s="14"/>
      <c r="W1672" s="14"/>
      <c r="X1672" s="14"/>
      <c r="Y1672" s="15"/>
      <c r="Z1672" s="14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4"/>
      <c r="U1673" s="14"/>
      <c r="V1673" s="14"/>
      <c r="W1673" s="14"/>
      <c r="X1673" s="14"/>
      <c r="Y1673" s="15"/>
      <c r="Z1673" s="14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4"/>
      <c r="U1674" s="14"/>
      <c r="V1674" s="14"/>
      <c r="W1674" s="14"/>
      <c r="X1674" s="14"/>
      <c r="Y1674" s="15"/>
      <c r="Z1674" s="14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4"/>
      <c r="U1675" s="14"/>
      <c r="V1675" s="14"/>
      <c r="W1675" s="14"/>
      <c r="X1675" s="14"/>
      <c r="Y1675" s="15"/>
      <c r="Z1675" s="14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4"/>
      <c r="U1676" s="14"/>
      <c r="V1676" s="14"/>
      <c r="W1676" s="14"/>
      <c r="X1676" s="14"/>
      <c r="Y1676" s="15"/>
      <c r="Z1676" s="14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4"/>
      <c r="U1677" s="14"/>
      <c r="V1677" s="14"/>
      <c r="W1677" s="14"/>
      <c r="X1677" s="14"/>
      <c r="Y1677" s="15"/>
      <c r="Z1677" s="14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4"/>
      <c r="U1678" s="14"/>
      <c r="V1678" s="14"/>
      <c r="W1678" s="14"/>
      <c r="X1678" s="14"/>
      <c r="Y1678" s="15"/>
      <c r="Z1678" s="14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4"/>
      <c r="U1679" s="14"/>
      <c r="V1679" s="14"/>
      <c r="W1679" s="14"/>
      <c r="X1679" s="14"/>
      <c r="Y1679" s="15"/>
      <c r="Z1679" s="14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4"/>
      <c r="U1680" s="14"/>
      <c r="V1680" s="14"/>
      <c r="W1680" s="14"/>
      <c r="X1680" s="14"/>
      <c r="Y1680" s="15"/>
      <c r="Z1680" s="14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4"/>
      <c r="U1681" s="14"/>
      <c r="V1681" s="14"/>
      <c r="W1681" s="14"/>
      <c r="X1681" s="14"/>
      <c r="Y1681" s="15"/>
      <c r="Z1681" s="14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4"/>
      <c r="U1682" s="14"/>
      <c r="V1682" s="14"/>
      <c r="W1682" s="14"/>
      <c r="X1682" s="14"/>
      <c r="Y1682" s="15"/>
      <c r="Z1682" s="14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4"/>
      <c r="U1683" s="14"/>
      <c r="V1683" s="14"/>
      <c r="W1683" s="14"/>
      <c r="X1683" s="14"/>
      <c r="Y1683" s="15"/>
      <c r="Z1683" s="14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4"/>
      <c r="U1684" s="14"/>
      <c r="V1684" s="14"/>
      <c r="W1684" s="14"/>
      <c r="X1684" s="14"/>
      <c r="Y1684" s="15"/>
      <c r="Z1684" s="14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4"/>
      <c r="U1685" s="14"/>
      <c r="V1685" s="14"/>
      <c r="W1685" s="14"/>
      <c r="X1685" s="14"/>
      <c r="Y1685" s="15"/>
      <c r="Z1685" s="14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4"/>
      <c r="U1686" s="14"/>
      <c r="V1686" s="14"/>
      <c r="W1686" s="14"/>
      <c r="X1686" s="14"/>
      <c r="Y1686" s="15"/>
      <c r="Z1686" s="14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4"/>
      <c r="U1687" s="14"/>
      <c r="V1687" s="14"/>
      <c r="W1687" s="14"/>
      <c r="X1687" s="14"/>
      <c r="Y1687" s="15"/>
      <c r="Z1687" s="14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4"/>
      <c r="U1688" s="14"/>
      <c r="V1688" s="14"/>
      <c r="W1688" s="14"/>
      <c r="X1688" s="14"/>
      <c r="Y1688" s="15"/>
      <c r="Z1688" s="14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4"/>
      <c r="U1689" s="14"/>
      <c r="V1689" s="14"/>
      <c r="W1689" s="14"/>
      <c r="X1689" s="14"/>
      <c r="Y1689" s="15"/>
      <c r="Z1689" s="14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4"/>
      <c r="U1690" s="14"/>
      <c r="V1690" s="14"/>
      <c r="W1690" s="14"/>
      <c r="X1690" s="14"/>
      <c r="Y1690" s="15"/>
      <c r="Z1690" s="14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4"/>
      <c r="U1691" s="14"/>
      <c r="V1691" s="14"/>
      <c r="W1691" s="14"/>
      <c r="X1691" s="14"/>
      <c r="Y1691" s="15"/>
      <c r="Z1691" s="14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4"/>
      <c r="U1692" s="14"/>
      <c r="V1692" s="14"/>
      <c r="W1692" s="14"/>
      <c r="X1692" s="14"/>
      <c r="Y1692" s="15"/>
      <c r="Z1692" s="14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4"/>
      <c r="U1693" s="14"/>
      <c r="V1693" s="14"/>
      <c r="W1693" s="14"/>
      <c r="X1693" s="14"/>
      <c r="Y1693" s="15"/>
      <c r="Z1693" s="14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4"/>
      <c r="U1694" s="14"/>
      <c r="V1694" s="14"/>
      <c r="W1694" s="14"/>
      <c r="X1694" s="14"/>
      <c r="Y1694" s="15"/>
      <c r="Z1694" s="14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4"/>
      <c r="U1695" s="14"/>
      <c r="V1695" s="14"/>
      <c r="W1695" s="14"/>
      <c r="X1695" s="14"/>
      <c r="Y1695" s="15"/>
      <c r="Z1695" s="14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4"/>
      <c r="U1696" s="14"/>
      <c r="V1696" s="14"/>
      <c r="W1696" s="14"/>
      <c r="X1696" s="14"/>
      <c r="Y1696" s="15"/>
      <c r="Z1696" s="14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4"/>
      <c r="U1697" s="14"/>
      <c r="V1697" s="14"/>
      <c r="W1697" s="14"/>
      <c r="X1697" s="14"/>
      <c r="Y1697" s="15"/>
      <c r="Z1697" s="14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4"/>
      <c r="U1698" s="14"/>
      <c r="V1698" s="14"/>
      <c r="W1698" s="14"/>
      <c r="X1698" s="14"/>
      <c r="Y1698" s="15"/>
      <c r="Z1698" s="14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4"/>
      <c r="U1699" s="14"/>
      <c r="V1699" s="14"/>
      <c r="W1699" s="14"/>
      <c r="X1699" s="14"/>
      <c r="Y1699" s="15"/>
      <c r="Z1699" s="14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4"/>
      <c r="U1700" s="14"/>
      <c r="V1700" s="14"/>
      <c r="W1700" s="14"/>
      <c r="X1700" s="14"/>
      <c r="Y1700" s="15"/>
      <c r="Z1700" s="14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4"/>
      <c r="U1701" s="14"/>
      <c r="V1701" s="14"/>
      <c r="W1701" s="14"/>
      <c r="X1701" s="14"/>
      <c r="Y1701" s="15"/>
      <c r="Z1701" s="14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4"/>
      <c r="U1702" s="14"/>
      <c r="V1702" s="14"/>
      <c r="W1702" s="14"/>
      <c r="X1702" s="14"/>
      <c r="Y1702" s="15"/>
      <c r="Z1702" s="14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4"/>
      <c r="U1703" s="14"/>
      <c r="V1703" s="14"/>
      <c r="W1703" s="14"/>
      <c r="X1703" s="14"/>
      <c r="Y1703" s="15"/>
      <c r="Z1703" s="14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4"/>
      <c r="U1704" s="14"/>
      <c r="V1704" s="14"/>
      <c r="W1704" s="14"/>
      <c r="X1704" s="14"/>
      <c r="Y1704" s="15"/>
      <c r="Z1704" s="14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4"/>
      <c r="U1705" s="14"/>
      <c r="V1705" s="14"/>
      <c r="W1705" s="14"/>
      <c r="X1705" s="14"/>
      <c r="Y1705" s="15"/>
      <c r="Z1705" s="14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4"/>
      <c r="U1706" s="14"/>
      <c r="V1706" s="14"/>
      <c r="W1706" s="14"/>
      <c r="X1706" s="14"/>
      <c r="Y1706" s="15"/>
      <c r="Z1706" s="14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4"/>
      <c r="U1707" s="14"/>
      <c r="V1707" s="14"/>
      <c r="W1707" s="14"/>
      <c r="X1707" s="14"/>
      <c r="Y1707" s="15"/>
      <c r="Z1707" s="14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4"/>
      <c r="U1708" s="14"/>
      <c r="V1708" s="14"/>
      <c r="W1708" s="14"/>
      <c r="X1708" s="14"/>
      <c r="Y1708" s="15"/>
      <c r="Z1708" s="14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4"/>
      <c r="U1709" s="14"/>
      <c r="V1709" s="14"/>
      <c r="W1709" s="14"/>
      <c r="X1709" s="14"/>
      <c r="Y1709" s="15"/>
      <c r="Z1709" s="14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4"/>
      <c r="U1710" s="14"/>
      <c r="V1710" s="14"/>
      <c r="W1710" s="14"/>
      <c r="X1710" s="14"/>
      <c r="Y1710" s="15"/>
      <c r="Z1710" s="14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4"/>
      <c r="U1711" s="14"/>
      <c r="V1711" s="14"/>
      <c r="W1711" s="14"/>
      <c r="X1711" s="14"/>
      <c r="Y1711" s="15"/>
      <c r="Z1711" s="14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4"/>
      <c r="U1712" s="14"/>
      <c r="V1712" s="14"/>
      <c r="W1712" s="14"/>
      <c r="X1712" s="14"/>
      <c r="Y1712" s="15"/>
      <c r="Z1712" s="14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4"/>
      <c r="U1713" s="14"/>
      <c r="V1713" s="14"/>
      <c r="W1713" s="14"/>
      <c r="X1713" s="14"/>
      <c r="Y1713" s="15"/>
      <c r="Z1713" s="14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4"/>
      <c r="U1714" s="14"/>
      <c r="V1714" s="14"/>
      <c r="W1714" s="14"/>
      <c r="X1714" s="14"/>
      <c r="Y1714" s="15"/>
      <c r="Z1714" s="14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4"/>
      <c r="U1715" s="14"/>
      <c r="V1715" s="14"/>
      <c r="W1715" s="14"/>
      <c r="X1715" s="14"/>
      <c r="Y1715" s="15"/>
      <c r="Z1715" s="14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4"/>
      <c r="U1716" s="14"/>
      <c r="V1716" s="14"/>
      <c r="W1716" s="14"/>
      <c r="X1716" s="14"/>
      <c r="Y1716" s="15"/>
      <c r="Z1716" s="14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4"/>
      <c r="U1717" s="14"/>
      <c r="V1717" s="14"/>
      <c r="W1717" s="14"/>
      <c r="X1717" s="14"/>
      <c r="Y1717" s="15"/>
      <c r="Z1717" s="14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4"/>
      <c r="U1718" s="14"/>
      <c r="V1718" s="14"/>
      <c r="W1718" s="14"/>
      <c r="X1718" s="14"/>
      <c r="Y1718" s="15"/>
      <c r="Z1718" s="14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4"/>
      <c r="U1719" s="14"/>
      <c r="V1719" s="14"/>
      <c r="W1719" s="14"/>
      <c r="X1719" s="14"/>
      <c r="Y1719" s="15"/>
      <c r="Z1719" s="14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4"/>
      <c r="U1720" s="14"/>
      <c r="V1720" s="14"/>
      <c r="W1720" s="14"/>
      <c r="X1720" s="14"/>
      <c r="Y1720" s="15"/>
      <c r="Z1720" s="14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4"/>
      <c r="U1721" s="14"/>
      <c r="V1721" s="14"/>
      <c r="W1721" s="14"/>
      <c r="X1721" s="14"/>
      <c r="Y1721" s="15"/>
      <c r="Z1721" s="14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4"/>
      <c r="U1722" s="14"/>
      <c r="V1722" s="14"/>
      <c r="W1722" s="14"/>
      <c r="X1722" s="14"/>
      <c r="Y1722" s="15"/>
      <c r="Z1722" s="14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4"/>
      <c r="U1723" s="14"/>
      <c r="V1723" s="14"/>
      <c r="W1723" s="14"/>
      <c r="X1723" s="14"/>
      <c r="Y1723" s="15"/>
      <c r="Z1723" s="14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4"/>
      <c r="U1724" s="14"/>
      <c r="V1724" s="14"/>
      <c r="W1724" s="14"/>
      <c r="X1724" s="14"/>
      <c r="Y1724" s="15"/>
      <c r="Z1724" s="14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4"/>
      <c r="U1725" s="14"/>
      <c r="V1725" s="14"/>
      <c r="W1725" s="14"/>
      <c r="X1725" s="14"/>
      <c r="Y1725" s="15"/>
      <c r="Z1725" s="14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4"/>
      <c r="U1726" s="14"/>
      <c r="V1726" s="14"/>
      <c r="W1726" s="14"/>
      <c r="X1726" s="14"/>
      <c r="Y1726" s="15"/>
      <c r="Z1726" s="14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4"/>
      <c r="U1727" s="14"/>
      <c r="V1727" s="14"/>
      <c r="W1727" s="14"/>
      <c r="X1727" s="14"/>
      <c r="Y1727" s="15"/>
      <c r="Z1727" s="14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4"/>
      <c r="U1728" s="14"/>
      <c r="V1728" s="14"/>
      <c r="W1728" s="14"/>
      <c r="X1728" s="14"/>
      <c r="Y1728" s="15"/>
      <c r="Z1728" s="14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4"/>
      <c r="U1729" s="14"/>
      <c r="V1729" s="14"/>
      <c r="W1729" s="14"/>
      <c r="X1729" s="14"/>
      <c r="Y1729" s="15"/>
      <c r="Z1729" s="14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4"/>
      <c r="U1730" s="14"/>
      <c r="V1730" s="14"/>
      <c r="W1730" s="14"/>
      <c r="X1730" s="14"/>
      <c r="Y1730" s="15"/>
      <c r="Z1730" s="14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4"/>
      <c r="U1731" s="14"/>
      <c r="V1731" s="14"/>
      <c r="W1731" s="14"/>
      <c r="X1731" s="14"/>
      <c r="Y1731" s="15"/>
      <c r="Z1731" s="14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4"/>
      <c r="U1732" s="14"/>
      <c r="V1732" s="14"/>
      <c r="W1732" s="14"/>
      <c r="X1732" s="14"/>
      <c r="Y1732" s="15"/>
      <c r="Z1732" s="14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4"/>
      <c r="U1733" s="14"/>
      <c r="V1733" s="14"/>
      <c r="W1733" s="14"/>
      <c r="X1733" s="14"/>
      <c r="Y1733" s="15"/>
      <c r="Z1733" s="14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4"/>
      <c r="U1734" s="14"/>
      <c r="V1734" s="14"/>
      <c r="W1734" s="14"/>
      <c r="X1734" s="14"/>
      <c r="Y1734" s="15"/>
      <c r="Z1734" s="14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4"/>
      <c r="U1735" s="14"/>
      <c r="V1735" s="14"/>
      <c r="W1735" s="14"/>
      <c r="X1735" s="14"/>
      <c r="Y1735" s="15"/>
      <c r="Z1735" s="14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4"/>
      <c r="U1736" s="14"/>
      <c r="V1736" s="14"/>
      <c r="W1736" s="14"/>
      <c r="X1736" s="14"/>
      <c r="Y1736" s="15"/>
      <c r="Z1736" s="14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4"/>
      <c r="U1737" s="14"/>
      <c r="V1737" s="14"/>
      <c r="W1737" s="14"/>
      <c r="X1737" s="14"/>
      <c r="Y1737" s="15"/>
      <c r="Z1737" s="14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4"/>
      <c r="U1738" s="14"/>
      <c r="V1738" s="14"/>
      <c r="W1738" s="14"/>
      <c r="X1738" s="14"/>
      <c r="Y1738" s="15"/>
      <c r="Z1738" s="14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4"/>
      <c r="U1739" s="14"/>
      <c r="V1739" s="14"/>
      <c r="W1739" s="14"/>
      <c r="X1739" s="14"/>
      <c r="Y1739" s="15"/>
      <c r="Z1739" s="14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4"/>
      <c r="U1740" s="14"/>
      <c r="V1740" s="14"/>
      <c r="W1740" s="14"/>
      <c r="X1740" s="14"/>
      <c r="Y1740" s="15"/>
      <c r="Z1740" s="14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4"/>
      <c r="U1741" s="14"/>
      <c r="V1741" s="14"/>
      <c r="W1741" s="14"/>
      <c r="X1741" s="14"/>
      <c r="Y1741" s="15"/>
      <c r="Z1741" s="14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4"/>
      <c r="U1742" s="14"/>
      <c r="V1742" s="14"/>
      <c r="W1742" s="14"/>
      <c r="X1742" s="14"/>
      <c r="Y1742" s="15"/>
      <c r="Z1742" s="14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4"/>
      <c r="U1743" s="14"/>
      <c r="V1743" s="14"/>
      <c r="W1743" s="14"/>
      <c r="X1743" s="14"/>
      <c r="Y1743" s="15"/>
      <c r="Z1743" s="14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4"/>
      <c r="U1744" s="14"/>
      <c r="V1744" s="14"/>
      <c r="W1744" s="14"/>
      <c r="X1744" s="14"/>
      <c r="Y1744" s="15"/>
      <c r="Z1744" s="14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4"/>
      <c r="U1745" s="14"/>
      <c r="V1745" s="14"/>
      <c r="W1745" s="14"/>
      <c r="X1745" s="14"/>
      <c r="Y1745" s="15"/>
      <c r="Z1745" s="14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4"/>
      <c r="U1746" s="14"/>
      <c r="V1746" s="14"/>
      <c r="W1746" s="14"/>
      <c r="X1746" s="14"/>
      <c r="Y1746" s="15"/>
      <c r="Z1746" s="14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4"/>
      <c r="U1747" s="14"/>
      <c r="V1747" s="14"/>
      <c r="W1747" s="14"/>
      <c r="X1747" s="14"/>
      <c r="Y1747" s="15"/>
      <c r="Z1747" s="14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4"/>
      <c r="U1748" s="14"/>
      <c r="V1748" s="14"/>
      <c r="W1748" s="14"/>
      <c r="X1748" s="14"/>
      <c r="Y1748" s="15"/>
      <c r="Z1748" s="14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4"/>
      <c r="U1749" s="14"/>
      <c r="V1749" s="14"/>
      <c r="W1749" s="14"/>
      <c r="X1749" s="14"/>
      <c r="Y1749" s="15"/>
      <c r="Z1749" s="14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4"/>
      <c r="U1750" s="14"/>
      <c r="V1750" s="14"/>
      <c r="W1750" s="14"/>
      <c r="X1750" s="14"/>
      <c r="Y1750" s="15"/>
      <c r="Z1750" s="14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4"/>
      <c r="U1751" s="14"/>
      <c r="V1751" s="14"/>
      <c r="W1751" s="14"/>
      <c r="X1751" s="14"/>
      <c r="Y1751" s="15"/>
      <c r="Z1751" s="14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4"/>
      <c r="U1752" s="14"/>
      <c r="V1752" s="14"/>
      <c r="W1752" s="14"/>
      <c r="X1752" s="14"/>
      <c r="Y1752" s="15"/>
      <c r="Z1752" s="14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4"/>
      <c r="U1753" s="14"/>
      <c r="V1753" s="14"/>
      <c r="W1753" s="14"/>
      <c r="X1753" s="14"/>
      <c r="Y1753" s="15"/>
      <c r="Z1753" s="14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4"/>
      <c r="U1754" s="14"/>
      <c r="V1754" s="14"/>
      <c r="W1754" s="14"/>
      <c r="X1754" s="14"/>
      <c r="Y1754" s="15"/>
      <c r="Z1754" s="14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4"/>
      <c r="U1755" s="14"/>
      <c r="V1755" s="14"/>
      <c r="W1755" s="14"/>
      <c r="X1755" s="14"/>
      <c r="Y1755" s="15"/>
      <c r="Z1755" s="14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4"/>
      <c r="U1756" s="14"/>
      <c r="V1756" s="14"/>
      <c r="W1756" s="14"/>
      <c r="X1756" s="14"/>
      <c r="Y1756" s="15"/>
      <c r="Z1756" s="14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4"/>
      <c r="U1757" s="14"/>
      <c r="V1757" s="14"/>
      <c r="W1757" s="14"/>
      <c r="X1757" s="14"/>
      <c r="Y1757" s="15"/>
      <c r="Z1757" s="14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4"/>
      <c r="U1758" s="14"/>
      <c r="V1758" s="14"/>
      <c r="W1758" s="14"/>
      <c r="X1758" s="14"/>
      <c r="Y1758" s="15"/>
      <c r="Z1758" s="14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4"/>
      <c r="U1759" s="14"/>
      <c r="V1759" s="14"/>
      <c r="W1759" s="14"/>
      <c r="X1759" s="14"/>
      <c r="Y1759" s="15"/>
      <c r="Z1759" s="14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4"/>
      <c r="U1760" s="14"/>
      <c r="V1760" s="14"/>
      <c r="W1760" s="14"/>
      <c r="X1760" s="14"/>
      <c r="Y1760" s="15"/>
      <c r="Z1760" s="14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4"/>
      <c r="U1761" s="14"/>
      <c r="V1761" s="14"/>
      <c r="W1761" s="14"/>
      <c r="X1761" s="14"/>
      <c r="Y1761" s="15"/>
      <c r="Z1761" s="14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4"/>
      <c r="U1762" s="14"/>
      <c r="V1762" s="14"/>
      <c r="W1762" s="14"/>
      <c r="X1762" s="14"/>
      <c r="Y1762" s="15"/>
      <c r="Z1762" s="14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4"/>
      <c r="U1763" s="14"/>
      <c r="V1763" s="14"/>
      <c r="W1763" s="14"/>
      <c r="X1763" s="14"/>
      <c r="Y1763" s="15"/>
      <c r="Z1763" s="14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4"/>
      <c r="U1764" s="14"/>
      <c r="V1764" s="14"/>
      <c r="W1764" s="14"/>
      <c r="X1764" s="14"/>
      <c r="Y1764" s="15"/>
      <c r="Z1764" s="14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4"/>
      <c r="U1765" s="14"/>
      <c r="V1765" s="14"/>
      <c r="W1765" s="14"/>
      <c r="X1765" s="14"/>
      <c r="Y1765" s="15"/>
      <c r="Z1765" s="14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4"/>
      <c r="U1766" s="14"/>
      <c r="V1766" s="14"/>
      <c r="W1766" s="14"/>
      <c r="X1766" s="14"/>
      <c r="Y1766" s="15"/>
      <c r="Z1766" s="14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4"/>
      <c r="U1767" s="14"/>
      <c r="V1767" s="14"/>
      <c r="W1767" s="14"/>
      <c r="X1767" s="14"/>
      <c r="Y1767" s="15"/>
      <c r="Z1767" s="14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4"/>
      <c r="U1768" s="14"/>
      <c r="V1768" s="14"/>
      <c r="W1768" s="14"/>
      <c r="X1768" s="14"/>
      <c r="Y1768" s="15"/>
      <c r="Z1768" s="14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4"/>
      <c r="U1769" s="14"/>
      <c r="V1769" s="14"/>
      <c r="W1769" s="14"/>
      <c r="X1769" s="14"/>
      <c r="Y1769" s="15"/>
      <c r="Z1769" s="14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4"/>
      <c r="U1770" s="14"/>
      <c r="V1770" s="14"/>
      <c r="W1770" s="14"/>
      <c r="X1770" s="14"/>
      <c r="Y1770" s="15"/>
      <c r="Z1770" s="14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4"/>
      <c r="U1771" s="14"/>
      <c r="V1771" s="14"/>
      <c r="W1771" s="14"/>
      <c r="X1771" s="14"/>
      <c r="Y1771" s="15"/>
      <c r="Z1771" s="14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4"/>
      <c r="U1772" s="14"/>
      <c r="V1772" s="14"/>
      <c r="W1772" s="14"/>
      <c r="X1772" s="14"/>
      <c r="Y1772" s="15"/>
      <c r="Z1772" s="14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4"/>
      <c r="U1773" s="14"/>
      <c r="V1773" s="14"/>
      <c r="W1773" s="14"/>
      <c r="X1773" s="14"/>
      <c r="Y1773" s="15"/>
      <c r="Z1773" s="14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4"/>
      <c r="U1774" s="14"/>
      <c r="V1774" s="14"/>
      <c r="W1774" s="14"/>
      <c r="X1774" s="14"/>
      <c r="Y1774" s="15"/>
      <c r="Z1774" s="14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4"/>
      <c r="U1775" s="14"/>
      <c r="V1775" s="14"/>
      <c r="W1775" s="14"/>
      <c r="X1775" s="14"/>
      <c r="Y1775" s="15"/>
      <c r="Z1775" s="14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4"/>
      <c r="U1776" s="14"/>
      <c r="V1776" s="14"/>
      <c r="W1776" s="14"/>
      <c r="X1776" s="14"/>
      <c r="Y1776" s="15"/>
      <c r="Z1776" s="14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4"/>
      <c r="U1777" s="14"/>
      <c r="V1777" s="14"/>
      <c r="W1777" s="14"/>
      <c r="X1777" s="14"/>
      <c r="Y1777" s="15"/>
      <c r="Z1777" s="14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4"/>
      <c r="U1778" s="14"/>
      <c r="V1778" s="14"/>
      <c r="W1778" s="14"/>
      <c r="X1778" s="14"/>
      <c r="Y1778" s="15"/>
      <c r="Z1778" s="14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4"/>
      <c r="U1779" s="14"/>
      <c r="V1779" s="14"/>
      <c r="W1779" s="14"/>
      <c r="X1779" s="14"/>
      <c r="Y1779" s="15"/>
      <c r="Z1779" s="14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4"/>
      <c r="U1780" s="14"/>
      <c r="V1780" s="14"/>
      <c r="W1780" s="14"/>
      <c r="X1780" s="14"/>
      <c r="Y1780" s="15"/>
      <c r="Z1780" s="14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4"/>
      <c r="U1781" s="14"/>
      <c r="V1781" s="14"/>
      <c r="W1781" s="14"/>
      <c r="X1781" s="14"/>
      <c r="Y1781" s="15"/>
      <c r="Z1781" s="14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4"/>
      <c r="U1782" s="14"/>
      <c r="V1782" s="14"/>
      <c r="W1782" s="14"/>
      <c r="X1782" s="14"/>
      <c r="Y1782" s="15"/>
      <c r="Z1782" s="14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4"/>
      <c r="U1783" s="14"/>
      <c r="V1783" s="14"/>
      <c r="W1783" s="14"/>
      <c r="X1783" s="14"/>
      <c r="Y1783" s="15"/>
      <c r="Z1783" s="14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4"/>
      <c r="U1784" s="14"/>
      <c r="V1784" s="14"/>
      <c r="W1784" s="14"/>
      <c r="X1784" s="14"/>
      <c r="Y1784" s="15"/>
      <c r="Z1784" s="14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4"/>
      <c r="U1785" s="14"/>
      <c r="V1785" s="14"/>
      <c r="W1785" s="14"/>
      <c r="X1785" s="14"/>
      <c r="Y1785" s="15"/>
      <c r="Z1785" s="14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4"/>
      <c r="U1786" s="14"/>
      <c r="V1786" s="14"/>
      <c r="W1786" s="14"/>
      <c r="X1786" s="14"/>
      <c r="Y1786" s="15"/>
      <c r="Z1786" s="14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4"/>
      <c r="U1787" s="14"/>
      <c r="V1787" s="14"/>
      <c r="W1787" s="14"/>
      <c r="X1787" s="14"/>
      <c r="Y1787" s="15"/>
      <c r="Z1787" s="14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4"/>
      <c r="U1788" s="14"/>
      <c r="V1788" s="14"/>
      <c r="W1788" s="14"/>
      <c r="X1788" s="14"/>
      <c r="Y1788" s="15"/>
      <c r="Z1788" s="14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4"/>
      <c r="U1789" s="14"/>
      <c r="V1789" s="14"/>
      <c r="W1789" s="14"/>
      <c r="X1789" s="14"/>
      <c r="Y1789" s="15"/>
      <c r="Z1789" s="14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4"/>
      <c r="U1790" s="14"/>
      <c r="V1790" s="14"/>
      <c r="W1790" s="14"/>
      <c r="X1790" s="14"/>
      <c r="Y1790" s="15"/>
      <c r="Z1790" s="14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4"/>
      <c r="U1791" s="14"/>
      <c r="V1791" s="14"/>
      <c r="W1791" s="14"/>
      <c r="X1791" s="14"/>
      <c r="Y1791" s="15"/>
      <c r="Z1791" s="14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4"/>
      <c r="U1792" s="14"/>
      <c r="V1792" s="14"/>
      <c r="W1792" s="14"/>
      <c r="X1792" s="14"/>
      <c r="Y1792" s="15"/>
      <c r="Z1792" s="14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4"/>
      <c r="U1793" s="14"/>
      <c r="V1793" s="14"/>
      <c r="W1793" s="14"/>
      <c r="X1793" s="14"/>
      <c r="Y1793" s="15"/>
      <c r="Z1793" s="14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4"/>
      <c r="U1794" s="14"/>
      <c r="V1794" s="14"/>
      <c r="W1794" s="14"/>
      <c r="X1794" s="14"/>
      <c r="Y1794" s="15"/>
      <c r="Z1794" s="14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4"/>
      <c r="U1795" s="14"/>
      <c r="V1795" s="14"/>
      <c r="W1795" s="14"/>
      <c r="X1795" s="14"/>
      <c r="Y1795" s="15"/>
      <c r="Z1795" s="14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4"/>
      <c r="U1796" s="14"/>
      <c r="V1796" s="14"/>
      <c r="W1796" s="14"/>
      <c r="X1796" s="14"/>
      <c r="Y1796" s="15"/>
      <c r="Z1796" s="14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4"/>
      <c r="U1797" s="14"/>
      <c r="V1797" s="14"/>
      <c r="W1797" s="14"/>
      <c r="X1797" s="14"/>
      <c r="Y1797" s="15"/>
      <c r="Z1797" s="14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4"/>
      <c r="U1798" s="14"/>
      <c r="V1798" s="14"/>
      <c r="W1798" s="14"/>
      <c r="X1798" s="14"/>
      <c r="Y1798" s="15"/>
      <c r="Z1798" s="14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4"/>
      <c r="U1799" s="14"/>
      <c r="V1799" s="14"/>
      <c r="W1799" s="14"/>
      <c r="X1799" s="14"/>
      <c r="Y1799" s="15"/>
      <c r="Z1799" s="14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4"/>
      <c r="U1800" s="14"/>
      <c r="V1800" s="14"/>
      <c r="W1800" s="14"/>
      <c r="X1800" s="14"/>
      <c r="Y1800" s="15"/>
      <c r="Z1800" s="14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4"/>
      <c r="U1801" s="14"/>
      <c r="V1801" s="14"/>
      <c r="W1801" s="14"/>
      <c r="X1801" s="14"/>
      <c r="Y1801" s="15"/>
      <c r="Z1801" s="14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4"/>
      <c r="U1802" s="14"/>
      <c r="V1802" s="14"/>
      <c r="W1802" s="14"/>
      <c r="X1802" s="14"/>
      <c r="Y1802" s="15"/>
      <c r="Z1802" s="14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4"/>
      <c r="U1803" s="14"/>
      <c r="V1803" s="14"/>
      <c r="W1803" s="14"/>
      <c r="X1803" s="14"/>
      <c r="Y1803" s="15"/>
      <c r="Z1803" s="14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4"/>
      <c r="U1804" s="14"/>
      <c r="V1804" s="14"/>
      <c r="W1804" s="14"/>
      <c r="X1804" s="14"/>
      <c r="Y1804" s="15"/>
      <c r="Z1804" s="14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4"/>
      <c r="U1805" s="14"/>
      <c r="V1805" s="14"/>
      <c r="W1805" s="14"/>
      <c r="X1805" s="14"/>
      <c r="Y1805" s="15"/>
      <c r="Z1805" s="14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4"/>
      <c r="U1806" s="14"/>
      <c r="V1806" s="14"/>
      <c r="W1806" s="14"/>
      <c r="X1806" s="14"/>
      <c r="Y1806" s="15"/>
      <c r="Z1806" s="14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4"/>
      <c r="U1807" s="14"/>
      <c r="V1807" s="14"/>
      <c r="W1807" s="14"/>
      <c r="X1807" s="14"/>
      <c r="Y1807" s="15"/>
      <c r="Z1807" s="14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4"/>
      <c r="U1808" s="14"/>
      <c r="V1808" s="14"/>
      <c r="W1808" s="14"/>
      <c r="X1808" s="14"/>
      <c r="Y1808" s="15"/>
      <c r="Z1808" s="14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4"/>
      <c r="U1809" s="14"/>
      <c r="V1809" s="14"/>
      <c r="W1809" s="14"/>
      <c r="X1809" s="14"/>
      <c r="Y1809" s="15"/>
      <c r="Z1809" s="14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4"/>
      <c r="U1810" s="14"/>
      <c r="V1810" s="14"/>
      <c r="W1810" s="14"/>
      <c r="X1810" s="14"/>
      <c r="Y1810" s="15"/>
      <c r="Z1810" s="14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4"/>
      <c r="U1811" s="14"/>
      <c r="V1811" s="14"/>
      <c r="W1811" s="14"/>
      <c r="X1811" s="14"/>
      <c r="Y1811" s="15"/>
      <c r="Z1811" s="14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4"/>
      <c r="U1812" s="14"/>
      <c r="V1812" s="14"/>
      <c r="W1812" s="14"/>
      <c r="X1812" s="14"/>
      <c r="Y1812" s="15"/>
      <c r="Z1812" s="14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4"/>
      <c r="U1813" s="14"/>
      <c r="V1813" s="14"/>
      <c r="W1813" s="14"/>
      <c r="X1813" s="14"/>
      <c r="Y1813" s="15"/>
      <c r="Z1813" s="14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4"/>
      <c r="U1814" s="14"/>
      <c r="V1814" s="14"/>
      <c r="W1814" s="14"/>
      <c r="X1814" s="14"/>
      <c r="Y1814" s="15"/>
      <c r="Z1814" s="14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4"/>
      <c r="U1815" s="14"/>
      <c r="V1815" s="14"/>
      <c r="W1815" s="14"/>
      <c r="X1815" s="14"/>
      <c r="Y1815" s="15"/>
      <c r="Z1815" s="14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4"/>
      <c r="U1816" s="14"/>
      <c r="V1816" s="14"/>
      <c r="W1816" s="14"/>
      <c r="X1816" s="14"/>
      <c r="Y1816" s="15"/>
      <c r="Z1816" s="14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4"/>
      <c r="U1817" s="14"/>
      <c r="V1817" s="14"/>
      <c r="W1817" s="14"/>
      <c r="X1817" s="14"/>
      <c r="Y1817" s="15"/>
      <c r="Z1817" s="14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4"/>
      <c r="U1818" s="14"/>
      <c r="V1818" s="14"/>
      <c r="W1818" s="14"/>
      <c r="X1818" s="14"/>
      <c r="Y1818" s="15"/>
      <c r="Z1818" s="14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4"/>
      <c r="U1819" s="14"/>
      <c r="V1819" s="14"/>
      <c r="W1819" s="14"/>
      <c r="X1819" s="14"/>
      <c r="Y1819" s="15"/>
      <c r="Z1819" s="14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4"/>
      <c r="U1820" s="14"/>
      <c r="V1820" s="14"/>
      <c r="W1820" s="14"/>
      <c r="X1820" s="14"/>
      <c r="Y1820" s="15"/>
      <c r="Z1820" s="14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4"/>
      <c r="U1821" s="14"/>
      <c r="V1821" s="14"/>
      <c r="W1821" s="14"/>
      <c r="X1821" s="14"/>
      <c r="Y1821" s="15"/>
      <c r="Z1821" s="14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4"/>
      <c r="U1822" s="14"/>
      <c r="V1822" s="14"/>
      <c r="W1822" s="14"/>
      <c r="X1822" s="14"/>
      <c r="Y1822" s="15"/>
      <c r="Z1822" s="14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4"/>
      <c r="U1823" s="14"/>
      <c r="V1823" s="14"/>
      <c r="W1823" s="14"/>
      <c r="X1823" s="14"/>
      <c r="Y1823" s="15"/>
      <c r="Z1823" s="14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4"/>
      <c r="U1824" s="14"/>
      <c r="V1824" s="14"/>
      <c r="W1824" s="14"/>
      <c r="X1824" s="14"/>
      <c r="Y1824" s="15"/>
      <c r="Z1824" s="14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4"/>
      <c r="U1825" s="14"/>
      <c r="V1825" s="14"/>
      <c r="W1825" s="14"/>
      <c r="X1825" s="14"/>
      <c r="Y1825" s="15"/>
      <c r="Z1825" s="14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4"/>
      <c r="U1826" s="14"/>
      <c r="V1826" s="14"/>
      <c r="W1826" s="14"/>
      <c r="X1826" s="14"/>
      <c r="Y1826" s="15"/>
      <c r="Z1826" s="14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4"/>
      <c r="U1827" s="14"/>
      <c r="V1827" s="14"/>
      <c r="W1827" s="14"/>
      <c r="X1827" s="14"/>
      <c r="Y1827" s="15"/>
      <c r="Z1827" s="14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4"/>
      <c r="U1828" s="14"/>
      <c r="V1828" s="14"/>
      <c r="W1828" s="14"/>
      <c r="X1828" s="14"/>
      <c r="Y1828" s="15"/>
      <c r="Z1828" s="14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4"/>
      <c r="U1829" s="14"/>
      <c r="V1829" s="14"/>
      <c r="W1829" s="14"/>
      <c r="X1829" s="14"/>
      <c r="Y1829" s="15"/>
      <c r="Z1829" s="14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4"/>
      <c r="U1830" s="14"/>
      <c r="V1830" s="14"/>
      <c r="W1830" s="14"/>
      <c r="X1830" s="14"/>
      <c r="Y1830" s="15"/>
      <c r="Z1830" s="14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4"/>
      <c r="U1831" s="14"/>
      <c r="V1831" s="14"/>
      <c r="W1831" s="14"/>
      <c r="X1831" s="14"/>
      <c r="Y1831" s="15"/>
      <c r="Z1831" s="14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4"/>
      <c r="U1832" s="14"/>
      <c r="V1832" s="14"/>
      <c r="W1832" s="14"/>
      <c r="X1832" s="14"/>
      <c r="Y1832" s="15"/>
      <c r="Z1832" s="14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4"/>
      <c r="U1833" s="14"/>
      <c r="V1833" s="14"/>
      <c r="W1833" s="14"/>
      <c r="X1833" s="14"/>
      <c r="Y1833" s="15"/>
      <c r="Z1833" s="14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4"/>
      <c r="U1834" s="14"/>
      <c r="V1834" s="14"/>
      <c r="W1834" s="14"/>
      <c r="X1834" s="14"/>
      <c r="Y1834" s="15"/>
      <c r="Z1834" s="14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4"/>
      <c r="U1835" s="14"/>
      <c r="V1835" s="14"/>
      <c r="W1835" s="14"/>
      <c r="X1835" s="14"/>
      <c r="Y1835" s="15"/>
      <c r="Z1835" s="14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4"/>
      <c r="U1836" s="14"/>
      <c r="V1836" s="14"/>
      <c r="W1836" s="14"/>
      <c r="X1836" s="14"/>
      <c r="Y1836" s="15"/>
      <c r="Z1836" s="14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4"/>
      <c r="U1837" s="14"/>
      <c r="V1837" s="14"/>
      <c r="W1837" s="14"/>
      <c r="X1837" s="14"/>
      <c r="Y1837" s="15"/>
      <c r="Z1837" s="14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4"/>
      <c r="U1838" s="14"/>
      <c r="V1838" s="14"/>
      <c r="W1838" s="14"/>
      <c r="X1838" s="14"/>
      <c r="Y1838" s="15"/>
      <c r="Z1838" s="14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4"/>
      <c r="U1839" s="14"/>
      <c r="V1839" s="14"/>
      <c r="W1839" s="14"/>
      <c r="X1839" s="14"/>
      <c r="Y1839" s="15"/>
      <c r="Z1839" s="14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4"/>
      <c r="U1840" s="14"/>
      <c r="V1840" s="14"/>
      <c r="W1840" s="14"/>
      <c r="X1840" s="14"/>
      <c r="Y1840" s="15"/>
      <c r="Z1840" s="14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4"/>
      <c r="U1841" s="14"/>
      <c r="V1841" s="14"/>
      <c r="W1841" s="14"/>
      <c r="X1841" s="14"/>
      <c r="Y1841" s="15"/>
      <c r="Z1841" s="14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4"/>
      <c r="U1842" s="14"/>
      <c r="V1842" s="14"/>
      <c r="W1842" s="14"/>
      <c r="X1842" s="14"/>
      <c r="Y1842" s="15"/>
      <c r="Z1842" s="14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4"/>
      <c r="U1843" s="14"/>
      <c r="V1843" s="14"/>
      <c r="W1843" s="14"/>
      <c r="X1843" s="14"/>
      <c r="Y1843" s="15"/>
      <c r="Z1843" s="14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4"/>
      <c r="U1844" s="14"/>
      <c r="V1844" s="14"/>
      <c r="W1844" s="14"/>
      <c r="X1844" s="14"/>
      <c r="Y1844" s="15"/>
      <c r="Z1844" s="14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4"/>
      <c r="U1845" s="14"/>
      <c r="V1845" s="14"/>
      <c r="W1845" s="14"/>
      <c r="X1845" s="14"/>
      <c r="Y1845" s="15"/>
      <c r="Z1845" s="14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4"/>
      <c r="U1846" s="14"/>
      <c r="V1846" s="14"/>
      <c r="W1846" s="14"/>
      <c r="X1846" s="14"/>
      <c r="Y1846" s="15"/>
      <c r="Z1846" s="14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4"/>
      <c r="U1847" s="14"/>
      <c r="V1847" s="14"/>
      <c r="W1847" s="14"/>
      <c r="X1847" s="14"/>
      <c r="Y1847" s="15"/>
      <c r="Z1847" s="14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4"/>
      <c r="U1848" s="14"/>
      <c r="V1848" s="14"/>
      <c r="W1848" s="14"/>
      <c r="X1848" s="14"/>
      <c r="Y1848" s="15"/>
      <c r="Z1848" s="14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4"/>
      <c r="U1849" s="14"/>
      <c r="V1849" s="14"/>
      <c r="W1849" s="14"/>
      <c r="X1849" s="14"/>
      <c r="Y1849" s="15"/>
      <c r="Z1849" s="14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4"/>
      <c r="U1850" s="14"/>
      <c r="V1850" s="14"/>
      <c r="W1850" s="14"/>
      <c r="X1850" s="14"/>
      <c r="Y1850" s="15"/>
      <c r="Z1850" s="14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4"/>
      <c r="U1851" s="14"/>
      <c r="V1851" s="14"/>
      <c r="W1851" s="14"/>
      <c r="X1851" s="14"/>
      <c r="Y1851" s="15"/>
      <c r="Z1851" s="14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4"/>
      <c r="U1852" s="14"/>
      <c r="V1852" s="14"/>
      <c r="W1852" s="14"/>
      <c r="X1852" s="14"/>
      <c r="Y1852" s="15"/>
      <c r="Z1852" s="14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4"/>
      <c r="U1853" s="14"/>
      <c r="V1853" s="14"/>
      <c r="W1853" s="14"/>
      <c r="X1853" s="14"/>
      <c r="Y1853" s="15"/>
      <c r="Z1853" s="14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4"/>
      <c r="U1854" s="14"/>
      <c r="V1854" s="14"/>
      <c r="W1854" s="14"/>
      <c r="X1854" s="14"/>
      <c r="Y1854" s="15"/>
      <c r="Z1854" s="14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4"/>
      <c r="U1855" s="14"/>
      <c r="V1855" s="14"/>
      <c r="W1855" s="14"/>
      <c r="X1855" s="14"/>
      <c r="Y1855" s="15"/>
      <c r="Z1855" s="14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4"/>
      <c r="U1856" s="14"/>
      <c r="V1856" s="14"/>
      <c r="W1856" s="14"/>
      <c r="X1856" s="14"/>
      <c r="Y1856" s="15"/>
      <c r="Z1856" s="14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4"/>
      <c r="U1857" s="14"/>
      <c r="V1857" s="14"/>
      <c r="W1857" s="14"/>
      <c r="X1857" s="14"/>
      <c r="Y1857" s="15"/>
      <c r="Z1857" s="14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4"/>
      <c r="U1858" s="14"/>
      <c r="V1858" s="14"/>
      <c r="W1858" s="14"/>
      <c r="X1858" s="14"/>
      <c r="Y1858" s="15"/>
      <c r="Z1858" s="14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4"/>
      <c r="U1859" s="14"/>
      <c r="V1859" s="14"/>
      <c r="W1859" s="14"/>
      <c r="X1859" s="14"/>
      <c r="Y1859" s="15"/>
      <c r="Z1859" s="14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4"/>
      <c r="U1860" s="14"/>
      <c r="V1860" s="14"/>
      <c r="W1860" s="14"/>
      <c r="X1860" s="14"/>
      <c r="Y1860" s="15"/>
      <c r="Z1860" s="14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4"/>
      <c r="U1861" s="14"/>
      <c r="V1861" s="14"/>
      <c r="W1861" s="14"/>
      <c r="X1861" s="14"/>
      <c r="Y1861" s="15"/>
      <c r="Z1861" s="14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4"/>
      <c r="U1862" s="14"/>
      <c r="V1862" s="14"/>
      <c r="W1862" s="14"/>
      <c r="X1862" s="14"/>
      <c r="Y1862" s="15"/>
      <c r="Z1862" s="14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4"/>
      <c r="U1863" s="14"/>
      <c r="V1863" s="14"/>
      <c r="W1863" s="14"/>
      <c r="X1863" s="14"/>
      <c r="Y1863" s="15"/>
      <c r="Z1863" s="14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4"/>
      <c r="U1864" s="14"/>
      <c r="V1864" s="14"/>
      <c r="W1864" s="14"/>
      <c r="X1864" s="14"/>
      <c r="Y1864" s="15"/>
      <c r="Z1864" s="14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4"/>
      <c r="U1865" s="14"/>
      <c r="V1865" s="14"/>
      <c r="W1865" s="14"/>
      <c r="X1865" s="14"/>
      <c r="Y1865" s="15"/>
      <c r="Z1865" s="14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4"/>
      <c r="U1866" s="14"/>
      <c r="V1866" s="14"/>
      <c r="W1866" s="14"/>
      <c r="X1866" s="14"/>
      <c r="Y1866" s="15"/>
      <c r="Z1866" s="14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4"/>
      <c r="U1867" s="14"/>
      <c r="V1867" s="14"/>
      <c r="W1867" s="14"/>
      <c r="X1867" s="14"/>
      <c r="Y1867" s="15"/>
      <c r="Z1867" s="14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4"/>
      <c r="U1868" s="14"/>
      <c r="V1868" s="14"/>
      <c r="W1868" s="14"/>
      <c r="X1868" s="14"/>
      <c r="Y1868" s="15"/>
      <c r="Z1868" s="14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4"/>
      <c r="U1869" s="14"/>
      <c r="V1869" s="14"/>
      <c r="W1869" s="14"/>
      <c r="X1869" s="14"/>
      <c r="Y1869" s="15"/>
      <c r="Z1869" s="14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4"/>
      <c r="U1870" s="14"/>
      <c r="V1870" s="14"/>
      <c r="W1870" s="14"/>
      <c r="X1870" s="14"/>
      <c r="Y1870" s="15"/>
      <c r="Z1870" s="14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4"/>
      <c r="U1871" s="14"/>
      <c r="V1871" s="14"/>
      <c r="W1871" s="14"/>
      <c r="X1871" s="14"/>
      <c r="Y1871" s="15"/>
      <c r="Z1871" s="14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4"/>
      <c r="U1872" s="14"/>
      <c r="V1872" s="14"/>
      <c r="W1872" s="14"/>
      <c r="X1872" s="14"/>
      <c r="Y1872" s="15"/>
      <c r="Z1872" s="14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4"/>
      <c r="U1873" s="14"/>
      <c r="V1873" s="14"/>
      <c r="W1873" s="14"/>
      <c r="X1873" s="14"/>
      <c r="Y1873" s="15"/>
      <c r="Z1873" s="14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4"/>
      <c r="U1874" s="14"/>
      <c r="V1874" s="14"/>
      <c r="W1874" s="14"/>
      <c r="X1874" s="14"/>
      <c r="Y1874" s="15"/>
      <c r="Z1874" s="14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4"/>
      <c r="U1875" s="14"/>
      <c r="V1875" s="14"/>
      <c r="W1875" s="14"/>
      <c r="X1875" s="14"/>
      <c r="Y1875" s="15"/>
      <c r="Z1875" s="14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4"/>
      <c r="U1876" s="14"/>
      <c r="V1876" s="14"/>
      <c r="W1876" s="14"/>
      <c r="X1876" s="14"/>
      <c r="Y1876" s="15"/>
      <c r="Z1876" s="14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4"/>
      <c r="U1877" s="14"/>
      <c r="V1877" s="14"/>
      <c r="W1877" s="14"/>
      <c r="X1877" s="14"/>
      <c r="Y1877" s="15"/>
      <c r="Z1877" s="14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4"/>
      <c r="U1878" s="14"/>
      <c r="V1878" s="14"/>
      <c r="W1878" s="14"/>
      <c r="X1878" s="14"/>
      <c r="Y1878" s="15"/>
      <c r="Z1878" s="14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4"/>
      <c r="U1879" s="14"/>
      <c r="V1879" s="14"/>
      <c r="W1879" s="14"/>
      <c r="X1879" s="14"/>
      <c r="Y1879" s="15"/>
      <c r="Z1879" s="14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4"/>
      <c r="U1880" s="14"/>
      <c r="V1880" s="14"/>
      <c r="W1880" s="14"/>
      <c r="X1880" s="14"/>
      <c r="Y1880" s="15"/>
      <c r="Z1880" s="14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4"/>
      <c r="U1881" s="14"/>
      <c r="V1881" s="14"/>
      <c r="W1881" s="14"/>
      <c r="X1881" s="14"/>
      <c r="Y1881" s="15"/>
      <c r="Z1881" s="14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4"/>
      <c r="U1882" s="14"/>
      <c r="V1882" s="14"/>
      <c r="W1882" s="14"/>
      <c r="X1882" s="14"/>
      <c r="Y1882" s="15"/>
      <c r="Z1882" s="14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4"/>
      <c r="U1883" s="14"/>
      <c r="V1883" s="14"/>
      <c r="W1883" s="14"/>
      <c r="X1883" s="14"/>
      <c r="Y1883" s="15"/>
      <c r="Z1883" s="14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4"/>
      <c r="U1884" s="14"/>
      <c r="V1884" s="14"/>
      <c r="W1884" s="14"/>
      <c r="X1884" s="14"/>
      <c r="Y1884" s="15"/>
      <c r="Z1884" s="14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4"/>
      <c r="U1885" s="14"/>
      <c r="V1885" s="14"/>
      <c r="W1885" s="14"/>
      <c r="X1885" s="14"/>
      <c r="Y1885" s="15"/>
      <c r="Z1885" s="14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4"/>
      <c r="U1886" s="14"/>
      <c r="V1886" s="14"/>
      <c r="W1886" s="14"/>
      <c r="X1886" s="14"/>
      <c r="Y1886" s="15"/>
      <c r="Z1886" s="14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4"/>
      <c r="U1887" s="14"/>
      <c r="V1887" s="14"/>
      <c r="W1887" s="14"/>
      <c r="X1887" s="14"/>
      <c r="Y1887" s="15"/>
      <c r="Z1887" s="14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4"/>
      <c r="U1888" s="14"/>
      <c r="V1888" s="14"/>
      <c r="W1888" s="14"/>
      <c r="X1888" s="14"/>
      <c r="Y1888" s="15"/>
      <c r="Z1888" s="14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4"/>
      <c r="U1889" s="14"/>
      <c r="V1889" s="14"/>
      <c r="W1889" s="14"/>
      <c r="X1889" s="14"/>
      <c r="Y1889" s="15"/>
      <c r="Z1889" s="14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4"/>
      <c r="U1890" s="14"/>
      <c r="V1890" s="14"/>
      <c r="W1890" s="14"/>
      <c r="X1890" s="14"/>
      <c r="Y1890" s="15"/>
      <c r="Z1890" s="14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4"/>
      <c r="U1891" s="14"/>
      <c r="V1891" s="14"/>
      <c r="W1891" s="14"/>
      <c r="X1891" s="14"/>
      <c r="Y1891" s="15"/>
      <c r="Z1891" s="14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4"/>
      <c r="U1892" s="14"/>
      <c r="V1892" s="14"/>
      <c r="W1892" s="14"/>
      <c r="X1892" s="14"/>
      <c r="Y1892" s="15"/>
      <c r="Z1892" s="14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4"/>
      <c r="U1893" s="14"/>
      <c r="V1893" s="14"/>
      <c r="W1893" s="14"/>
      <c r="X1893" s="14"/>
      <c r="Y1893" s="15"/>
      <c r="Z1893" s="14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4"/>
      <c r="U1894" s="14"/>
      <c r="V1894" s="14"/>
      <c r="W1894" s="14"/>
      <c r="X1894" s="14"/>
      <c r="Y1894" s="15"/>
      <c r="Z1894" s="14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4"/>
      <c r="U1895" s="14"/>
      <c r="V1895" s="14"/>
      <c r="W1895" s="14"/>
      <c r="X1895" s="14"/>
      <c r="Y1895" s="15"/>
      <c r="Z1895" s="14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4"/>
      <c r="U1896" s="14"/>
      <c r="V1896" s="14"/>
      <c r="W1896" s="14"/>
      <c r="X1896" s="14"/>
      <c r="Y1896" s="15"/>
      <c r="Z1896" s="14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4"/>
      <c r="U1897" s="14"/>
      <c r="V1897" s="14"/>
      <c r="W1897" s="14"/>
      <c r="X1897" s="14"/>
      <c r="Y1897" s="15"/>
      <c r="Z1897" s="14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4"/>
      <c r="U1898" s="14"/>
      <c r="V1898" s="14"/>
      <c r="W1898" s="14"/>
      <c r="X1898" s="14"/>
      <c r="Y1898" s="15"/>
      <c r="Z1898" s="14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4"/>
      <c r="U1899" s="14"/>
      <c r="V1899" s="14"/>
      <c r="W1899" s="14"/>
      <c r="X1899" s="14"/>
      <c r="Y1899" s="15"/>
      <c r="Z1899" s="14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4"/>
      <c r="U1900" s="14"/>
      <c r="V1900" s="14"/>
      <c r="W1900" s="14"/>
      <c r="X1900" s="14"/>
      <c r="Y1900" s="15"/>
      <c r="Z1900" s="14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4"/>
      <c r="U1901" s="14"/>
      <c r="V1901" s="14"/>
      <c r="W1901" s="14"/>
      <c r="X1901" s="14"/>
      <c r="Y1901" s="15"/>
      <c r="Z1901" s="14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4"/>
      <c r="U1902" s="14"/>
      <c r="V1902" s="14"/>
      <c r="W1902" s="14"/>
      <c r="X1902" s="14"/>
      <c r="Y1902" s="15"/>
      <c r="Z1902" s="14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4"/>
      <c r="U1903" s="14"/>
      <c r="V1903" s="14"/>
      <c r="W1903" s="14"/>
      <c r="X1903" s="14"/>
      <c r="Y1903" s="15"/>
      <c r="Z1903" s="14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4"/>
      <c r="U1904" s="14"/>
      <c r="V1904" s="14"/>
      <c r="W1904" s="14"/>
      <c r="X1904" s="14"/>
      <c r="Y1904" s="15"/>
      <c r="Z1904" s="14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4"/>
      <c r="U1905" s="14"/>
      <c r="V1905" s="14"/>
      <c r="W1905" s="14"/>
      <c r="X1905" s="14"/>
      <c r="Y1905" s="15"/>
      <c r="Z1905" s="14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4"/>
      <c r="U1906" s="14"/>
      <c r="V1906" s="14"/>
      <c r="W1906" s="14"/>
      <c r="X1906" s="14"/>
      <c r="Y1906" s="15"/>
      <c r="Z1906" s="14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4"/>
      <c r="U1907" s="14"/>
      <c r="V1907" s="14"/>
      <c r="W1907" s="14"/>
      <c r="X1907" s="14"/>
      <c r="Y1907" s="15"/>
      <c r="Z1907" s="14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4"/>
      <c r="U1908" s="14"/>
      <c r="V1908" s="14"/>
      <c r="W1908" s="14"/>
      <c r="X1908" s="14"/>
      <c r="Y1908" s="15"/>
      <c r="Z1908" s="14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4"/>
      <c r="U1909" s="14"/>
      <c r="V1909" s="14"/>
      <c r="W1909" s="14"/>
      <c r="X1909" s="14"/>
      <c r="Y1909" s="15"/>
      <c r="Z1909" s="14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4"/>
      <c r="U1910" s="14"/>
      <c r="V1910" s="14"/>
      <c r="W1910" s="14"/>
      <c r="X1910" s="14"/>
      <c r="Y1910" s="15"/>
      <c r="Z1910" s="14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4"/>
      <c r="U1911" s="14"/>
      <c r="V1911" s="14"/>
      <c r="W1911" s="14"/>
      <c r="X1911" s="14"/>
      <c r="Y1911" s="15"/>
      <c r="Z1911" s="14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4"/>
      <c r="U1912" s="14"/>
      <c r="V1912" s="14"/>
      <c r="W1912" s="14"/>
      <c r="X1912" s="14"/>
      <c r="Y1912" s="15"/>
      <c r="Z1912" s="14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4"/>
      <c r="U1913" s="14"/>
      <c r="V1913" s="14"/>
      <c r="W1913" s="14"/>
      <c r="X1913" s="14"/>
      <c r="Y1913" s="15"/>
      <c r="Z1913" s="14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4"/>
      <c r="U1914" s="14"/>
      <c r="V1914" s="14"/>
      <c r="W1914" s="14"/>
      <c r="X1914" s="14"/>
      <c r="Y1914" s="15"/>
      <c r="Z1914" s="14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4"/>
      <c r="U1915" s="14"/>
      <c r="V1915" s="14"/>
      <c r="W1915" s="14"/>
      <c r="X1915" s="14"/>
      <c r="Y1915" s="15"/>
      <c r="Z1915" s="14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4"/>
      <c r="U1916" s="14"/>
      <c r="V1916" s="14"/>
      <c r="W1916" s="14"/>
      <c r="X1916" s="14"/>
      <c r="Y1916" s="15"/>
      <c r="Z1916" s="14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4"/>
      <c r="U1917" s="14"/>
      <c r="V1917" s="14"/>
      <c r="W1917" s="14"/>
      <c r="X1917" s="14"/>
      <c r="Y1917" s="15"/>
      <c r="Z1917" s="14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4"/>
      <c r="U1918" s="14"/>
      <c r="V1918" s="14"/>
      <c r="W1918" s="14"/>
      <c r="X1918" s="14"/>
      <c r="Y1918" s="15"/>
      <c r="Z1918" s="14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4"/>
      <c r="U1919" s="14"/>
      <c r="V1919" s="14"/>
      <c r="W1919" s="14"/>
      <c r="X1919" s="14"/>
      <c r="Y1919" s="15"/>
      <c r="Z1919" s="14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4"/>
      <c r="U1920" s="14"/>
      <c r="V1920" s="14"/>
      <c r="W1920" s="14"/>
      <c r="X1920" s="14"/>
      <c r="Y1920" s="15"/>
      <c r="Z1920" s="14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4"/>
      <c r="U1921" s="14"/>
      <c r="V1921" s="14"/>
      <c r="W1921" s="14"/>
      <c r="X1921" s="14"/>
      <c r="Y1921" s="15"/>
      <c r="Z1921" s="14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4"/>
      <c r="U1922" s="14"/>
      <c r="V1922" s="14"/>
      <c r="W1922" s="14"/>
      <c r="X1922" s="14"/>
      <c r="Y1922" s="15"/>
      <c r="Z1922" s="14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4"/>
      <c r="U1923" s="14"/>
      <c r="V1923" s="14"/>
      <c r="W1923" s="14"/>
      <c r="X1923" s="14"/>
      <c r="Y1923" s="15"/>
      <c r="Z1923" s="14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4"/>
      <c r="U1924" s="14"/>
      <c r="V1924" s="14"/>
      <c r="W1924" s="14"/>
      <c r="X1924" s="14"/>
      <c r="Y1924" s="15"/>
      <c r="Z1924" s="14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4"/>
      <c r="U1925" s="14"/>
      <c r="V1925" s="14"/>
      <c r="W1925" s="14"/>
      <c r="X1925" s="14"/>
      <c r="Y1925" s="15"/>
      <c r="Z1925" s="14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4"/>
      <c r="U1926" s="14"/>
      <c r="V1926" s="14"/>
      <c r="W1926" s="14"/>
      <c r="X1926" s="14"/>
      <c r="Y1926" s="15"/>
      <c r="Z1926" s="14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4"/>
      <c r="U1927" s="14"/>
      <c r="V1927" s="14"/>
      <c r="W1927" s="14"/>
      <c r="X1927" s="14"/>
      <c r="Y1927" s="15"/>
      <c r="Z1927" s="14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4"/>
      <c r="U1928" s="14"/>
      <c r="V1928" s="14"/>
      <c r="W1928" s="14"/>
      <c r="X1928" s="14"/>
      <c r="Y1928" s="15"/>
      <c r="Z1928" s="14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4"/>
      <c r="U1929" s="14"/>
      <c r="V1929" s="14"/>
      <c r="W1929" s="14"/>
      <c r="X1929" s="14"/>
      <c r="Y1929" s="15"/>
      <c r="Z1929" s="14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4"/>
      <c r="U1930" s="14"/>
      <c r="V1930" s="14"/>
      <c r="W1930" s="14"/>
      <c r="X1930" s="14"/>
      <c r="Y1930" s="15"/>
      <c r="Z1930" s="14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4"/>
      <c r="U1931" s="14"/>
      <c r="V1931" s="14"/>
      <c r="W1931" s="14"/>
      <c r="X1931" s="14"/>
      <c r="Y1931" s="15"/>
      <c r="Z1931" s="14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4"/>
      <c r="U1932" s="14"/>
      <c r="V1932" s="14"/>
      <c r="W1932" s="14"/>
      <c r="X1932" s="14"/>
      <c r="Y1932" s="15"/>
      <c r="Z1932" s="14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4"/>
      <c r="U1933" s="14"/>
      <c r="V1933" s="14"/>
      <c r="W1933" s="14"/>
      <c r="X1933" s="14"/>
      <c r="Y1933" s="15"/>
      <c r="Z1933" s="14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4"/>
      <c r="U1934" s="14"/>
      <c r="V1934" s="14"/>
      <c r="W1934" s="14"/>
      <c r="X1934" s="14"/>
      <c r="Y1934" s="15"/>
      <c r="Z1934" s="14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4"/>
      <c r="U1935" s="14"/>
      <c r="V1935" s="14"/>
      <c r="W1935" s="14"/>
      <c r="X1935" s="14"/>
      <c r="Y1935" s="15"/>
      <c r="Z1935" s="14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4"/>
      <c r="U1936" s="14"/>
      <c r="V1936" s="14"/>
      <c r="W1936" s="14"/>
      <c r="X1936" s="14"/>
      <c r="Y1936" s="15"/>
      <c r="Z1936" s="14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4"/>
      <c r="U1937" s="14"/>
      <c r="V1937" s="14"/>
      <c r="W1937" s="14"/>
      <c r="X1937" s="14"/>
      <c r="Y1937" s="15"/>
      <c r="Z1937" s="14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4"/>
      <c r="U1938" s="14"/>
      <c r="V1938" s="14"/>
      <c r="W1938" s="14"/>
      <c r="X1938" s="14"/>
      <c r="Y1938" s="15"/>
      <c r="Z1938" s="14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4"/>
      <c r="U1939" s="14"/>
      <c r="V1939" s="14"/>
      <c r="W1939" s="14"/>
      <c r="X1939" s="14"/>
      <c r="Y1939" s="15"/>
      <c r="Z1939" s="14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4"/>
      <c r="U1940" s="14"/>
      <c r="V1940" s="14"/>
      <c r="W1940" s="14"/>
      <c r="X1940" s="14"/>
      <c r="Y1940" s="15"/>
      <c r="Z1940" s="14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4"/>
      <c r="U1941" s="14"/>
      <c r="V1941" s="14"/>
      <c r="W1941" s="14"/>
      <c r="X1941" s="14"/>
      <c r="Y1941" s="15"/>
      <c r="Z1941" s="14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4"/>
      <c r="U1942" s="14"/>
      <c r="V1942" s="14"/>
      <c r="W1942" s="14"/>
      <c r="X1942" s="14"/>
      <c r="Y1942" s="15"/>
      <c r="Z1942" s="14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4"/>
      <c r="U1943" s="14"/>
      <c r="V1943" s="14"/>
      <c r="W1943" s="14"/>
      <c r="X1943" s="14"/>
      <c r="Y1943" s="15"/>
      <c r="Z1943" s="14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4"/>
      <c r="U1944" s="14"/>
      <c r="V1944" s="14"/>
      <c r="W1944" s="14"/>
      <c r="X1944" s="14"/>
      <c r="Y1944" s="15"/>
      <c r="Z1944" s="14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4"/>
      <c r="U1945" s="14"/>
      <c r="V1945" s="14"/>
      <c r="W1945" s="14"/>
      <c r="X1945" s="14"/>
      <c r="Y1945" s="15"/>
      <c r="Z1945" s="14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4"/>
      <c r="U1946" s="14"/>
      <c r="V1946" s="14"/>
      <c r="W1946" s="14"/>
      <c r="X1946" s="14"/>
      <c r="Y1946" s="15"/>
      <c r="Z1946" s="14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4"/>
      <c r="U1947" s="14"/>
      <c r="V1947" s="14"/>
      <c r="W1947" s="14"/>
      <c r="X1947" s="14"/>
      <c r="Y1947" s="15"/>
      <c r="Z1947" s="14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4"/>
      <c r="U1948" s="14"/>
      <c r="V1948" s="14"/>
      <c r="W1948" s="14"/>
      <c r="X1948" s="14"/>
      <c r="Y1948" s="15"/>
      <c r="Z1948" s="14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4"/>
      <c r="U1949" s="14"/>
      <c r="V1949" s="14"/>
      <c r="W1949" s="14"/>
      <c r="X1949" s="14"/>
      <c r="Y1949" s="15"/>
      <c r="Z1949" s="14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4"/>
      <c r="U1950" s="14"/>
      <c r="V1950" s="14"/>
      <c r="W1950" s="14"/>
      <c r="X1950" s="14"/>
      <c r="Y1950" s="15"/>
      <c r="Z1950" s="14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4"/>
      <c r="U1951" s="14"/>
      <c r="V1951" s="14"/>
      <c r="W1951" s="14"/>
      <c r="X1951" s="14"/>
      <c r="Y1951" s="15"/>
      <c r="Z1951" s="14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4"/>
      <c r="U1952" s="14"/>
      <c r="V1952" s="14"/>
      <c r="W1952" s="14"/>
      <c r="X1952" s="14"/>
      <c r="Y1952" s="15"/>
      <c r="Z1952" s="14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4"/>
      <c r="U1953" s="14"/>
      <c r="V1953" s="14"/>
      <c r="W1953" s="14"/>
      <c r="X1953" s="14"/>
      <c r="Y1953" s="15"/>
      <c r="Z1953" s="14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4"/>
      <c r="U1954" s="14"/>
      <c r="V1954" s="14"/>
      <c r="W1954" s="14"/>
      <c r="X1954" s="14"/>
      <c r="Y1954" s="15"/>
      <c r="Z1954" s="14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4"/>
      <c r="U1955" s="14"/>
      <c r="V1955" s="14"/>
      <c r="W1955" s="14"/>
      <c r="X1955" s="14"/>
      <c r="Y1955" s="15"/>
      <c r="Z1955" s="14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4"/>
      <c r="U1956" s="14"/>
      <c r="V1956" s="14"/>
      <c r="W1956" s="14"/>
      <c r="X1956" s="14"/>
      <c r="Y1956" s="15"/>
      <c r="Z1956" s="14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4"/>
      <c r="U1957" s="14"/>
      <c r="V1957" s="14"/>
      <c r="W1957" s="14"/>
      <c r="X1957" s="14"/>
      <c r="Y1957" s="15"/>
      <c r="Z1957" s="14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4"/>
      <c r="U1958" s="14"/>
      <c r="V1958" s="14"/>
      <c r="W1958" s="14"/>
      <c r="X1958" s="14"/>
      <c r="Y1958" s="15"/>
      <c r="Z1958" s="14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4"/>
      <c r="U1959" s="14"/>
      <c r="V1959" s="14"/>
      <c r="W1959" s="14"/>
      <c r="X1959" s="14"/>
      <c r="Y1959" s="15"/>
      <c r="Z1959" s="14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4"/>
      <c r="U1960" s="14"/>
      <c r="V1960" s="14"/>
      <c r="W1960" s="14"/>
      <c r="X1960" s="14"/>
      <c r="Y1960" s="15"/>
      <c r="Z1960" s="14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4"/>
      <c r="U1961" s="14"/>
      <c r="V1961" s="14"/>
      <c r="W1961" s="14"/>
      <c r="X1961" s="14"/>
      <c r="Y1961" s="15"/>
      <c r="Z1961" s="14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4"/>
      <c r="U1962" s="14"/>
      <c r="V1962" s="14"/>
      <c r="W1962" s="14"/>
      <c r="X1962" s="14"/>
      <c r="Y1962" s="15"/>
      <c r="Z1962" s="14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4"/>
      <c r="U1963" s="14"/>
      <c r="V1963" s="14"/>
      <c r="W1963" s="14"/>
      <c r="X1963" s="14"/>
      <c r="Y1963" s="15"/>
      <c r="Z1963" s="14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4"/>
      <c r="U1964" s="14"/>
      <c r="V1964" s="14"/>
      <c r="W1964" s="14"/>
      <c r="X1964" s="14"/>
      <c r="Y1964" s="15"/>
      <c r="Z1964" s="14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4"/>
      <c r="U1965" s="14"/>
      <c r="V1965" s="14"/>
      <c r="W1965" s="14"/>
      <c r="X1965" s="14"/>
      <c r="Y1965" s="15"/>
      <c r="Z1965" s="14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4"/>
      <c r="U1966" s="14"/>
      <c r="V1966" s="14"/>
      <c r="W1966" s="14"/>
      <c r="X1966" s="14"/>
      <c r="Y1966" s="15"/>
      <c r="Z1966" s="14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4"/>
      <c r="U1967" s="14"/>
      <c r="V1967" s="14"/>
      <c r="W1967" s="14"/>
      <c r="X1967" s="14"/>
      <c r="Y1967" s="15"/>
      <c r="Z1967" s="14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4"/>
      <c r="U1968" s="14"/>
      <c r="V1968" s="14"/>
      <c r="W1968" s="14"/>
      <c r="X1968" s="14"/>
      <c r="Y1968" s="15"/>
      <c r="Z1968" s="14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4"/>
      <c r="U1969" s="14"/>
      <c r="V1969" s="14"/>
      <c r="W1969" s="14"/>
      <c r="X1969" s="14"/>
      <c r="Y1969" s="15"/>
      <c r="Z1969" s="14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4"/>
      <c r="U1970" s="14"/>
      <c r="V1970" s="14"/>
      <c r="W1970" s="14"/>
      <c r="X1970" s="14"/>
      <c r="Y1970" s="15"/>
      <c r="Z1970" s="14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4"/>
      <c r="U1971" s="14"/>
      <c r="V1971" s="14"/>
      <c r="W1971" s="14"/>
      <c r="X1971" s="14"/>
      <c r="Y1971" s="15"/>
      <c r="Z1971" s="14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4"/>
      <c r="U1972" s="14"/>
      <c r="V1972" s="14"/>
      <c r="W1972" s="14"/>
      <c r="X1972" s="14"/>
      <c r="Y1972" s="15"/>
      <c r="Z1972" s="14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4"/>
      <c r="U1973" s="14"/>
      <c r="V1973" s="14"/>
      <c r="W1973" s="14"/>
      <c r="X1973" s="14"/>
      <c r="Y1973" s="15"/>
      <c r="Z1973" s="14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4"/>
      <c r="U1974" s="14"/>
      <c r="V1974" s="14"/>
      <c r="W1974" s="14"/>
      <c r="X1974" s="14"/>
      <c r="Y1974" s="15"/>
      <c r="Z1974" s="14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4"/>
      <c r="U1975" s="14"/>
      <c r="V1975" s="14"/>
      <c r="W1975" s="14"/>
      <c r="X1975" s="14"/>
      <c r="Y1975" s="15"/>
      <c r="Z1975" s="14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4"/>
      <c r="U1976" s="14"/>
      <c r="V1976" s="14"/>
      <c r="W1976" s="14"/>
      <c r="X1976" s="14"/>
      <c r="Y1976" s="15"/>
      <c r="Z1976" s="14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4"/>
      <c r="U1977" s="14"/>
      <c r="V1977" s="14"/>
      <c r="W1977" s="14"/>
      <c r="X1977" s="14"/>
      <c r="Y1977" s="15"/>
      <c r="Z1977" s="14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4"/>
      <c r="U1978" s="14"/>
      <c r="V1978" s="14"/>
      <c r="W1978" s="14"/>
      <c r="X1978" s="14"/>
      <c r="Y1978" s="15"/>
      <c r="Z1978" s="14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4"/>
      <c r="U1979" s="14"/>
      <c r="V1979" s="14"/>
      <c r="W1979" s="14"/>
      <c r="X1979" s="14"/>
      <c r="Y1979" s="15"/>
      <c r="Z1979" s="14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4"/>
      <c r="U1980" s="14"/>
      <c r="V1980" s="14"/>
      <c r="W1980" s="14"/>
      <c r="X1980" s="14"/>
      <c r="Y1980" s="15"/>
      <c r="Z1980" s="14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4"/>
      <c r="U1981" s="14"/>
      <c r="V1981" s="14"/>
      <c r="W1981" s="14"/>
      <c r="X1981" s="14"/>
      <c r="Y1981" s="15"/>
      <c r="Z1981" s="14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4"/>
      <c r="U1982" s="14"/>
      <c r="V1982" s="14"/>
      <c r="W1982" s="14"/>
      <c r="X1982" s="14"/>
      <c r="Y1982" s="15"/>
      <c r="Z1982" s="14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4"/>
      <c r="U1983" s="14"/>
      <c r="V1983" s="14"/>
      <c r="W1983" s="14"/>
      <c r="X1983" s="14"/>
      <c r="Y1983" s="15"/>
      <c r="Z1983" s="14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4"/>
      <c r="U1984" s="14"/>
      <c r="V1984" s="14"/>
      <c r="W1984" s="14"/>
      <c r="X1984" s="14"/>
      <c r="Y1984" s="15"/>
      <c r="Z1984" s="14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4"/>
      <c r="U1985" s="14"/>
      <c r="V1985" s="14"/>
      <c r="W1985" s="14"/>
      <c r="X1985" s="14"/>
      <c r="Y1985" s="15"/>
      <c r="Z1985" s="14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4"/>
      <c r="U1986" s="14"/>
      <c r="V1986" s="14"/>
      <c r="W1986" s="14"/>
      <c r="X1986" s="14"/>
      <c r="Y1986" s="15"/>
      <c r="Z1986" s="14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4"/>
      <c r="U1987" s="14"/>
      <c r="V1987" s="14"/>
      <c r="W1987" s="14"/>
      <c r="X1987" s="14"/>
      <c r="Y1987" s="15"/>
      <c r="Z1987" s="14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4"/>
      <c r="U1988" s="14"/>
      <c r="V1988" s="14"/>
      <c r="W1988" s="14"/>
      <c r="X1988" s="14"/>
      <c r="Y1988" s="15"/>
      <c r="Z1988" s="14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4"/>
      <c r="U1989" s="14"/>
      <c r="V1989" s="14"/>
      <c r="W1989" s="14"/>
      <c r="X1989" s="14"/>
      <c r="Y1989" s="15"/>
      <c r="Z1989" s="14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4"/>
      <c r="U1990" s="14"/>
      <c r="V1990" s="14"/>
      <c r="W1990" s="14"/>
      <c r="X1990" s="14"/>
      <c r="Y1990" s="15"/>
      <c r="Z1990" s="14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4"/>
      <c r="U1991" s="14"/>
      <c r="V1991" s="14"/>
      <c r="W1991" s="14"/>
      <c r="X1991" s="14"/>
      <c r="Y1991" s="15"/>
      <c r="Z1991" s="14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4"/>
      <c r="U1992" s="14"/>
      <c r="V1992" s="14"/>
      <c r="W1992" s="14"/>
      <c r="X1992" s="14"/>
      <c r="Y1992" s="15"/>
      <c r="Z1992" s="14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4"/>
      <c r="U1993" s="14"/>
      <c r="V1993" s="14"/>
      <c r="W1993" s="14"/>
      <c r="X1993" s="14"/>
      <c r="Y1993" s="15"/>
      <c r="Z1993" s="14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4"/>
      <c r="U1994" s="14"/>
      <c r="V1994" s="14"/>
      <c r="W1994" s="14"/>
      <c r="X1994" s="14"/>
      <c r="Y1994" s="15"/>
      <c r="Z1994" s="14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4"/>
      <c r="U1995" s="14"/>
      <c r="V1995" s="14"/>
      <c r="W1995" s="14"/>
      <c r="X1995" s="14"/>
      <c r="Y1995" s="15"/>
      <c r="Z1995" s="14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4"/>
      <c r="U1996" s="14"/>
      <c r="V1996" s="14"/>
      <c r="W1996" s="14"/>
      <c r="X1996" s="14"/>
      <c r="Y1996" s="15"/>
      <c r="Z1996" s="14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4"/>
      <c r="U1997" s="14"/>
      <c r="V1997" s="14"/>
      <c r="W1997" s="14"/>
      <c r="X1997" s="14"/>
      <c r="Y1997" s="15"/>
      <c r="Z1997" s="14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4"/>
      <c r="U1998" s="14"/>
      <c r="V1998" s="14"/>
      <c r="W1998" s="14"/>
      <c r="X1998" s="14"/>
      <c r="Y1998" s="15"/>
      <c r="Z1998" s="14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4"/>
      <c r="U1999" s="14"/>
      <c r="V1999" s="14"/>
      <c r="W1999" s="14"/>
      <c r="X1999" s="14"/>
      <c r="Y1999" s="15"/>
      <c r="Z1999" s="14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4"/>
      <c r="U2000" s="14"/>
      <c r="V2000" s="14"/>
      <c r="W2000" s="14"/>
      <c r="X2000" s="14"/>
      <c r="Y2000" s="15"/>
      <c r="Z2000" s="14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4"/>
      <c r="U2001" s="14"/>
      <c r="V2001" s="14"/>
      <c r="W2001" s="14"/>
      <c r="X2001" s="14"/>
      <c r="Y2001" s="15"/>
      <c r="Z2001" s="14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4"/>
      <c r="U2002" s="14"/>
      <c r="V2002" s="14"/>
      <c r="W2002" s="14"/>
      <c r="X2002" s="14"/>
      <c r="Y2002" s="15"/>
      <c r="Z2002" s="14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4"/>
      <c r="U2003" s="14"/>
      <c r="V2003" s="14"/>
      <c r="W2003" s="14"/>
      <c r="X2003" s="14"/>
      <c r="Y2003" s="15"/>
      <c r="Z2003" s="14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4"/>
      <c r="U2004" s="14"/>
      <c r="V2004" s="14"/>
      <c r="W2004" s="14"/>
      <c r="X2004" s="14"/>
      <c r="Y2004" s="15"/>
      <c r="Z2004" s="14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4"/>
      <c r="U2005" s="14"/>
      <c r="V2005" s="14"/>
      <c r="W2005" s="14"/>
      <c r="X2005" s="14"/>
      <c r="Y2005" s="15"/>
      <c r="Z2005" s="14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4"/>
      <c r="U2006" s="14"/>
      <c r="V2006" s="14"/>
      <c r="W2006" s="14"/>
      <c r="X2006" s="14"/>
      <c r="Y2006" s="15"/>
      <c r="Z2006" s="14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4"/>
      <c r="U2007" s="14"/>
      <c r="V2007" s="14"/>
      <c r="W2007" s="14"/>
      <c r="X2007" s="14"/>
      <c r="Y2007" s="15"/>
      <c r="Z2007" s="14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4"/>
      <c r="U2008" s="14"/>
      <c r="V2008" s="14"/>
      <c r="W2008" s="14"/>
      <c r="X2008" s="14"/>
      <c r="Y2008" s="15"/>
      <c r="Z2008" s="14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4"/>
      <c r="U2009" s="14"/>
      <c r="V2009" s="14"/>
      <c r="W2009" s="14"/>
      <c r="X2009" s="14"/>
      <c r="Y2009" s="15"/>
      <c r="Z2009" s="14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4"/>
      <c r="U2010" s="14"/>
      <c r="V2010" s="14"/>
      <c r="W2010" s="14"/>
      <c r="X2010" s="14"/>
      <c r="Y2010" s="15"/>
      <c r="Z2010" s="14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4"/>
      <c r="U2011" s="14"/>
      <c r="V2011" s="14"/>
      <c r="W2011" s="14"/>
      <c r="X2011" s="14"/>
      <c r="Y2011" s="15"/>
      <c r="Z2011" s="14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4"/>
      <c r="U2012" s="14"/>
      <c r="V2012" s="14"/>
      <c r="W2012" s="14"/>
      <c r="X2012" s="14"/>
      <c r="Y2012" s="15"/>
      <c r="Z2012" s="14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4"/>
      <c r="U2013" s="14"/>
      <c r="V2013" s="14"/>
      <c r="W2013" s="14"/>
      <c r="X2013" s="14"/>
      <c r="Y2013" s="15"/>
      <c r="Z2013" s="14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4"/>
      <c r="U2014" s="14"/>
      <c r="V2014" s="14"/>
      <c r="W2014" s="14"/>
      <c r="X2014" s="14"/>
      <c r="Y2014" s="15"/>
      <c r="Z2014" s="14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4"/>
      <c r="U2015" s="14"/>
      <c r="V2015" s="14"/>
      <c r="W2015" s="14"/>
      <c r="X2015" s="14"/>
      <c r="Y2015" s="15"/>
      <c r="Z2015" s="14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4"/>
      <c r="U2016" s="14"/>
      <c r="V2016" s="14"/>
      <c r="W2016" s="14"/>
      <c r="X2016" s="14"/>
      <c r="Y2016" s="15"/>
      <c r="Z2016" s="14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4"/>
      <c r="U2017" s="14"/>
      <c r="V2017" s="14"/>
      <c r="W2017" s="14"/>
      <c r="X2017" s="14"/>
      <c r="Y2017" s="15"/>
      <c r="Z2017" s="14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4"/>
      <c r="U2018" s="14"/>
      <c r="V2018" s="14"/>
      <c r="W2018" s="14"/>
      <c r="X2018" s="14"/>
      <c r="Y2018" s="15"/>
      <c r="Z2018" s="14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4"/>
      <c r="U2019" s="14"/>
      <c r="V2019" s="14"/>
      <c r="W2019" s="14"/>
      <c r="X2019" s="14"/>
      <c r="Y2019" s="15"/>
      <c r="Z2019" s="14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4"/>
      <c r="U2020" s="14"/>
      <c r="V2020" s="14"/>
      <c r="W2020" s="14"/>
      <c r="X2020" s="14"/>
      <c r="Y2020" s="15"/>
      <c r="Z2020" s="14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4"/>
      <c r="U2021" s="14"/>
      <c r="V2021" s="14"/>
      <c r="W2021" s="14"/>
      <c r="X2021" s="14"/>
      <c r="Y2021" s="15"/>
      <c r="Z2021" s="14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4"/>
      <c r="U2022" s="14"/>
      <c r="V2022" s="14"/>
      <c r="W2022" s="14"/>
      <c r="X2022" s="14"/>
      <c r="Y2022" s="15"/>
      <c r="Z2022" s="14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4"/>
      <c r="U2023" s="14"/>
      <c r="V2023" s="14"/>
      <c r="W2023" s="14"/>
      <c r="X2023" s="14"/>
      <c r="Y2023" s="15"/>
      <c r="Z2023" s="14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4"/>
      <c r="U2024" s="14"/>
      <c r="V2024" s="14"/>
      <c r="W2024" s="14"/>
      <c r="X2024" s="14"/>
      <c r="Y2024" s="15"/>
      <c r="Z2024" s="14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4"/>
      <c r="U2025" s="14"/>
      <c r="V2025" s="14"/>
      <c r="W2025" s="14"/>
      <c r="X2025" s="14"/>
      <c r="Y2025" s="15"/>
      <c r="Z2025" s="14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4"/>
      <c r="U2026" s="14"/>
      <c r="V2026" s="14"/>
      <c r="W2026" s="14"/>
      <c r="X2026" s="14"/>
      <c r="Y2026" s="15"/>
      <c r="Z2026" s="14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4"/>
      <c r="U2027" s="14"/>
      <c r="V2027" s="14"/>
      <c r="W2027" s="14"/>
      <c r="X2027" s="14"/>
      <c r="Y2027" s="15"/>
      <c r="Z2027" s="14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4"/>
      <c r="U2028" s="14"/>
      <c r="V2028" s="14"/>
      <c r="W2028" s="14"/>
      <c r="X2028" s="14"/>
      <c r="Y2028" s="15"/>
      <c r="Z2028" s="14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4"/>
      <c r="U2029" s="14"/>
      <c r="V2029" s="14"/>
      <c r="W2029" s="14"/>
      <c r="X2029" s="14"/>
      <c r="Y2029" s="15"/>
      <c r="Z2029" s="14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4"/>
      <c r="U2030" s="14"/>
      <c r="V2030" s="14"/>
      <c r="W2030" s="14"/>
      <c r="X2030" s="14"/>
      <c r="Y2030" s="15"/>
      <c r="Z2030" s="14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4"/>
      <c r="U2031" s="14"/>
      <c r="V2031" s="14"/>
      <c r="W2031" s="14"/>
      <c r="X2031" s="14"/>
      <c r="Y2031" s="15"/>
      <c r="Z2031" s="14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4"/>
      <c r="U2032" s="14"/>
      <c r="V2032" s="14"/>
      <c r="W2032" s="14"/>
      <c r="X2032" s="14"/>
      <c r="Y2032" s="15"/>
      <c r="Z2032" s="14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4"/>
      <c r="U2033" s="14"/>
      <c r="V2033" s="14"/>
      <c r="W2033" s="14"/>
      <c r="X2033" s="14"/>
      <c r="Y2033" s="15"/>
      <c r="Z2033" s="14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4"/>
      <c r="U2034" s="14"/>
      <c r="V2034" s="14"/>
      <c r="W2034" s="14"/>
      <c r="X2034" s="14"/>
      <c r="Y2034" s="15"/>
      <c r="Z2034" s="14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4"/>
      <c r="U2035" s="14"/>
      <c r="V2035" s="14"/>
      <c r="W2035" s="14"/>
      <c r="X2035" s="14"/>
      <c r="Y2035" s="15"/>
      <c r="Z2035" s="14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4"/>
      <c r="U2036" s="14"/>
      <c r="V2036" s="14"/>
      <c r="W2036" s="14"/>
      <c r="X2036" s="14"/>
      <c r="Y2036" s="15"/>
      <c r="Z2036" s="14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4"/>
      <c r="U2037" s="14"/>
      <c r="V2037" s="14"/>
      <c r="W2037" s="14"/>
      <c r="X2037" s="14"/>
      <c r="Y2037" s="15"/>
      <c r="Z2037" s="14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4"/>
      <c r="U2038" s="14"/>
      <c r="V2038" s="14"/>
      <c r="W2038" s="14"/>
      <c r="X2038" s="14"/>
      <c r="Y2038" s="15"/>
      <c r="Z2038" s="14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4"/>
      <c r="U2039" s="14"/>
      <c r="V2039" s="14"/>
      <c r="W2039" s="14"/>
      <c r="X2039" s="14"/>
      <c r="Y2039" s="15"/>
      <c r="Z2039" s="14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4"/>
      <c r="U2040" s="14"/>
      <c r="V2040" s="14"/>
      <c r="W2040" s="14"/>
      <c r="X2040" s="14"/>
      <c r="Y2040" s="15"/>
      <c r="Z2040" s="14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4"/>
      <c r="U2041" s="14"/>
      <c r="V2041" s="14"/>
      <c r="W2041" s="14"/>
      <c r="X2041" s="14"/>
      <c r="Y2041" s="15"/>
      <c r="Z2041" s="14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4"/>
      <c r="U2042" s="14"/>
      <c r="V2042" s="14"/>
      <c r="W2042" s="14"/>
      <c r="X2042" s="14"/>
      <c r="Y2042" s="15"/>
      <c r="Z2042" s="14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4"/>
      <c r="U2043" s="14"/>
      <c r="V2043" s="14"/>
      <c r="W2043" s="14"/>
      <c r="X2043" s="14"/>
      <c r="Y2043" s="15"/>
      <c r="Z2043" s="14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4"/>
      <c r="U2044" s="14"/>
      <c r="V2044" s="14"/>
      <c r="W2044" s="14"/>
      <c r="X2044" s="14"/>
      <c r="Y2044" s="15"/>
      <c r="Z2044" s="14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4"/>
      <c r="U2045" s="14"/>
      <c r="V2045" s="14"/>
      <c r="W2045" s="14"/>
      <c r="X2045" s="14"/>
      <c r="Y2045" s="15"/>
      <c r="Z2045" s="14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4"/>
      <c r="U2046" s="14"/>
      <c r="V2046" s="14"/>
      <c r="W2046" s="14"/>
      <c r="X2046" s="14"/>
      <c r="Y2046" s="15"/>
      <c r="Z2046" s="14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4"/>
      <c r="U2047" s="14"/>
      <c r="V2047" s="14"/>
      <c r="W2047" s="14"/>
      <c r="X2047" s="14"/>
      <c r="Y2047" s="15"/>
      <c r="Z2047" s="14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4"/>
      <c r="U2048" s="14"/>
      <c r="V2048" s="14"/>
      <c r="W2048" s="14"/>
      <c r="X2048" s="14"/>
      <c r="Y2048" s="15"/>
      <c r="Z2048" s="14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4"/>
      <c r="U2049" s="14"/>
      <c r="V2049" s="14"/>
      <c r="W2049" s="14"/>
      <c r="X2049" s="14"/>
      <c r="Y2049" s="15"/>
      <c r="Z2049" s="14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4"/>
      <c r="U2050" s="14"/>
      <c r="V2050" s="14"/>
      <c r="W2050" s="14"/>
      <c r="X2050" s="14"/>
      <c r="Y2050" s="15"/>
      <c r="Z2050" s="14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4"/>
      <c r="U2051" s="14"/>
      <c r="V2051" s="14"/>
      <c r="W2051" s="14"/>
      <c r="X2051" s="14"/>
      <c r="Y2051" s="15"/>
      <c r="Z2051" s="14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4"/>
      <c r="U2052" s="14"/>
      <c r="V2052" s="14"/>
      <c r="W2052" s="14"/>
      <c r="X2052" s="14"/>
      <c r="Y2052" s="15"/>
      <c r="Z2052" s="14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4"/>
      <c r="U2053" s="14"/>
      <c r="V2053" s="14"/>
      <c r="W2053" s="14"/>
      <c r="X2053" s="14"/>
      <c r="Y2053" s="15"/>
      <c r="Z2053" s="14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4"/>
      <c r="U2054" s="14"/>
      <c r="V2054" s="14"/>
      <c r="W2054" s="14"/>
      <c r="X2054" s="14"/>
      <c r="Y2054" s="15"/>
      <c r="Z2054" s="14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4"/>
      <c r="U2055" s="14"/>
      <c r="V2055" s="14"/>
      <c r="W2055" s="14"/>
      <c r="X2055" s="14"/>
      <c r="Y2055" s="15"/>
      <c r="Z2055" s="14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4"/>
      <c r="U2056" s="14"/>
      <c r="V2056" s="14"/>
      <c r="W2056" s="14"/>
      <c r="X2056" s="14"/>
      <c r="Y2056" s="15"/>
      <c r="Z2056" s="14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4"/>
      <c r="U2057" s="14"/>
      <c r="V2057" s="14"/>
      <c r="W2057" s="14"/>
      <c r="X2057" s="14"/>
      <c r="Y2057" s="15"/>
      <c r="Z2057" s="14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4"/>
      <c r="U2058" s="14"/>
      <c r="V2058" s="14"/>
      <c r="W2058" s="14"/>
      <c r="X2058" s="14"/>
      <c r="Y2058" s="15"/>
      <c r="Z2058" s="14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4"/>
      <c r="U2059" s="14"/>
      <c r="V2059" s="14"/>
      <c r="W2059" s="14"/>
      <c r="X2059" s="14"/>
      <c r="Y2059" s="15"/>
      <c r="Z2059" s="14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4"/>
      <c r="U2060" s="14"/>
      <c r="V2060" s="14"/>
      <c r="W2060" s="14"/>
      <c r="X2060" s="14"/>
      <c r="Y2060" s="15"/>
      <c r="Z2060" s="14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4"/>
      <c r="U2061" s="14"/>
      <c r="V2061" s="14"/>
      <c r="W2061" s="14"/>
      <c r="X2061" s="14"/>
      <c r="Y2061" s="15"/>
      <c r="Z2061" s="14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4"/>
      <c r="U2062" s="14"/>
      <c r="V2062" s="14"/>
      <c r="W2062" s="14"/>
      <c r="X2062" s="14"/>
      <c r="Y2062" s="15"/>
      <c r="Z2062" s="14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4"/>
      <c r="U2063" s="14"/>
      <c r="V2063" s="14"/>
      <c r="W2063" s="14"/>
      <c r="X2063" s="14"/>
      <c r="Y2063" s="15"/>
      <c r="Z2063" s="14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4"/>
      <c r="U2064" s="14"/>
      <c r="V2064" s="14"/>
      <c r="W2064" s="14"/>
      <c r="X2064" s="14"/>
      <c r="Y2064" s="15"/>
      <c r="Z2064" s="14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4"/>
      <c r="U2065" s="14"/>
      <c r="V2065" s="14"/>
      <c r="W2065" s="14"/>
      <c r="X2065" s="14"/>
      <c r="Y2065" s="15"/>
      <c r="Z2065" s="14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4"/>
      <c r="U2066" s="14"/>
      <c r="V2066" s="14"/>
      <c r="W2066" s="14"/>
      <c r="X2066" s="14"/>
      <c r="Y2066" s="15"/>
      <c r="Z2066" s="14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4"/>
      <c r="U2067" s="14"/>
      <c r="V2067" s="14"/>
      <c r="W2067" s="14"/>
      <c r="X2067" s="14"/>
      <c r="Y2067" s="15"/>
      <c r="Z2067" s="14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4"/>
      <c r="U2068" s="14"/>
      <c r="V2068" s="14"/>
      <c r="W2068" s="14"/>
      <c r="X2068" s="14"/>
      <c r="Y2068" s="15"/>
      <c r="Z2068" s="14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4"/>
      <c r="U2069" s="14"/>
      <c r="V2069" s="14"/>
      <c r="W2069" s="14"/>
      <c r="X2069" s="14"/>
      <c r="Y2069" s="15"/>
      <c r="Z2069" s="14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4"/>
      <c r="U2070" s="14"/>
      <c r="V2070" s="14"/>
      <c r="W2070" s="14"/>
      <c r="X2070" s="14"/>
      <c r="Y2070" s="15"/>
      <c r="Z2070" s="14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4"/>
      <c r="U2071" s="14"/>
      <c r="V2071" s="14"/>
      <c r="W2071" s="14"/>
      <c r="X2071" s="14"/>
      <c r="Y2071" s="15"/>
      <c r="Z2071" s="14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4"/>
      <c r="U2072" s="14"/>
      <c r="V2072" s="14"/>
      <c r="W2072" s="14"/>
      <c r="X2072" s="14"/>
      <c r="Y2072" s="15"/>
      <c r="Z2072" s="14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4"/>
      <c r="U2073" s="14"/>
      <c r="V2073" s="14"/>
      <c r="W2073" s="14"/>
      <c r="X2073" s="14"/>
      <c r="Y2073" s="15"/>
      <c r="Z2073" s="14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4"/>
      <c r="U2074" s="14"/>
      <c r="V2074" s="14"/>
      <c r="W2074" s="14"/>
      <c r="X2074" s="14"/>
      <c r="Y2074" s="15"/>
      <c r="Z2074" s="14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4"/>
      <c r="U2075" s="14"/>
      <c r="V2075" s="14"/>
      <c r="W2075" s="14"/>
      <c r="X2075" s="14"/>
      <c r="Y2075" s="15"/>
      <c r="Z2075" s="14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4"/>
      <c r="U2076" s="14"/>
      <c r="V2076" s="14"/>
      <c r="W2076" s="14"/>
      <c r="X2076" s="14"/>
      <c r="Y2076" s="15"/>
      <c r="Z2076" s="14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4"/>
      <c r="U2077" s="14"/>
      <c r="V2077" s="14"/>
      <c r="W2077" s="14"/>
      <c r="X2077" s="14"/>
      <c r="Y2077" s="15"/>
      <c r="Z2077" s="14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4"/>
      <c r="U2078" s="14"/>
      <c r="V2078" s="14"/>
      <c r="W2078" s="14"/>
      <c r="X2078" s="14"/>
      <c r="Y2078" s="15"/>
      <c r="Z2078" s="14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4"/>
      <c r="U2079" s="14"/>
      <c r="V2079" s="14"/>
      <c r="W2079" s="14"/>
      <c r="X2079" s="14"/>
      <c r="Y2079" s="15"/>
      <c r="Z2079" s="14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4"/>
      <c r="U2080" s="14"/>
      <c r="V2080" s="14"/>
      <c r="W2080" s="14"/>
      <c r="X2080" s="14"/>
      <c r="Y2080" s="15"/>
      <c r="Z2080" s="14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4"/>
      <c r="U2081" s="14"/>
      <c r="V2081" s="14"/>
      <c r="W2081" s="14"/>
      <c r="X2081" s="14"/>
      <c r="Y2081" s="15"/>
      <c r="Z2081" s="14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4"/>
      <c r="U2082" s="14"/>
      <c r="V2082" s="14"/>
      <c r="W2082" s="14"/>
      <c r="X2082" s="14"/>
      <c r="Y2082" s="15"/>
      <c r="Z2082" s="14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4"/>
      <c r="U2083" s="14"/>
      <c r="V2083" s="14"/>
      <c r="W2083" s="14"/>
      <c r="X2083" s="14"/>
      <c r="Y2083" s="15"/>
      <c r="Z2083" s="14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4"/>
      <c r="U2084" s="14"/>
      <c r="V2084" s="14"/>
      <c r="W2084" s="14"/>
      <c r="X2084" s="14"/>
      <c r="Y2084" s="15"/>
      <c r="Z2084" s="14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4"/>
      <c r="U2085" s="14"/>
      <c r="V2085" s="14"/>
      <c r="W2085" s="14"/>
      <c r="X2085" s="14"/>
      <c r="Y2085" s="15"/>
      <c r="Z2085" s="14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4"/>
      <c r="U2086" s="14"/>
      <c r="V2086" s="14"/>
      <c r="W2086" s="14"/>
      <c r="X2086" s="14"/>
      <c r="Y2086" s="15"/>
      <c r="Z2086" s="14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4"/>
      <c r="U2087" s="14"/>
      <c r="V2087" s="14"/>
      <c r="W2087" s="14"/>
      <c r="X2087" s="14"/>
      <c r="Y2087" s="15"/>
      <c r="Z2087" s="14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4"/>
      <c r="U2088" s="14"/>
      <c r="V2088" s="14"/>
      <c r="W2088" s="14"/>
      <c r="X2088" s="14"/>
      <c r="Y2088" s="15"/>
      <c r="Z2088" s="14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4"/>
      <c r="U2089" s="14"/>
      <c r="V2089" s="14"/>
      <c r="W2089" s="14"/>
      <c r="X2089" s="14"/>
      <c r="Y2089" s="15"/>
      <c r="Z2089" s="14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4"/>
      <c r="U2090" s="14"/>
      <c r="V2090" s="14"/>
      <c r="W2090" s="14"/>
      <c r="X2090" s="14"/>
      <c r="Y2090" s="15"/>
      <c r="Z2090" s="14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4"/>
      <c r="U2091" s="14"/>
      <c r="V2091" s="14"/>
      <c r="W2091" s="14"/>
      <c r="X2091" s="14"/>
      <c r="Y2091" s="15"/>
      <c r="Z2091" s="14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4"/>
      <c r="U2092" s="14"/>
      <c r="V2092" s="14"/>
      <c r="W2092" s="14"/>
      <c r="X2092" s="14"/>
      <c r="Y2092" s="15"/>
      <c r="Z2092" s="14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4"/>
      <c r="U2093" s="14"/>
      <c r="V2093" s="14"/>
      <c r="W2093" s="14"/>
      <c r="X2093" s="14"/>
      <c r="Y2093" s="15"/>
      <c r="Z2093" s="14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4"/>
      <c r="U2094" s="14"/>
      <c r="V2094" s="14"/>
      <c r="W2094" s="14"/>
      <c r="X2094" s="14"/>
      <c r="Y2094" s="15"/>
      <c r="Z2094" s="14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4"/>
      <c r="U2095" s="14"/>
      <c r="V2095" s="14"/>
      <c r="W2095" s="14"/>
      <c r="X2095" s="14"/>
      <c r="Y2095" s="15"/>
      <c r="Z2095" s="14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4"/>
      <c r="U2096" s="14"/>
      <c r="V2096" s="14"/>
      <c r="W2096" s="14"/>
      <c r="X2096" s="14"/>
      <c r="Y2096" s="15"/>
      <c r="Z2096" s="14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4"/>
      <c r="U2097" s="14"/>
      <c r="V2097" s="14"/>
      <c r="W2097" s="14"/>
      <c r="X2097" s="14"/>
      <c r="Y2097" s="15"/>
      <c r="Z2097" s="14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4"/>
      <c r="U2098" s="14"/>
      <c r="V2098" s="14"/>
      <c r="W2098" s="14"/>
      <c r="X2098" s="14"/>
      <c r="Y2098" s="15"/>
      <c r="Z2098" s="14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4"/>
      <c r="U2099" s="14"/>
      <c r="V2099" s="14"/>
      <c r="W2099" s="14"/>
      <c r="X2099" s="14"/>
      <c r="Y2099" s="15"/>
      <c r="Z2099" s="14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4"/>
      <c r="U2100" s="14"/>
      <c r="V2100" s="14"/>
      <c r="W2100" s="14"/>
      <c r="X2100" s="14"/>
      <c r="Y2100" s="15"/>
      <c r="Z2100" s="14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4"/>
      <c r="U2101" s="14"/>
      <c r="V2101" s="14"/>
      <c r="W2101" s="14"/>
      <c r="X2101" s="14"/>
      <c r="Y2101" s="15"/>
      <c r="Z2101" s="14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4"/>
      <c r="U2102" s="14"/>
      <c r="V2102" s="14"/>
      <c r="W2102" s="14"/>
      <c r="X2102" s="14"/>
      <c r="Y2102" s="15"/>
      <c r="Z2102" s="14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4"/>
      <c r="U2103" s="14"/>
      <c r="V2103" s="14"/>
      <c r="W2103" s="14"/>
      <c r="X2103" s="14"/>
      <c r="Y2103" s="15"/>
      <c r="Z2103" s="14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4"/>
      <c r="U2104" s="14"/>
      <c r="V2104" s="14"/>
      <c r="W2104" s="14"/>
      <c r="X2104" s="14"/>
      <c r="Y2104" s="15"/>
      <c r="Z2104" s="14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4"/>
      <c r="U2105" s="14"/>
      <c r="V2105" s="14"/>
      <c r="W2105" s="14"/>
      <c r="X2105" s="14"/>
      <c r="Y2105" s="15"/>
      <c r="Z2105" s="14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4"/>
      <c r="U2106" s="14"/>
      <c r="V2106" s="14"/>
      <c r="W2106" s="14"/>
      <c r="X2106" s="14"/>
      <c r="Y2106" s="15"/>
      <c r="Z2106" s="14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4"/>
      <c r="U2107" s="14"/>
      <c r="V2107" s="14"/>
      <c r="W2107" s="14"/>
      <c r="X2107" s="14"/>
      <c r="Y2107" s="15"/>
      <c r="Z2107" s="14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4"/>
      <c r="U2108" s="14"/>
      <c r="V2108" s="14"/>
      <c r="W2108" s="14"/>
      <c r="X2108" s="14"/>
      <c r="Y2108" s="15"/>
      <c r="Z2108" s="14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4"/>
      <c r="U2109" s="14"/>
      <c r="V2109" s="14"/>
      <c r="W2109" s="14"/>
      <c r="X2109" s="14"/>
      <c r="Y2109" s="15"/>
      <c r="Z2109" s="14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4"/>
      <c r="U2110" s="14"/>
      <c r="V2110" s="14"/>
      <c r="W2110" s="14"/>
      <c r="X2110" s="14"/>
      <c r="Y2110" s="15"/>
      <c r="Z2110" s="14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4"/>
      <c r="U2111" s="14"/>
      <c r="V2111" s="14"/>
      <c r="W2111" s="14"/>
      <c r="X2111" s="14"/>
      <c r="Y2111" s="15"/>
      <c r="Z2111" s="14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4"/>
      <c r="U2112" s="14"/>
      <c r="V2112" s="14"/>
      <c r="W2112" s="14"/>
      <c r="X2112" s="14"/>
      <c r="Y2112" s="15"/>
      <c r="Z2112" s="14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4"/>
      <c r="U2113" s="14"/>
      <c r="V2113" s="14"/>
      <c r="W2113" s="14"/>
      <c r="X2113" s="14"/>
      <c r="Y2113" s="15"/>
      <c r="Z2113" s="14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4"/>
      <c r="U2114" s="14"/>
      <c r="V2114" s="14"/>
      <c r="W2114" s="14"/>
      <c r="X2114" s="14"/>
      <c r="Y2114" s="15"/>
      <c r="Z2114" s="14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4"/>
      <c r="U2115" s="14"/>
      <c r="V2115" s="14"/>
      <c r="W2115" s="14"/>
      <c r="X2115" s="14"/>
      <c r="Y2115" s="15"/>
      <c r="Z2115" s="14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4"/>
      <c r="U2116" s="14"/>
      <c r="V2116" s="14"/>
      <c r="W2116" s="14"/>
      <c r="X2116" s="14"/>
      <c r="Y2116" s="15"/>
      <c r="Z2116" s="14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4"/>
      <c r="U2117" s="14"/>
      <c r="V2117" s="14"/>
      <c r="W2117" s="14"/>
      <c r="X2117" s="14"/>
      <c r="Y2117" s="15"/>
      <c r="Z2117" s="14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4"/>
      <c r="U2118" s="14"/>
      <c r="V2118" s="14"/>
      <c r="W2118" s="14"/>
      <c r="X2118" s="14"/>
      <c r="Y2118" s="15"/>
      <c r="Z2118" s="14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4"/>
      <c r="U2119" s="14"/>
      <c r="V2119" s="14"/>
      <c r="W2119" s="14"/>
      <c r="X2119" s="14"/>
      <c r="Y2119" s="15"/>
      <c r="Z2119" s="14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4"/>
      <c r="U2120" s="14"/>
      <c r="V2120" s="14"/>
      <c r="W2120" s="14"/>
      <c r="X2120" s="14"/>
      <c r="Y2120" s="15"/>
      <c r="Z2120" s="14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4"/>
      <c r="U2121" s="14"/>
      <c r="V2121" s="14"/>
      <c r="W2121" s="14"/>
      <c r="X2121" s="14"/>
      <c r="Y2121" s="15"/>
      <c r="Z2121" s="14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4"/>
      <c r="U2122" s="14"/>
      <c r="V2122" s="14"/>
      <c r="W2122" s="14"/>
      <c r="X2122" s="14"/>
      <c r="Y2122" s="15"/>
      <c r="Z2122" s="14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4"/>
      <c r="U2123" s="14"/>
      <c r="V2123" s="14"/>
      <c r="W2123" s="14"/>
      <c r="X2123" s="14"/>
      <c r="Y2123" s="15"/>
      <c r="Z2123" s="14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4"/>
      <c r="U2124" s="14"/>
      <c r="V2124" s="14"/>
      <c r="W2124" s="14"/>
      <c r="X2124" s="14"/>
      <c r="Y2124" s="15"/>
      <c r="Z2124" s="14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4"/>
      <c r="U2125" s="14"/>
      <c r="V2125" s="14"/>
      <c r="W2125" s="14"/>
      <c r="X2125" s="14"/>
      <c r="Y2125" s="15"/>
      <c r="Z2125" s="14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4"/>
      <c r="U2126" s="14"/>
      <c r="V2126" s="14"/>
      <c r="W2126" s="14"/>
      <c r="X2126" s="14"/>
      <c r="Y2126" s="15"/>
      <c r="Z2126" s="14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4"/>
      <c r="U2127" s="14"/>
      <c r="V2127" s="14"/>
      <c r="W2127" s="14"/>
      <c r="X2127" s="14"/>
      <c r="Y2127" s="15"/>
      <c r="Z2127" s="14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4"/>
      <c r="U2128" s="14"/>
      <c r="V2128" s="14"/>
      <c r="W2128" s="14"/>
      <c r="X2128" s="14"/>
      <c r="Y2128" s="15"/>
      <c r="Z2128" s="14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4"/>
      <c r="U2129" s="14"/>
      <c r="V2129" s="14"/>
      <c r="W2129" s="14"/>
      <c r="X2129" s="14"/>
      <c r="Y2129" s="15"/>
      <c r="Z2129" s="14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4"/>
      <c r="U2130" s="14"/>
      <c r="V2130" s="14"/>
      <c r="W2130" s="14"/>
      <c r="X2130" s="14"/>
      <c r="Y2130" s="15"/>
      <c r="Z2130" s="14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4"/>
      <c r="U2131" s="14"/>
      <c r="V2131" s="14"/>
      <c r="W2131" s="14"/>
      <c r="X2131" s="14"/>
      <c r="Y2131" s="15"/>
      <c r="Z2131" s="14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4"/>
      <c r="U2132" s="14"/>
      <c r="V2132" s="14"/>
      <c r="W2132" s="14"/>
      <c r="X2132" s="14"/>
      <c r="Y2132" s="15"/>
      <c r="Z2132" s="14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4"/>
      <c r="U2133" s="14"/>
      <c r="V2133" s="14"/>
      <c r="W2133" s="14"/>
      <c r="X2133" s="14"/>
      <c r="Y2133" s="15"/>
      <c r="Z2133" s="14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4"/>
      <c r="U2134" s="14"/>
      <c r="V2134" s="14"/>
      <c r="W2134" s="14"/>
      <c r="X2134" s="14"/>
      <c r="Y2134" s="15"/>
      <c r="Z2134" s="14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4"/>
      <c r="U2135" s="14"/>
      <c r="V2135" s="14"/>
      <c r="W2135" s="14"/>
      <c r="X2135" s="14"/>
      <c r="Y2135" s="15"/>
      <c r="Z2135" s="14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4"/>
      <c r="U2136" s="14"/>
      <c r="V2136" s="14"/>
      <c r="W2136" s="14"/>
      <c r="X2136" s="14"/>
      <c r="Y2136" s="15"/>
      <c r="Z2136" s="14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4"/>
      <c r="U2137" s="14"/>
      <c r="V2137" s="14"/>
      <c r="W2137" s="14"/>
      <c r="X2137" s="14"/>
      <c r="Y2137" s="15"/>
      <c r="Z2137" s="14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4"/>
      <c r="U2138" s="14"/>
      <c r="V2138" s="14"/>
      <c r="W2138" s="14"/>
      <c r="X2138" s="14"/>
      <c r="Y2138" s="15"/>
      <c r="Z2138" s="14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4"/>
      <c r="U2139" s="14"/>
      <c r="V2139" s="14"/>
      <c r="W2139" s="14"/>
      <c r="X2139" s="14"/>
      <c r="Y2139" s="15"/>
      <c r="Z2139" s="14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4"/>
      <c r="U2140" s="14"/>
      <c r="V2140" s="14"/>
      <c r="W2140" s="14"/>
      <c r="X2140" s="14"/>
      <c r="Y2140" s="15"/>
      <c r="Z2140" s="14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4"/>
      <c r="U2141" s="14"/>
      <c r="V2141" s="14"/>
      <c r="W2141" s="14"/>
      <c r="X2141" s="14"/>
      <c r="Y2141" s="15"/>
      <c r="Z2141" s="14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4"/>
      <c r="U2142" s="14"/>
      <c r="V2142" s="14"/>
      <c r="W2142" s="14"/>
      <c r="X2142" s="14"/>
      <c r="Y2142" s="15"/>
      <c r="Z2142" s="14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4"/>
      <c r="U2143" s="14"/>
      <c r="V2143" s="14"/>
      <c r="W2143" s="14"/>
      <c r="X2143" s="14"/>
      <c r="Y2143" s="15"/>
      <c r="Z2143" s="14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4"/>
      <c r="U2144" s="14"/>
      <c r="V2144" s="14"/>
      <c r="W2144" s="14"/>
      <c r="X2144" s="14"/>
      <c r="Y2144" s="15"/>
      <c r="Z2144" s="14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4"/>
      <c r="U2145" s="14"/>
      <c r="V2145" s="14"/>
      <c r="W2145" s="14"/>
      <c r="X2145" s="14"/>
      <c r="Y2145" s="15"/>
      <c r="Z2145" s="14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4"/>
      <c r="U2146" s="14"/>
      <c r="V2146" s="14"/>
      <c r="W2146" s="14"/>
      <c r="X2146" s="14"/>
      <c r="Y2146" s="15"/>
      <c r="Z2146" s="14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4"/>
      <c r="U2147" s="14"/>
      <c r="V2147" s="14"/>
      <c r="W2147" s="14"/>
      <c r="X2147" s="14"/>
      <c r="Y2147" s="15"/>
      <c r="Z2147" s="14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4"/>
      <c r="U2148" s="14"/>
      <c r="V2148" s="14"/>
      <c r="W2148" s="14"/>
      <c r="X2148" s="14"/>
      <c r="Y2148" s="15"/>
      <c r="Z2148" s="14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4"/>
      <c r="U2149" s="14"/>
      <c r="V2149" s="14"/>
      <c r="W2149" s="14"/>
      <c r="X2149" s="14"/>
      <c r="Y2149" s="15"/>
      <c r="Z2149" s="14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4"/>
      <c r="U2150" s="14"/>
      <c r="V2150" s="14"/>
      <c r="W2150" s="14"/>
      <c r="X2150" s="14"/>
      <c r="Y2150" s="15"/>
      <c r="Z2150" s="14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4"/>
      <c r="U2151" s="14"/>
      <c r="V2151" s="14"/>
      <c r="W2151" s="14"/>
      <c r="X2151" s="14"/>
      <c r="Y2151" s="15"/>
      <c r="Z2151" s="14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4"/>
      <c r="U2152" s="14"/>
      <c r="V2152" s="14"/>
      <c r="W2152" s="14"/>
      <c r="X2152" s="14"/>
      <c r="Y2152" s="15"/>
      <c r="Z2152" s="14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4"/>
      <c r="U2153" s="14"/>
      <c r="V2153" s="14"/>
      <c r="W2153" s="14"/>
      <c r="X2153" s="14"/>
      <c r="Y2153" s="15"/>
      <c r="Z2153" s="14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4"/>
      <c r="U2154" s="14"/>
      <c r="V2154" s="14"/>
      <c r="W2154" s="14"/>
      <c r="X2154" s="14"/>
      <c r="Y2154" s="15"/>
      <c r="Z2154" s="14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4"/>
      <c r="U2155" s="14"/>
      <c r="V2155" s="14"/>
      <c r="W2155" s="14"/>
      <c r="X2155" s="14"/>
      <c r="Y2155" s="15"/>
      <c r="Z2155" s="14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4"/>
      <c r="U2156" s="14"/>
      <c r="V2156" s="14"/>
      <c r="W2156" s="14"/>
      <c r="X2156" s="14"/>
      <c r="Y2156" s="15"/>
      <c r="Z2156" s="14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4"/>
      <c r="U2157" s="14"/>
      <c r="V2157" s="14"/>
      <c r="W2157" s="14"/>
      <c r="X2157" s="14"/>
      <c r="Y2157" s="15"/>
      <c r="Z2157" s="14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4"/>
      <c r="U2158" s="14"/>
      <c r="V2158" s="14"/>
      <c r="W2158" s="14"/>
      <c r="X2158" s="14"/>
      <c r="Y2158" s="15"/>
      <c r="Z2158" s="14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4"/>
      <c r="U2159" s="14"/>
      <c r="V2159" s="14"/>
      <c r="W2159" s="14"/>
      <c r="X2159" s="14"/>
      <c r="Y2159" s="15"/>
      <c r="Z2159" s="14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4"/>
      <c r="U2160" s="14"/>
      <c r="V2160" s="14"/>
      <c r="W2160" s="14"/>
      <c r="X2160" s="14"/>
      <c r="Y2160" s="15"/>
      <c r="Z2160" s="14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4"/>
      <c r="U2161" s="14"/>
      <c r="V2161" s="14"/>
      <c r="W2161" s="14"/>
      <c r="X2161" s="14"/>
      <c r="Y2161" s="15"/>
      <c r="Z2161" s="14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4"/>
      <c r="U2162" s="14"/>
      <c r="V2162" s="14"/>
      <c r="W2162" s="14"/>
      <c r="X2162" s="14"/>
      <c r="Y2162" s="15"/>
      <c r="Z2162" s="14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4"/>
      <c r="U2163" s="14"/>
      <c r="V2163" s="14"/>
      <c r="W2163" s="14"/>
      <c r="X2163" s="14"/>
      <c r="Y2163" s="15"/>
      <c r="Z2163" s="14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4"/>
      <c r="U2164" s="14"/>
      <c r="V2164" s="14"/>
      <c r="W2164" s="14"/>
      <c r="X2164" s="14"/>
      <c r="Y2164" s="15"/>
      <c r="Z2164" s="14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4"/>
      <c r="U2165" s="14"/>
      <c r="V2165" s="14"/>
      <c r="W2165" s="14"/>
      <c r="X2165" s="14"/>
      <c r="Y2165" s="15"/>
      <c r="Z2165" s="14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4"/>
      <c r="U2166" s="14"/>
      <c r="V2166" s="14"/>
      <c r="W2166" s="14"/>
      <c r="X2166" s="14"/>
      <c r="Y2166" s="15"/>
      <c r="Z2166" s="14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4"/>
      <c r="U2167" s="14"/>
      <c r="V2167" s="14"/>
      <c r="W2167" s="14"/>
      <c r="X2167" s="14"/>
      <c r="Y2167" s="15"/>
      <c r="Z2167" s="14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4"/>
      <c r="U2168" s="14"/>
      <c r="V2168" s="14"/>
      <c r="W2168" s="14"/>
      <c r="X2168" s="14"/>
      <c r="Y2168" s="15"/>
      <c r="Z2168" s="14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4"/>
      <c r="U2169" s="14"/>
      <c r="V2169" s="14"/>
      <c r="W2169" s="14"/>
      <c r="X2169" s="14"/>
      <c r="Y2169" s="15"/>
      <c r="Z2169" s="14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4"/>
      <c r="U2170" s="14"/>
      <c r="V2170" s="14"/>
      <c r="W2170" s="14"/>
      <c r="X2170" s="14"/>
      <c r="Y2170" s="15"/>
      <c r="Z2170" s="14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4"/>
      <c r="U2171" s="14"/>
      <c r="V2171" s="14"/>
      <c r="W2171" s="14"/>
      <c r="X2171" s="14"/>
      <c r="Y2171" s="15"/>
      <c r="Z2171" s="14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4"/>
      <c r="U2172" s="14"/>
      <c r="V2172" s="14"/>
      <c r="W2172" s="14"/>
      <c r="X2172" s="14"/>
      <c r="Y2172" s="15"/>
      <c r="Z2172" s="14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4"/>
      <c r="U2173" s="14"/>
      <c r="V2173" s="14"/>
      <c r="W2173" s="14"/>
      <c r="X2173" s="14"/>
      <c r="Y2173" s="15"/>
      <c r="Z2173" s="14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4"/>
      <c r="U2174" s="14"/>
      <c r="V2174" s="14"/>
      <c r="W2174" s="14"/>
      <c r="X2174" s="14"/>
      <c r="Y2174" s="15"/>
      <c r="Z2174" s="14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4"/>
      <c r="U2175" s="14"/>
      <c r="V2175" s="14"/>
      <c r="W2175" s="14"/>
      <c r="X2175" s="14"/>
      <c r="Y2175" s="15"/>
      <c r="Z2175" s="14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4"/>
      <c r="U2176" s="14"/>
      <c r="V2176" s="14"/>
      <c r="W2176" s="14"/>
      <c r="X2176" s="14"/>
      <c r="Y2176" s="15"/>
      <c r="Z2176" s="14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4"/>
      <c r="U2177" s="14"/>
      <c r="V2177" s="14"/>
      <c r="W2177" s="14"/>
      <c r="X2177" s="14"/>
      <c r="Y2177" s="15"/>
      <c r="Z2177" s="14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4"/>
      <c r="U2178" s="14"/>
      <c r="V2178" s="14"/>
      <c r="W2178" s="14"/>
      <c r="X2178" s="14"/>
      <c r="Y2178" s="15"/>
      <c r="Z2178" s="14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4"/>
      <c r="U2179" s="14"/>
      <c r="V2179" s="14"/>
      <c r="W2179" s="14"/>
      <c r="X2179" s="14"/>
      <c r="Y2179" s="15"/>
      <c r="Z2179" s="14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4"/>
      <c r="U2180" s="14"/>
      <c r="V2180" s="14"/>
      <c r="W2180" s="14"/>
      <c r="X2180" s="14"/>
      <c r="Y2180" s="15"/>
      <c r="Z2180" s="14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4"/>
      <c r="U2181" s="14"/>
      <c r="V2181" s="14"/>
      <c r="W2181" s="14"/>
      <c r="X2181" s="14"/>
      <c r="Y2181" s="15"/>
      <c r="Z2181" s="14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4"/>
      <c r="U2182" s="14"/>
      <c r="V2182" s="14"/>
      <c r="W2182" s="14"/>
      <c r="X2182" s="14"/>
      <c r="Y2182" s="15"/>
      <c r="Z2182" s="14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4"/>
      <c r="U2183" s="14"/>
      <c r="V2183" s="14"/>
      <c r="W2183" s="14"/>
      <c r="X2183" s="14"/>
      <c r="Y2183" s="15"/>
      <c r="Z2183" s="14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4"/>
      <c r="U2184" s="14"/>
      <c r="V2184" s="14"/>
      <c r="W2184" s="14"/>
      <c r="X2184" s="14"/>
      <c r="Y2184" s="15"/>
      <c r="Z2184" s="14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4"/>
      <c r="U2185" s="14"/>
      <c r="V2185" s="14"/>
      <c r="W2185" s="14"/>
      <c r="X2185" s="14"/>
      <c r="Y2185" s="15"/>
      <c r="Z2185" s="14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4"/>
      <c r="U2186" s="14"/>
      <c r="V2186" s="14"/>
      <c r="W2186" s="14"/>
      <c r="X2186" s="14"/>
      <c r="Y2186" s="15"/>
      <c r="Z2186" s="14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4"/>
      <c r="U2187" s="14"/>
      <c r="V2187" s="14"/>
      <c r="W2187" s="14"/>
      <c r="X2187" s="14"/>
      <c r="Y2187" s="15"/>
      <c r="Z2187" s="14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4"/>
      <c r="U2188" s="14"/>
      <c r="V2188" s="14"/>
      <c r="W2188" s="14"/>
      <c r="X2188" s="14"/>
      <c r="Y2188" s="15"/>
      <c r="Z2188" s="14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4"/>
      <c r="U2189" s="14"/>
      <c r="V2189" s="14"/>
      <c r="W2189" s="14"/>
      <c r="X2189" s="14"/>
      <c r="Y2189" s="15"/>
      <c r="Z2189" s="14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4"/>
      <c r="U2190" s="14"/>
      <c r="V2190" s="14"/>
      <c r="W2190" s="14"/>
      <c r="X2190" s="14"/>
      <c r="Y2190" s="15"/>
      <c r="Z2190" s="14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4"/>
      <c r="U2191" s="14"/>
      <c r="V2191" s="14"/>
      <c r="W2191" s="14"/>
      <c r="X2191" s="14"/>
      <c r="Y2191" s="15"/>
      <c r="Z2191" s="14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4"/>
      <c r="U2192" s="14"/>
      <c r="V2192" s="14"/>
      <c r="W2192" s="14"/>
      <c r="X2192" s="14"/>
      <c r="Y2192" s="15"/>
      <c r="Z2192" s="14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4"/>
      <c r="U2193" s="14"/>
      <c r="V2193" s="14"/>
      <c r="W2193" s="14"/>
      <c r="X2193" s="14"/>
      <c r="Y2193" s="15"/>
      <c r="Z2193" s="14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4"/>
      <c r="U2194" s="14"/>
      <c r="V2194" s="14"/>
      <c r="W2194" s="14"/>
      <c r="X2194" s="14"/>
      <c r="Y2194" s="15"/>
      <c r="Z2194" s="14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4"/>
      <c r="U2195" s="14"/>
      <c r="V2195" s="14"/>
      <c r="W2195" s="14"/>
      <c r="X2195" s="14"/>
      <c r="Y2195" s="15"/>
      <c r="Z2195" s="14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4"/>
      <c r="U2196" s="14"/>
      <c r="V2196" s="14"/>
      <c r="W2196" s="14"/>
      <c r="X2196" s="14"/>
      <c r="Y2196" s="15"/>
      <c r="Z2196" s="14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4"/>
      <c r="U2197" s="14"/>
      <c r="V2197" s="14"/>
      <c r="W2197" s="14"/>
      <c r="X2197" s="14"/>
      <c r="Y2197" s="15"/>
      <c r="Z2197" s="14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4"/>
      <c r="U2198" s="14"/>
      <c r="V2198" s="14"/>
      <c r="W2198" s="14"/>
      <c r="X2198" s="14"/>
      <c r="Y2198" s="15"/>
      <c r="Z2198" s="14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4"/>
      <c r="U2199" s="14"/>
      <c r="V2199" s="14"/>
      <c r="W2199" s="14"/>
      <c r="X2199" s="14"/>
      <c r="Y2199" s="15"/>
      <c r="Z2199" s="14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4"/>
      <c r="U2200" s="14"/>
      <c r="V2200" s="14"/>
      <c r="W2200" s="14"/>
      <c r="X2200" s="14"/>
      <c r="Y2200" s="15"/>
      <c r="Z2200" s="14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4"/>
      <c r="U2201" s="14"/>
      <c r="V2201" s="14"/>
      <c r="W2201" s="14"/>
      <c r="X2201" s="14"/>
      <c r="Y2201" s="15"/>
      <c r="Z2201" s="14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4"/>
      <c r="U2202" s="14"/>
      <c r="V2202" s="14"/>
      <c r="W2202" s="14"/>
      <c r="X2202" s="14"/>
      <c r="Y2202" s="15"/>
      <c r="Z2202" s="14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4"/>
      <c r="U2203" s="14"/>
      <c r="V2203" s="14"/>
      <c r="W2203" s="14"/>
      <c r="X2203" s="14"/>
      <c r="Y2203" s="15"/>
      <c r="Z2203" s="14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4"/>
      <c r="U2204" s="14"/>
      <c r="V2204" s="14"/>
      <c r="W2204" s="14"/>
      <c r="X2204" s="14"/>
      <c r="Y2204" s="15"/>
      <c r="Z2204" s="14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4"/>
      <c r="U2205" s="14"/>
      <c r="V2205" s="14"/>
      <c r="W2205" s="14"/>
      <c r="X2205" s="14"/>
      <c r="Y2205" s="15"/>
      <c r="Z2205" s="14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4"/>
      <c r="U2206" s="14"/>
      <c r="V2206" s="14"/>
      <c r="W2206" s="14"/>
      <c r="X2206" s="14"/>
      <c r="Y2206" s="15"/>
      <c r="Z2206" s="14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4"/>
      <c r="U2207" s="14"/>
      <c r="V2207" s="14"/>
      <c r="W2207" s="14"/>
      <c r="X2207" s="14"/>
      <c r="Y2207" s="15"/>
      <c r="Z2207" s="14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4"/>
      <c r="U2208" s="14"/>
      <c r="V2208" s="14"/>
      <c r="W2208" s="14"/>
      <c r="X2208" s="14"/>
      <c r="Y2208" s="15"/>
      <c r="Z2208" s="14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4"/>
      <c r="U2209" s="14"/>
      <c r="V2209" s="14"/>
      <c r="W2209" s="14"/>
      <c r="X2209" s="14"/>
      <c r="Y2209" s="15"/>
      <c r="Z2209" s="14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4"/>
      <c r="U2210" s="14"/>
      <c r="V2210" s="14"/>
      <c r="W2210" s="14"/>
      <c r="X2210" s="14"/>
      <c r="Y2210" s="15"/>
      <c r="Z2210" s="14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4"/>
      <c r="U2211" s="14"/>
      <c r="V2211" s="14"/>
      <c r="W2211" s="14"/>
      <c r="X2211" s="14"/>
      <c r="Y2211" s="15"/>
      <c r="Z2211" s="14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4"/>
      <c r="U2212" s="14"/>
      <c r="V2212" s="14"/>
      <c r="W2212" s="14"/>
      <c r="X2212" s="14"/>
      <c r="Y2212" s="15"/>
      <c r="Z2212" s="14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4"/>
      <c r="U2213" s="14"/>
      <c r="V2213" s="14"/>
      <c r="W2213" s="14"/>
      <c r="X2213" s="14"/>
      <c r="Y2213" s="15"/>
      <c r="Z2213" s="14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4"/>
      <c r="U2214" s="14"/>
      <c r="V2214" s="14"/>
      <c r="W2214" s="14"/>
      <c r="X2214" s="14"/>
      <c r="Y2214" s="15"/>
      <c r="Z2214" s="14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4"/>
      <c r="U2215" s="14"/>
      <c r="V2215" s="14"/>
      <c r="W2215" s="14"/>
      <c r="X2215" s="14"/>
      <c r="Y2215" s="15"/>
      <c r="Z2215" s="14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4"/>
      <c r="U2216" s="14"/>
      <c r="V2216" s="14"/>
      <c r="W2216" s="14"/>
      <c r="X2216" s="14"/>
      <c r="Y2216" s="15"/>
      <c r="Z2216" s="14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4"/>
      <c r="U2217" s="14"/>
      <c r="V2217" s="14"/>
      <c r="W2217" s="14"/>
      <c r="X2217" s="14"/>
      <c r="Y2217" s="15"/>
      <c r="Z2217" s="14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4"/>
      <c r="U2218" s="14"/>
      <c r="V2218" s="14"/>
      <c r="W2218" s="14"/>
      <c r="X2218" s="14"/>
      <c r="Y2218" s="15"/>
      <c r="Z2218" s="14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4"/>
      <c r="U2219" s="14"/>
      <c r="V2219" s="14"/>
      <c r="W2219" s="14"/>
      <c r="X2219" s="14"/>
      <c r="Y2219" s="15"/>
      <c r="Z2219" s="14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4"/>
      <c r="U2220" s="14"/>
      <c r="V2220" s="14"/>
      <c r="W2220" s="14"/>
      <c r="X2220" s="14"/>
      <c r="Y2220" s="15"/>
      <c r="Z2220" s="14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4"/>
      <c r="U2221" s="14"/>
      <c r="V2221" s="14"/>
      <c r="W2221" s="14"/>
      <c r="X2221" s="14"/>
      <c r="Y2221" s="15"/>
      <c r="Z2221" s="14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4"/>
      <c r="U2222" s="14"/>
      <c r="V2222" s="14"/>
      <c r="W2222" s="14"/>
      <c r="X2222" s="14"/>
      <c r="Y2222" s="15"/>
      <c r="Z2222" s="14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4"/>
      <c r="U2223" s="14"/>
      <c r="V2223" s="14"/>
      <c r="W2223" s="14"/>
      <c r="X2223" s="14"/>
      <c r="Y2223" s="15"/>
      <c r="Z2223" s="14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4"/>
      <c r="U2224" s="14"/>
      <c r="V2224" s="14"/>
      <c r="W2224" s="14"/>
      <c r="X2224" s="14"/>
      <c r="Y2224" s="15"/>
      <c r="Z2224" s="14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4"/>
      <c r="U2225" s="14"/>
      <c r="V2225" s="14"/>
      <c r="W2225" s="14"/>
      <c r="X2225" s="14"/>
      <c r="Y2225" s="15"/>
      <c r="Z2225" s="14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4"/>
      <c r="U2226" s="14"/>
      <c r="V2226" s="14"/>
      <c r="W2226" s="14"/>
      <c r="X2226" s="14"/>
      <c r="Y2226" s="15"/>
      <c r="Z2226" s="14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4"/>
      <c r="U2227" s="14"/>
      <c r="V2227" s="14"/>
      <c r="W2227" s="14"/>
      <c r="X2227" s="14"/>
      <c r="Y2227" s="15"/>
      <c r="Z2227" s="14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4"/>
      <c r="U2228" s="14"/>
      <c r="V2228" s="14"/>
      <c r="W2228" s="14"/>
      <c r="X2228" s="14"/>
      <c r="Y2228" s="15"/>
      <c r="Z2228" s="14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4"/>
      <c r="U2229" s="14"/>
      <c r="V2229" s="14"/>
      <c r="W2229" s="14"/>
      <c r="X2229" s="14"/>
      <c r="Y2229" s="15"/>
      <c r="Z2229" s="14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4"/>
      <c r="U2230" s="14"/>
      <c r="V2230" s="14"/>
      <c r="W2230" s="14"/>
      <c r="X2230" s="14"/>
      <c r="Y2230" s="15"/>
      <c r="Z2230" s="14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4"/>
      <c r="U2231" s="14"/>
      <c r="V2231" s="14"/>
      <c r="W2231" s="14"/>
      <c r="X2231" s="14"/>
      <c r="Y2231" s="15"/>
      <c r="Z2231" s="14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4"/>
      <c r="U2232" s="14"/>
      <c r="V2232" s="14"/>
      <c r="W2232" s="14"/>
      <c r="X2232" s="14"/>
      <c r="Y2232" s="15"/>
      <c r="Z2232" s="14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4"/>
      <c r="U2233" s="14"/>
      <c r="V2233" s="14"/>
      <c r="W2233" s="14"/>
      <c r="X2233" s="14"/>
      <c r="Y2233" s="15"/>
      <c r="Z2233" s="14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4"/>
      <c r="U2234" s="14"/>
      <c r="V2234" s="14"/>
      <c r="W2234" s="14"/>
      <c r="X2234" s="14"/>
      <c r="Y2234" s="15"/>
      <c r="Z2234" s="14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4"/>
      <c r="U2235" s="14"/>
      <c r="V2235" s="14"/>
      <c r="W2235" s="14"/>
      <c r="X2235" s="14"/>
      <c r="Y2235" s="15"/>
      <c r="Z2235" s="14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4"/>
      <c r="U2236" s="14"/>
      <c r="V2236" s="14"/>
      <c r="W2236" s="14"/>
      <c r="X2236" s="14"/>
      <c r="Y2236" s="15"/>
      <c r="Z2236" s="14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4"/>
      <c r="U2237" s="14"/>
      <c r="V2237" s="14"/>
      <c r="W2237" s="14"/>
      <c r="X2237" s="14"/>
      <c r="Y2237" s="15"/>
      <c r="Z2237" s="14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4"/>
      <c r="U2238" s="14"/>
      <c r="V2238" s="14"/>
      <c r="W2238" s="14"/>
      <c r="X2238" s="14"/>
      <c r="Y2238" s="15"/>
      <c r="Z2238" s="14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4"/>
      <c r="U2239" s="14"/>
      <c r="V2239" s="14"/>
      <c r="W2239" s="14"/>
      <c r="X2239" s="14"/>
      <c r="Y2239" s="15"/>
      <c r="Z2239" s="14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4"/>
      <c r="U2240" s="14"/>
      <c r="V2240" s="14"/>
      <c r="W2240" s="14"/>
      <c r="X2240" s="14"/>
      <c r="Y2240" s="15"/>
      <c r="Z2240" s="14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4"/>
      <c r="U2241" s="14"/>
      <c r="V2241" s="14"/>
      <c r="W2241" s="14"/>
      <c r="X2241" s="14"/>
      <c r="Y2241" s="15"/>
      <c r="Z2241" s="14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4"/>
      <c r="U2242" s="14"/>
      <c r="V2242" s="14"/>
      <c r="W2242" s="14"/>
      <c r="X2242" s="14"/>
      <c r="Y2242" s="15"/>
      <c r="Z2242" s="14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4"/>
      <c r="U2243" s="14"/>
      <c r="V2243" s="14"/>
      <c r="W2243" s="14"/>
      <c r="X2243" s="14"/>
      <c r="Y2243" s="15"/>
      <c r="Z2243" s="14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4"/>
      <c r="U2244" s="14"/>
      <c r="V2244" s="14"/>
      <c r="W2244" s="14"/>
      <c r="X2244" s="14"/>
      <c r="Y2244" s="15"/>
      <c r="Z2244" s="14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4"/>
      <c r="U2245" s="14"/>
      <c r="V2245" s="14"/>
      <c r="W2245" s="14"/>
      <c r="X2245" s="14"/>
      <c r="Y2245" s="15"/>
      <c r="Z2245" s="14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4"/>
      <c r="U2246" s="14"/>
      <c r="V2246" s="14"/>
      <c r="W2246" s="14"/>
      <c r="X2246" s="14"/>
      <c r="Y2246" s="15"/>
      <c r="Z2246" s="14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4"/>
      <c r="U2247" s="14"/>
      <c r="V2247" s="14"/>
      <c r="W2247" s="14"/>
      <c r="X2247" s="14"/>
      <c r="Y2247" s="15"/>
      <c r="Z2247" s="14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4"/>
      <c r="U2248" s="14"/>
      <c r="V2248" s="14"/>
      <c r="W2248" s="14"/>
      <c r="X2248" s="14"/>
      <c r="Y2248" s="15"/>
      <c r="Z2248" s="14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4"/>
      <c r="U2249" s="14"/>
      <c r="V2249" s="14"/>
      <c r="W2249" s="14"/>
      <c r="X2249" s="14"/>
      <c r="Y2249" s="15"/>
      <c r="Z2249" s="14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4"/>
      <c r="U2250" s="14"/>
      <c r="V2250" s="14"/>
      <c r="W2250" s="14"/>
      <c r="X2250" s="14"/>
      <c r="Y2250" s="15"/>
      <c r="Z2250" s="14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4"/>
      <c r="U2251" s="14"/>
      <c r="V2251" s="14"/>
      <c r="W2251" s="14"/>
      <c r="X2251" s="14"/>
      <c r="Y2251" s="15"/>
      <c r="Z2251" s="14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4"/>
      <c r="U2252" s="14"/>
      <c r="V2252" s="14"/>
      <c r="W2252" s="14"/>
      <c r="X2252" s="14"/>
      <c r="Y2252" s="15"/>
      <c r="Z2252" s="14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4"/>
      <c r="U2253" s="14"/>
      <c r="V2253" s="14"/>
      <c r="W2253" s="14"/>
      <c r="X2253" s="14"/>
      <c r="Y2253" s="15"/>
      <c r="Z2253" s="14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4"/>
      <c r="U2254" s="14"/>
      <c r="V2254" s="14"/>
      <c r="W2254" s="14"/>
      <c r="X2254" s="14"/>
      <c r="Y2254" s="15"/>
      <c r="Z2254" s="14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4"/>
      <c r="U2255" s="14"/>
      <c r="V2255" s="14"/>
      <c r="W2255" s="14"/>
      <c r="X2255" s="14"/>
      <c r="Y2255" s="15"/>
      <c r="Z2255" s="14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4"/>
      <c r="U2256" s="14"/>
      <c r="V2256" s="14"/>
      <c r="W2256" s="14"/>
      <c r="X2256" s="14"/>
      <c r="Y2256" s="15"/>
      <c r="Z2256" s="14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4"/>
      <c r="U2257" s="14"/>
      <c r="V2257" s="14"/>
      <c r="W2257" s="14"/>
      <c r="X2257" s="14"/>
      <c r="Y2257" s="15"/>
      <c r="Z2257" s="14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4"/>
      <c r="U2258" s="14"/>
      <c r="V2258" s="14"/>
      <c r="W2258" s="14"/>
      <c r="X2258" s="14"/>
      <c r="Y2258" s="15"/>
      <c r="Z2258" s="14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4"/>
      <c r="U2259" s="14"/>
      <c r="V2259" s="14"/>
      <c r="W2259" s="14"/>
      <c r="X2259" s="14"/>
      <c r="Y2259" s="15"/>
      <c r="Z2259" s="14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4"/>
      <c r="U2260" s="14"/>
      <c r="V2260" s="14"/>
      <c r="W2260" s="14"/>
      <c r="X2260" s="14"/>
      <c r="Y2260" s="15"/>
      <c r="Z2260" s="14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4"/>
      <c r="U2261" s="14"/>
      <c r="V2261" s="14"/>
      <c r="W2261" s="14"/>
      <c r="X2261" s="14"/>
      <c r="Y2261" s="15"/>
      <c r="Z2261" s="14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4"/>
      <c r="U2262" s="14"/>
      <c r="V2262" s="14"/>
      <c r="W2262" s="14"/>
      <c r="X2262" s="14"/>
      <c r="Y2262" s="15"/>
      <c r="Z2262" s="14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4"/>
      <c r="U2263" s="14"/>
      <c r="V2263" s="14"/>
      <c r="W2263" s="14"/>
      <c r="X2263" s="14"/>
      <c r="Y2263" s="15"/>
      <c r="Z2263" s="14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4"/>
      <c r="U2264" s="14"/>
      <c r="V2264" s="14"/>
      <c r="W2264" s="14"/>
      <c r="X2264" s="14"/>
      <c r="Y2264" s="15"/>
      <c r="Z2264" s="14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4"/>
      <c r="U2265" s="14"/>
      <c r="V2265" s="14"/>
      <c r="W2265" s="14"/>
      <c r="X2265" s="14"/>
      <c r="Y2265" s="15"/>
      <c r="Z2265" s="14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4"/>
      <c r="U2266" s="14"/>
      <c r="V2266" s="14"/>
      <c r="W2266" s="14"/>
      <c r="X2266" s="14"/>
      <c r="Y2266" s="15"/>
      <c r="Z2266" s="14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4"/>
      <c r="U2267" s="14"/>
      <c r="V2267" s="14"/>
      <c r="W2267" s="14"/>
      <c r="X2267" s="14"/>
      <c r="Y2267" s="15"/>
      <c r="Z2267" s="14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4"/>
      <c r="U2268" s="14"/>
      <c r="V2268" s="14"/>
      <c r="W2268" s="14"/>
      <c r="X2268" s="14"/>
      <c r="Y2268" s="15"/>
      <c r="Z2268" s="14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4"/>
      <c r="U2269" s="14"/>
      <c r="V2269" s="14"/>
      <c r="W2269" s="14"/>
      <c r="X2269" s="14"/>
      <c r="Y2269" s="15"/>
      <c r="Z2269" s="14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4"/>
      <c r="U2270" s="14"/>
      <c r="V2270" s="14"/>
      <c r="W2270" s="14"/>
      <c r="X2270" s="14"/>
      <c r="Y2270" s="15"/>
      <c r="Z2270" s="14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4"/>
      <c r="U2271" s="14"/>
      <c r="V2271" s="14"/>
      <c r="W2271" s="14"/>
      <c r="X2271" s="14"/>
      <c r="Y2271" s="15"/>
      <c r="Z2271" s="14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4"/>
      <c r="U2272" s="14"/>
      <c r="V2272" s="14"/>
      <c r="W2272" s="14"/>
      <c r="X2272" s="14"/>
      <c r="Y2272" s="15"/>
      <c r="Z2272" s="14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4"/>
      <c r="U2273" s="14"/>
      <c r="V2273" s="14"/>
      <c r="W2273" s="14"/>
      <c r="X2273" s="14"/>
      <c r="Y2273" s="15"/>
      <c r="Z2273" s="14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4"/>
      <c r="U2274" s="14"/>
      <c r="V2274" s="14"/>
      <c r="W2274" s="14"/>
      <c r="X2274" s="14"/>
      <c r="Y2274" s="15"/>
      <c r="Z2274" s="14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4"/>
      <c r="U2275" s="14"/>
      <c r="V2275" s="14"/>
      <c r="W2275" s="14"/>
      <c r="X2275" s="14"/>
      <c r="Y2275" s="15"/>
      <c r="Z2275" s="14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4"/>
      <c r="U2276" s="14"/>
      <c r="V2276" s="14"/>
      <c r="W2276" s="14"/>
      <c r="X2276" s="14"/>
      <c r="Y2276" s="15"/>
      <c r="Z2276" s="14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4"/>
      <c r="U2277" s="14"/>
      <c r="V2277" s="14"/>
      <c r="W2277" s="14"/>
      <c r="X2277" s="14"/>
      <c r="Y2277" s="15"/>
      <c r="Z2277" s="14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4"/>
      <c r="U2278" s="14"/>
      <c r="V2278" s="14"/>
      <c r="W2278" s="14"/>
      <c r="X2278" s="14"/>
      <c r="Y2278" s="15"/>
      <c r="Z2278" s="14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4"/>
      <c r="U2279" s="14"/>
      <c r="V2279" s="14"/>
      <c r="W2279" s="14"/>
      <c r="X2279" s="14"/>
      <c r="Y2279" s="15"/>
      <c r="Z2279" s="14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4"/>
      <c r="U2280" s="14"/>
      <c r="V2280" s="14"/>
      <c r="W2280" s="14"/>
      <c r="X2280" s="14"/>
      <c r="Y2280" s="15"/>
      <c r="Z2280" s="14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4"/>
      <c r="U2281" s="14"/>
      <c r="V2281" s="14"/>
      <c r="W2281" s="14"/>
      <c r="X2281" s="14"/>
      <c r="Y2281" s="15"/>
      <c r="Z2281" s="14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4"/>
      <c r="U2282" s="14"/>
      <c r="V2282" s="14"/>
      <c r="W2282" s="14"/>
      <c r="X2282" s="14"/>
      <c r="Y2282" s="15"/>
      <c r="Z2282" s="14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4"/>
      <c r="U2283" s="14"/>
      <c r="V2283" s="14"/>
      <c r="W2283" s="14"/>
      <c r="X2283" s="14"/>
      <c r="Y2283" s="15"/>
      <c r="Z2283" s="14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4"/>
      <c r="U2284" s="14"/>
      <c r="V2284" s="14"/>
      <c r="W2284" s="14"/>
      <c r="X2284" s="14"/>
      <c r="Y2284" s="15"/>
      <c r="Z2284" s="14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4"/>
      <c r="U2285" s="14"/>
      <c r="V2285" s="14"/>
      <c r="W2285" s="14"/>
      <c r="X2285" s="14"/>
      <c r="Y2285" s="15"/>
      <c r="Z2285" s="14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4"/>
      <c r="U2286" s="14"/>
      <c r="V2286" s="14"/>
      <c r="W2286" s="14"/>
      <c r="X2286" s="14"/>
      <c r="Y2286" s="15"/>
      <c r="Z2286" s="14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4"/>
      <c r="U2287" s="14"/>
      <c r="V2287" s="14"/>
      <c r="W2287" s="14"/>
      <c r="X2287" s="14"/>
      <c r="Y2287" s="15"/>
      <c r="Z2287" s="14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4"/>
      <c r="U2288" s="14"/>
      <c r="V2288" s="14"/>
      <c r="W2288" s="14"/>
      <c r="X2288" s="14"/>
      <c r="Y2288" s="15"/>
      <c r="Z2288" s="14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4"/>
      <c r="U2289" s="14"/>
      <c r="V2289" s="14"/>
      <c r="W2289" s="14"/>
      <c r="X2289" s="14"/>
      <c r="Y2289" s="15"/>
      <c r="Z2289" s="14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4"/>
      <c r="U2290" s="14"/>
      <c r="V2290" s="14"/>
      <c r="W2290" s="14"/>
      <c r="X2290" s="14"/>
      <c r="Y2290" s="15"/>
      <c r="Z2290" s="14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4"/>
      <c r="U2291" s="14"/>
      <c r="V2291" s="14"/>
      <c r="W2291" s="14"/>
      <c r="X2291" s="14"/>
      <c r="Y2291" s="15"/>
      <c r="Z2291" s="14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4"/>
      <c r="U2292" s="14"/>
      <c r="V2292" s="14"/>
      <c r="W2292" s="14"/>
      <c r="X2292" s="14"/>
      <c r="Y2292" s="15"/>
      <c r="Z2292" s="14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4"/>
      <c r="U2293" s="14"/>
      <c r="V2293" s="14"/>
      <c r="W2293" s="14"/>
      <c r="X2293" s="14"/>
      <c r="Y2293" s="15"/>
      <c r="Z2293" s="14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4"/>
      <c r="U2294" s="14"/>
      <c r="V2294" s="14"/>
      <c r="W2294" s="14"/>
      <c r="X2294" s="14"/>
      <c r="Y2294" s="15"/>
      <c r="Z2294" s="14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4"/>
      <c r="U2295" s="14"/>
      <c r="V2295" s="14"/>
      <c r="W2295" s="14"/>
      <c r="X2295" s="14"/>
      <c r="Y2295" s="15"/>
      <c r="Z2295" s="14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4"/>
      <c r="U2296" s="14"/>
      <c r="V2296" s="14"/>
      <c r="W2296" s="14"/>
      <c r="X2296" s="14"/>
      <c r="Y2296" s="15"/>
      <c r="Z2296" s="14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4"/>
      <c r="U2297" s="14"/>
      <c r="V2297" s="14"/>
      <c r="W2297" s="14"/>
      <c r="X2297" s="14"/>
      <c r="Y2297" s="15"/>
      <c r="Z2297" s="14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4"/>
      <c r="U2298" s="14"/>
      <c r="V2298" s="14"/>
      <c r="W2298" s="14"/>
      <c r="X2298" s="14"/>
      <c r="Y2298" s="15"/>
      <c r="Z2298" s="14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4"/>
      <c r="U2299" s="14"/>
      <c r="V2299" s="14"/>
      <c r="W2299" s="14"/>
      <c r="X2299" s="14"/>
      <c r="Y2299" s="15"/>
      <c r="Z2299" s="14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4"/>
      <c r="U2300" s="14"/>
      <c r="V2300" s="14"/>
      <c r="W2300" s="14"/>
      <c r="X2300" s="14"/>
      <c r="Y2300" s="15"/>
      <c r="Z2300" s="14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4"/>
      <c r="U2301" s="14"/>
      <c r="V2301" s="14"/>
      <c r="W2301" s="14"/>
      <c r="X2301" s="14"/>
      <c r="Y2301" s="15"/>
      <c r="Z2301" s="14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4"/>
      <c r="U2302" s="14"/>
      <c r="V2302" s="14"/>
      <c r="W2302" s="14"/>
      <c r="X2302" s="14"/>
      <c r="Y2302" s="15"/>
      <c r="Z2302" s="14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4"/>
      <c r="U2303" s="14"/>
      <c r="V2303" s="14"/>
      <c r="W2303" s="14"/>
      <c r="X2303" s="14"/>
      <c r="Y2303" s="15"/>
      <c r="Z2303" s="14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4"/>
      <c r="U2304" s="14"/>
      <c r="V2304" s="14"/>
      <c r="W2304" s="14"/>
      <c r="X2304" s="14"/>
      <c r="Y2304" s="15"/>
      <c r="Z2304" s="14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4"/>
      <c r="U2305" s="14"/>
      <c r="V2305" s="14"/>
      <c r="W2305" s="14"/>
      <c r="X2305" s="14"/>
      <c r="Y2305" s="15"/>
      <c r="Z2305" s="14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4"/>
      <c r="U2306" s="14"/>
      <c r="V2306" s="14"/>
      <c r="W2306" s="14"/>
      <c r="X2306" s="14"/>
      <c r="Y2306" s="15"/>
      <c r="Z2306" s="14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4"/>
      <c r="U2307" s="14"/>
      <c r="V2307" s="14"/>
      <c r="W2307" s="14"/>
      <c r="X2307" s="14"/>
      <c r="Y2307" s="15"/>
      <c r="Z2307" s="14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4"/>
      <c r="U2308" s="14"/>
      <c r="V2308" s="14"/>
      <c r="W2308" s="14"/>
      <c r="X2308" s="14"/>
      <c r="Y2308" s="15"/>
      <c r="Z2308" s="14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4"/>
      <c r="U2309" s="14"/>
      <c r="V2309" s="14"/>
      <c r="W2309" s="14"/>
      <c r="X2309" s="14"/>
      <c r="Y2309" s="15"/>
      <c r="Z2309" s="14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4"/>
      <c r="U2310" s="14"/>
      <c r="V2310" s="14"/>
      <c r="W2310" s="14"/>
      <c r="X2310" s="14"/>
      <c r="Y2310" s="15"/>
      <c r="Z2310" s="14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4"/>
      <c r="U2311" s="14"/>
      <c r="V2311" s="14"/>
      <c r="W2311" s="14"/>
      <c r="X2311" s="14"/>
      <c r="Y2311" s="15"/>
      <c r="Z2311" s="14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4"/>
      <c r="U2312" s="14"/>
      <c r="V2312" s="14"/>
      <c r="W2312" s="14"/>
      <c r="X2312" s="14"/>
      <c r="Y2312" s="15"/>
      <c r="Z2312" s="14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4"/>
      <c r="U2313" s="14"/>
      <c r="V2313" s="14"/>
      <c r="W2313" s="14"/>
      <c r="X2313" s="14"/>
      <c r="Y2313" s="15"/>
      <c r="Z2313" s="14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4"/>
      <c r="U2314" s="14"/>
      <c r="V2314" s="14"/>
      <c r="W2314" s="14"/>
      <c r="X2314" s="14"/>
      <c r="Y2314" s="15"/>
      <c r="Z2314" s="14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4"/>
      <c r="U2315" s="14"/>
      <c r="V2315" s="14"/>
      <c r="W2315" s="14"/>
      <c r="X2315" s="14"/>
      <c r="Y2315" s="15"/>
      <c r="Z2315" s="14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4"/>
      <c r="U2316" s="14"/>
      <c r="V2316" s="14"/>
      <c r="W2316" s="14"/>
      <c r="X2316" s="14"/>
      <c r="Y2316" s="15"/>
      <c r="Z2316" s="14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4"/>
      <c r="U2317" s="14"/>
      <c r="V2317" s="14"/>
      <c r="W2317" s="14"/>
      <c r="X2317" s="14"/>
      <c r="Y2317" s="15"/>
      <c r="Z2317" s="14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4"/>
      <c r="U2318" s="14"/>
      <c r="V2318" s="14"/>
      <c r="W2318" s="14"/>
      <c r="X2318" s="14"/>
      <c r="Y2318" s="15"/>
      <c r="Z2318" s="14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4"/>
      <c r="U2319" s="14"/>
      <c r="V2319" s="14"/>
      <c r="W2319" s="14"/>
      <c r="X2319" s="14"/>
      <c r="Y2319" s="15"/>
      <c r="Z2319" s="14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4"/>
      <c r="U2320" s="14"/>
      <c r="V2320" s="14"/>
      <c r="W2320" s="14"/>
      <c r="X2320" s="14"/>
      <c r="Y2320" s="15"/>
      <c r="Z2320" s="14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4"/>
      <c r="U2321" s="14"/>
      <c r="V2321" s="14"/>
      <c r="W2321" s="14"/>
      <c r="X2321" s="14"/>
      <c r="Y2321" s="15"/>
      <c r="Z2321" s="14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4"/>
      <c r="U2322" s="14"/>
      <c r="V2322" s="14"/>
      <c r="W2322" s="14"/>
      <c r="X2322" s="14"/>
      <c r="Y2322" s="15"/>
      <c r="Z2322" s="14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4"/>
      <c r="U2323" s="14"/>
      <c r="V2323" s="14"/>
      <c r="W2323" s="14"/>
      <c r="X2323" s="14"/>
      <c r="Y2323" s="15"/>
      <c r="Z2323" s="14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4"/>
      <c r="U2324" s="14"/>
      <c r="V2324" s="14"/>
      <c r="W2324" s="14"/>
      <c r="X2324" s="14"/>
      <c r="Y2324" s="15"/>
      <c r="Z2324" s="14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4"/>
      <c r="U2325" s="14"/>
      <c r="V2325" s="14"/>
      <c r="W2325" s="14"/>
      <c r="X2325" s="14"/>
      <c r="Y2325" s="15"/>
      <c r="Z2325" s="14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4"/>
      <c r="U2326" s="14"/>
      <c r="V2326" s="14"/>
      <c r="W2326" s="14"/>
      <c r="X2326" s="14"/>
      <c r="Y2326" s="15"/>
      <c r="Z2326" s="14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4"/>
      <c r="U2327" s="14"/>
      <c r="V2327" s="14"/>
      <c r="W2327" s="14"/>
      <c r="X2327" s="14"/>
      <c r="Y2327" s="15"/>
      <c r="Z2327" s="14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4"/>
      <c r="U2328" s="14"/>
      <c r="V2328" s="14"/>
      <c r="W2328" s="14"/>
      <c r="X2328" s="14"/>
      <c r="Y2328" s="15"/>
      <c r="Z2328" s="14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4"/>
      <c r="U2329" s="14"/>
      <c r="V2329" s="14"/>
      <c r="W2329" s="14"/>
      <c r="X2329" s="14"/>
      <c r="Y2329" s="15"/>
      <c r="Z2329" s="14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4"/>
      <c r="U2330" s="14"/>
      <c r="V2330" s="14"/>
      <c r="W2330" s="14"/>
      <c r="X2330" s="14"/>
      <c r="Y2330" s="15"/>
      <c r="Z2330" s="14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4"/>
      <c r="U2331" s="14"/>
      <c r="V2331" s="14"/>
      <c r="W2331" s="14"/>
      <c r="X2331" s="14"/>
      <c r="Y2331" s="15"/>
      <c r="Z2331" s="14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4"/>
      <c r="U2332" s="14"/>
      <c r="V2332" s="14"/>
      <c r="W2332" s="14"/>
      <c r="X2332" s="14"/>
      <c r="Y2332" s="15"/>
      <c r="Z2332" s="14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4"/>
      <c r="U2333" s="14"/>
      <c r="V2333" s="14"/>
      <c r="W2333" s="14"/>
      <c r="X2333" s="14"/>
      <c r="Y2333" s="15"/>
      <c r="Z2333" s="14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4"/>
      <c r="U2334" s="14"/>
      <c r="V2334" s="14"/>
      <c r="W2334" s="14"/>
      <c r="X2334" s="14"/>
      <c r="Y2334" s="15"/>
      <c r="Z2334" s="14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4"/>
      <c r="U2335" s="14"/>
      <c r="V2335" s="14"/>
      <c r="W2335" s="14"/>
      <c r="X2335" s="14"/>
      <c r="Y2335" s="15"/>
      <c r="Z2335" s="14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4"/>
      <c r="U2336" s="14"/>
      <c r="V2336" s="14"/>
      <c r="W2336" s="14"/>
      <c r="X2336" s="14"/>
      <c r="Y2336" s="15"/>
      <c r="Z2336" s="14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4"/>
      <c r="U2337" s="14"/>
      <c r="V2337" s="14"/>
      <c r="W2337" s="14"/>
      <c r="X2337" s="14"/>
      <c r="Y2337" s="15"/>
      <c r="Z2337" s="14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4"/>
      <c r="U2338" s="14"/>
      <c r="V2338" s="14"/>
      <c r="W2338" s="14"/>
      <c r="X2338" s="14"/>
      <c r="Y2338" s="15"/>
      <c r="Z2338" s="14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4"/>
      <c r="U2339" s="14"/>
      <c r="V2339" s="14"/>
      <c r="W2339" s="14"/>
      <c r="X2339" s="14"/>
      <c r="Y2339" s="15"/>
      <c r="Z2339" s="14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4"/>
      <c r="U2340" s="14"/>
      <c r="V2340" s="14"/>
      <c r="W2340" s="14"/>
      <c r="X2340" s="14"/>
      <c r="Y2340" s="15"/>
      <c r="Z2340" s="14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4"/>
      <c r="U2341" s="14"/>
      <c r="V2341" s="14"/>
      <c r="W2341" s="14"/>
      <c r="X2341" s="14"/>
      <c r="Y2341" s="15"/>
      <c r="Z2341" s="14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4"/>
      <c r="U2342" s="14"/>
      <c r="V2342" s="14"/>
      <c r="W2342" s="14"/>
      <c r="X2342" s="14"/>
      <c r="Y2342" s="15"/>
      <c r="Z2342" s="14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4"/>
      <c r="U2343" s="14"/>
      <c r="V2343" s="14"/>
      <c r="W2343" s="14"/>
      <c r="X2343" s="14"/>
      <c r="Y2343" s="15"/>
      <c r="Z2343" s="14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4"/>
      <c r="U2344" s="14"/>
      <c r="V2344" s="14"/>
      <c r="W2344" s="14"/>
      <c r="X2344" s="14"/>
      <c r="Y2344" s="15"/>
      <c r="Z2344" s="14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4"/>
      <c r="U2345" s="14"/>
      <c r="V2345" s="14"/>
      <c r="W2345" s="14"/>
      <c r="X2345" s="14"/>
      <c r="Y2345" s="15"/>
      <c r="Z2345" s="14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4"/>
      <c r="U2346" s="14"/>
      <c r="V2346" s="14"/>
      <c r="W2346" s="14"/>
      <c r="X2346" s="14"/>
      <c r="Y2346" s="15"/>
      <c r="Z2346" s="14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4"/>
      <c r="U2347" s="14"/>
      <c r="V2347" s="14"/>
      <c r="W2347" s="14"/>
      <c r="X2347" s="14"/>
      <c r="Y2347" s="15"/>
      <c r="Z2347" s="14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4"/>
      <c r="U2348" s="14"/>
      <c r="V2348" s="14"/>
      <c r="W2348" s="14"/>
      <c r="X2348" s="14"/>
      <c r="Y2348" s="15"/>
      <c r="Z2348" s="14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4"/>
      <c r="U2349" s="14"/>
      <c r="V2349" s="14"/>
      <c r="W2349" s="14"/>
      <c r="X2349" s="14"/>
      <c r="Y2349" s="15"/>
      <c r="Z2349" s="14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4"/>
      <c r="U2350" s="14"/>
      <c r="V2350" s="14"/>
      <c r="W2350" s="14"/>
      <c r="X2350" s="14"/>
      <c r="Y2350" s="15"/>
      <c r="Z2350" s="14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4"/>
      <c r="U2351" s="14"/>
      <c r="V2351" s="14"/>
      <c r="W2351" s="14"/>
      <c r="X2351" s="14"/>
      <c r="Y2351" s="15"/>
      <c r="Z2351" s="14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4"/>
      <c r="U2352" s="14"/>
      <c r="V2352" s="14"/>
      <c r="W2352" s="14"/>
      <c r="X2352" s="14"/>
      <c r="Y2352" s="15"/>
      <c r="Z2352" s="14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4"/>
      <c r="U2353" s="14"/>
      <c r="V2353" s="14"/>
      <c r="W2353" s="14"/>
      <c r="X2353" s="14"/>
      <c r="Y2353" s="15"/>
      <c r="Z2353" s="14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4"/>
      <c r="U2354" s="14"/>
      <c r="V2354" s="14"/>
      <c r="W2354" s="14"/>
      <c r="X2354" s="14"/>
      <c r="Y2354" s="15"/>
      <c r="Z2354" s="14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4"/>
      <c r="U2355" s="14"/>
      <c r="V2355" s="14"/>
      <c r="W2355" s="14"/>
      <c r="X2355" s="14"/>
      <c r="Y2355" s="15"/>
      <c r="Z2355" s="14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4"/>
      <c r="U2356" s="14"/>
      <c r="V2356" s="14"/>
      <c r="W2356" s="14"/>
      <c r="X2356" s="14"/>
      <c r="Y2356" s="15"/>
      <c r="Z2356" s="14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4"/>
      <c r="U2357" s="14"/>
      <c r="V2357" s="14"/>
      <c r="W2357" s="14"/>
      <c r="X2357" s="14"/>
      <c r="Y2357" s="15"/>
      <c r="Z2357" s="14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4"/>
      <c r="U2358" s="14"/>
      <c r="V2358" s="14"/>
      <c r="W2358" s="14"/>
      <c r="X2358" s="14"/>
      <c r="Y2358" s="15"/>
      <c r="Z2358" s="14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4"/>
      <c r="U2359" s="14"/>
      <c r="V2359" s="14"/>
      <c r="W2359" s="14"/>
      <c r="X2359" s="14"/>
      <c r="Y2359" s="15"/>
      <c r="Z2359" s="14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4"/>
      <c r="U2360" s="14"/>
      <c r="V2360" s="14"/>
      <c r="W2360" s="14"/>
      <c r="X2360" s="14"/>
      <c r="Y2360" s="15"/>
      <c r="Z2360" s="14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4"/>
      <c r="U2361" s="14"/>
      <c r="V2361" s="14"/>
      <c r="W2361" s="14"/>
      <c r="X2361" s="14"/>
      <c r="Y2361" s="15"/>
      <c r="Z2361" s="14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4"/>
      <c r="U2362" s="14"/>
      <c r="V2362" s="14"/>
      <c r="W2362" s="14"/>
      <c r="X2362" s="14"/>
      <c r="Y2362" s="15"/>
      <c r="Z2362" s="14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4"/>
      <c r="U2363" s="14"/>
      <c r="V2363" s="14"/>
      <c r="W2363" s="14"/>
      <c r="X2363" s="14"/>
      <c r="Y2363" s="15"/>
      <c r="Z2363" s="14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4"/>
      <c r="U2364" s="14"/>
      <c r="V2364" s="14"/>
      <c r="W2364" s="14"/>
      <c r="X2364" s="14"/>
      <c r="Y2364" s="15"/>
      <c r="Z2364" s="14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4"/>
      <c r="U2365" s="14"/>
      <c r="V2365" s="14"/>
      <c r="W2365" s="14"/>
      <c r="X2365" s="14"/>
      <c r="Y2365" s="15"/>
      <c r="Z2365" s="14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4"/>
      <c r="U2366" s="14"/>
      <c r="V2366" s="14"/>
      <c r="W2366" s="14"/>
      <c r="X2366" s="14"/>
      <c r="Y2366" s="15"/>
      <c r="Z2366" s="14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4"/>
      <c r="U2367" s="14"/>
      <c r="V2367" s="14"/>
      <c r="W2367" s="14"/>
      <c r="X2367" s="14"/>
      <c r="Y2367" s="15"/>
      <c r="Z2367" s="14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4"/>
      <c r="U2368" s="14"/>
      <c r="V2368" s="14"/>
      <c r="W2368" s="14"/>
      <c r="X2368" s="14"/>
      <c r="Y2368" s="15"/>
      <c r="Z2368" s="14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4"/>
      <c r="U2369" s="14"/>
      <c r="V2369" s="14"/>
      <c r="W2369" s="14"/>
      <c r="X2369" s="14"/>
      <c r="Y2369" s="15"/>
      <c r="Z2369" s="14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4"/>
      <c r="U2370" s="14"/>
      <c r="V2370" s="14"/>
      <c r="W2370" s="14"/>
      <c r="X2370" s="14"/>
      <c r="Y2370" s="15"/>
      <c r="Z2370" s="14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4"/>
      <c r="U2371" s="14"/>
      <c r="V2371" s="14"/>
      <c r="W2371" s="14"/>
      <c r="X2371" s="14"/>
      <c r="Y2371" s="15"/>
      <c r="Z2371" s="14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4"/>
      <c r="U2372" s="14"/>
      <c r="V2372" s="14"/>
      <c r="W2372" s="14"/>
      <c r="X2372" s="14"/>
      <c r="Y2372" s="15"/>
      <c r="Z2372" s="14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4"/>
      <c r="U2373" s="14"/>
      <c r="V2373" s="14"/>
      <c r="W2373" s="14"/>
      <c r="X2373" s="14"/>
      <c r="Y2373" s="15"/>
      <c r="Z2373" s="14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4"/>
      <c r="U2374" s="14"/>
      <c r="V2374" s="14"/>
      <c r="W2374" s="14"/>
      <c r="X2374" s="14"/>
      <c r="Y2374" s="15"/>
      <c r="Z2374" s="14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4"/>
      <c r="U2375" s="14"/>
      <c r="V2375" s="14"/>
      <c r="W2375" s="14"/>
      <c r="X2375" s="14"/>
      <c r="Y2375" s="15"/>
      <c r="Z2375" s="14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4"/>
      <c r="U2376" s="14"/>
      <c r="V2376" s="14"/>
      <c r="W2376" s="14"/>
      <c r="X2376" s="14"/>
      <c r="Y2376" s="15"/>
      <c r="Z2376" s="14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4"/>
      <c r="U2377" s="14"/>
      <c r="V2377" s="14"/>
      <c r="W2377" s="14"/>
      <c r="X2377" s="14"/>
      <c r="Y2377" s="15"/>
      <c r="Z2377" s="14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4"/>
      <c r="U2378" s="14"/>
      <c r="V2378" s="14"/>
      <c r="W2378" s="14"/>
      <c r="X2378" s="14"/>
      <c r="Y2378" s="15"/>
      <c r="Z2378" s="14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4"/>
      <c r="U2379" s="14"/>
      <c r="V2379" s="14"/>
      <c r="W2379" s="14"/>
      <c r="X2379" s="14"/>
      <c r="Y2379" s="15"/>
      <c r="Z2379" s="14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4"/>
      <c r="U2380" s="14"/>
      <c r="V2380" s="14"/>
      <c r="W2380" s="14"/>
      <c r="X2380" s="14"/>
      <c r="Y2380" s="15"/>
      <c r="Z2380" s="14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4"/>
      <c r="U2381" s="14"/>
      <c r="V2381" s="14"/>
      <c r="W2381" s="14"/>
      <c r="X2381" s="14"/>
      <c r="Y2381" s="15"/>
      <c r="Z2381" s="14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4"/>
      <c r="U2382" s="14"/>
      <c r="V2382" s="14"/>
      <c r="W2382" s="14"/>
      <c r="X2382" s="14"/>
      <c r="Y2382" s="15"/>
      <c r="Z2382" s="14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4"/>
      <c r="U2383" s="14"/>
      <c r="V2383" s="14"/>
      <c r="W2383" s="14"/>
      <c r="X2383" s="14"/>
      <c r="Y2383" s="15"/>
      <c r="Z2383" s="14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4"/>
      <c r="U2384" s="14"/>
      <c r="V2384" s="14"/>
      <c r="W2384" s="14"/>
      <c r="X2384" s="14"/>
      <c r="Y2384" s="15"/>
      <c r="Z2384" s="14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4"/>
      <c r="U2385" s="14"/>
      <c r="V2385" s="14"/>
      <c r="W2385" s="14"/>
      <c r="X2385" s="14"/>
      <c r="Y2385" s="15"/>
      <c r="Z2385" s="14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4"/>
      <c r="U2386" s="14"/>
      <c r="V2386" s="14"/>
      <c r="W2386" s="14"/>
      <c r="X2386" s="14"/>
      <c r="Y2386" s="15"/>
      <c r="Z2386" s="14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4"/>
      <c r="U2387" s="14"/>
      <c r="V2387" s="14"/>
      <c r="W2387" s="14"/>
      <c r="X2387" s="14"/>
      <c r="Y2387" s="15"/>
      <c r="Z2387" s="14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4"/>
      <c r="U2388" s="14"/>
      <c r="V2388" s="14"/>
      <c r="W2388" s="14"/>
      <c r="X2388" s="14"/>
      <c r="Y2388" s="15"/>
      <c r="Z2388" s="14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4"/>
      <c r="U2389" s="14"/>
      <c r="V2389" s="14"/>
      <c r="W2389" s="14"/>
      <c r="X2389" s="14"/>
      <c r="Y2389" s="15"/>
      <c r="Z2389" s="14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4"/>
      <c r="U2390" s="14"/>
      <c r="V2390" s="14"/>
      <c r="W2390" s="14"/>
      <c r="X2390" s="14"/>
      <c r="Y2390" s="15"/>
      <c r="Z2390" s="14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4"/>
      <c r="U2391" s="14"/>
      <c r="V2391" s="14"/>
      <c r="W2391" s="14"/>
      <c r="X2391" s="14"/>
      <c r="Y2391" s="15"/>
      <c r="Z2391" s="14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4"/>
      <c r="U2392" s="14"/>
      <c r="V2392" s="14"/>
      <c r="W2392" s="14"/>
      <c r="X2392" s="14"/>
      <c r="Y2392" s="15"/>
      <c r="Z2392" s="14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4"/>
      <c r="U2393" s="14"/>
      <c r="V2393" s="14"/>
      <c r="W2393" s="14"/>
      <c r="X2393" s="14"/>
      <c r="Y2393" s="15"/>
      <c r="Z2393" s="14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4"/>
      <c r="U2394" s="14"/>
      <c r="V2394" s="14"/>
      <c r="W2394" s="14"/>
      <c r="X2394" s="14"/>
      <c r="Y2394" s="15"/>
      <c r="Z2394" s="14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4"/>
      <c r="U2395" s="14"/>
      <c r="V2395" s="14"/>
      <c r="W2395" s="14"/>
      <c r="X2395" s="14"/>
      <c r="Y2395" s="15"/>
      <c r="Z2395" s="14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4"/>
      <c r="U2396" s="14"/>
      <c r="V2396" s="14"/>
      <c r="W2396" s="14"/>
      <c r="X2396" s="14"/>
      <c r="Y2396" s="15"/>
      <c r="Z2396" s="14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4"/>
      <c r="U2397" s="14"/>
      <c r="V2397" s="14"/>
      <c r="W2397" s="14"/>
      <c r="X2397" s="14"/>
      <c r="Y2397" s="15"/>
      <c r="Z2397" s="14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4"/>
      <c r="U2398" s="14"/>
      <c r="V2398" s="14"/>
      <c r="W2398" s="14"/>
      <c r="X2398" s="14"/>
      <c r="Y2398" s="15"/>
      <c r="Z2398" s="14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4"/>
      <c r="U2399" s="14"/>
      <c r="V2399" s="14"/>
      <c r="W2399" s="14"/>
      <c r="X2399" s="14"/>
      <c r="Y2399" s="15"/>
      <c r="Z2399" s="14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4"/>
      <c r="U2400" s="14"/>
      <c r="V2400" s="14"/>
      <c r="W2400" s="14"/>
      <c r="X2400" s="14"/>
      <c r="Y2400" s="15"/>
      <c r="Z2400" s="14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4"/>
      <c r="U2401" s="14"/>
      <c r="V2401" s="14"/>
      <c r="W2401" s="14"/>
      <c r="X2401" s="14"/>
      <c r="Y2401" s="15"/>
      <c r="Z2401" s="14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4"/>
      <c r="U2402" s="14"/>
      <c r="V2402" s="14"/>
      <c r="W2402" s="14"/>
      <c r="X2402" s="14"/>
      <c r="Y2402" s="15"/>
      <c r="Z2402" s="14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4"/>
      <c r="U2403" s="14"/>
      <c r="V2403" s="14"/>
      <c r="W2403" s="14"/>
      <c r="X2403" s="14"/>
      <c r="Y2403" s="15"/>
      <c r="Z2403" s="14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4"/>
      <c r="U2404" s="14"/>
      <c r="V2404" s="14"/>
      <c r="W2404" s="14"/>
      <c r="X2404" s="14"/>
      <c r="Y2404" s="15"/>
      <c r="Z2404" s="14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4"/>
      <c r="U2405" s="14"/>
      <c r="V2405" s="14"/>
      <c r="W2405" s="14"/>
      <c r="X2405" s="14"/>
      <c r="Y2405" s="15"/>
      <c r="Z2405" s="14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4"/>
      <c r="U2406" s="14"/>
      <c r="V2406" s="14"/>
      <c r="W2406" s="14"/>
      <c r="X2406" s="14"/>
      <c r="Y2406" s="15"/>
      <c r="Z2406" s="14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4"/>
      <c r="U2407" s="14"/>
      <c r="V2407" s="14"/>
      <c r="W2407" s="14"/>
      <c r="X2407" s="14"/>
      <c r="Y2407" s="15"/>
      <c r="Z2407" s="14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4"/>
      <c r="U2408" s="14"/>
      <c r="V2408" s="14"/>
      <c r="W2408" s="14"/>
      <c r="X2408" s="14"/>
      <c r="Y2408" s="15"/>
      <c r="Z2408" s="14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4"/>
      <c r="U2409" s="14"/>
      <c r="V2409" s="14"/>
      <c r="W2409" s="14"/>
      <c r="X2409" s="14"/>
      <c r="Y2409" s="15"/>
      <c r="Z2409" s="14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4"/>
      <c r="U2410" s="14"/>
      <c r="V2410" s="14"/>
      <c r="W2410" s="14"/>
      <c r="X2410" s="14"/>
      <c r="Y2410" s="15"/>
      <c r="Z2410" s="14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4"/>
      <c r="U2411" s="14"/>
      <c r="V2411" s="14"/>
      <c r="W2411" s="14"/>
      <c r="X2411" s="14"/>
      <c r="Y2411" s="15"/>
      <c r="Z2411" s="14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4"/>
      <c r="U2412" s="14"/>
      <c r="V2412" s="14"/>
      <c r="W2412" s="14"/>
      <c r="X2412" s="14"/>
      <c r="Y2412" s="15"/>
      <c r="Z2412" s="14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4"/>
      <c r="U2413" s="14"/>
      <c r="V2413" s="14"/>
      <c r="W2413" s="14"/>
      <c r="X2413" s="14"/>
      <c r="Y2413" s="15"/>
      <c r="Z2413" s="14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4"/>
      <c r="U2414" s="14"/>
      <c r="V2414" s="14"/>
      <c r="W2414" s="14"/>
      <c r="X2414" s="14"/>
      <c r="Y2414" s="15"/>
      <c r="Z2414" s="14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4"/>
      <c r="U2415" s="14"/>
      <c r="V2415" s="14"/>
      <c r="W2415" s="14"/>
      <c r="X2415" s="14"/>
      <c r="Y2415" s="15"/>
      <c r="Z2415" s="14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4"/>
      <c r="U2416" s="14"/>
      <c r="V2416" s="14"/>
      <c r="W2416" s="14"/>
      <c r="X2416" s="14"/>
      <c r="Y2416" s="15"/>
      <c r="Z2416" s="14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4"/>
      <c r="U2417" s="14"/>
      <c r="V2417" s="14"/>
      <c r="W2417" s="14"/>
      <c r="X2417" s="14"/>
      <c r="Y2417" s="15"/>
      <c r="Z2417" s="14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4"/>
      <c r="U2418" s="14"/>
      <c r="V2418" s="14"/>
      <c r="W2418" s="14"/>
      <c r="X2418" s="14"/>
      <c r="Y2418" s="15"/>
      <c r="Z2418" s="14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4"/>
      <c r="U2419" s="14"/>
      <c r="V2419" s="14"/>
      <c r="W2419" s="14"/>
      <c r="X2419" s="14"/>
      <c r="Y2419" s="15"/>
      <c r="Z2419" s="14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4"/>
      <c r="U2420" s="14"/>
      <c r="V2420" s="14"/>
      <c r="W2420" s="14"/>
      <c r="X2420" s="14"/>
      <c r="Y2420" s="15"/>
      <c r="Z2420" s="14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4"/>
      <c r="U2421" s="14"/>
      <c r="V2421" s="14"/>
      <c r="W2421" s="14"/>
      <c r="X2421" s="14"/>
      <c r="Y2421" s="15"/>
      <c r="Z2421" s="14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4"/>
      <c r="U2422" s="14"/>
      <c r="V2422" s="14"/>
      <c r="W2422" s="14"/>
      <c r="X2422" s="14"/>
      <c r="Y2422" s="15"/>
      <c r="Z2422" s="14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4"/>
      <c r="U2423" s="14"/>
      <c r="V2423" s="14"/>
      <c r="W2423" s="14"/>
      <c r="X2423" s="14"/>
      <c r="Y2423" s="15"/>
      <c r="Z2423" s="14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4"/>
      <c r="U2424" s="14"/>
      <c r="V2424" s="14"/>
      <c r="W2424" s="14"/>
      <c r="X2424" s="14"/>
      <c r="Y2424" s="15"/>
      <c r="Z2424" s="14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4"/>
      <c r="U2425" s="14"/>
      <c r="V2425" s="14"/>
      <c r="W2425" s="14"/>
      <c r="X2425" s="14"/>
      <c r="Y2425" s="15"/>
      <c r="Z2425" s="14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4"/>
      <c r="U2426" s="14"/>
      <c r="V2426" s="14"/>
      <c r="W2426" s="14"/>
      <c r="X2426" s="14"/>
      <c r="Y2426" s="15"/>
      <c r="Z2426" s="14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4"/>
      <c r="U2427" s="14"/>
      <c r="V2427" s="14"/>
      <c r="W2427" s="14"/>
      <c r="X2427" s="14"/>
      <c r="Y2427" s="15"/>
      <c r="Z2427" s="14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4"/>
      <c r="U2428" s="14"/>
      <c r="V2428" s="14"/>
      <c r="W2428" s="14"/>
      <c r="X2428" s="14"/>
      <c r="Y2428" s="15"/>
      <c r="Z2428" s="14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4"/>
      <c r="U2429" s="14"/>
      <c r="V2429" s="14"/>
      <c r="W2429" s="14"/>
      <c r="X2429" s="14"/>
      <c r="Y2429" s="15"/>
      <c r="Z2429" s="14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4"/>
      <c r="U2430" s="14"/>
      <c r="V2430" s="14"/>
      <c r="W2430" s="14"/>
      <c r="X2430" s="14"/>
      <c r="Y2430" s="15"/>
      <c r="Z2430" s="14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4"/>
      <c r="U2431" s="14"/>
      <c r="V2431" s="14"/>
      <c r="W2431" s="14"/>
      <c r="X2431" s="14"/>
      <c r="Y2431" s="15"/>
      <c r="Z2431" s="14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4"/>
      <c r="U2432" s="14"/>
      <c r="V2432" s="14"/>
      <c r="W2432" s="14"/>
      <c r="X2432" s="14"/>
      <c r="Y2432" s="15"/>
      <c r="Z2432" s="14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4"/>
      <c r="U2433" s="14"/>
      <c r="V2433" s="14"/>
      <c r="W2433" s="14"/>
      <c r="X2433" s="14"/>
      <c r="Y2433" s="15"/>
      <c r="Z2433" s="14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4"/>
      <c r="U2434" s="14"/>
      <c r="V2434" s="14"/>
      <c r="W2434" s="14"/>
      <c r="X2434" s="14"/>
      <c r="Y2434" s="15"/>
      <c r="Z2434" s="14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4"/>
      <c r="U2435" s="14"/>
      <c r="V2435" s="14"/>
      <c r="W2435" s="14"/>
      <c r="X2435" s="14"/>
      <c r="Y2435" s="15"/>
      <c r="Z2435" s="14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4"/>
      <c r="U2436" s="14"/>
      <c r="V2436" s="14"/>
      <c r="W2436" s="14"/>
      <c r="X2436" s="14"/>
      <c r="Y2436" s="15"/>
      <c r="Z2436" s="14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4"/>
      <c r="U2437" s="14"/>
      <c r="V2437" s="14"/>
      <c r="W2437" s="14"/>
      <c r="X2437" s="14"/>
      <c r="Y2437" s="15"/>
      <c r="Z2437" s="14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4"/>
      <c r="U2438" s="14"/>
      <c r="V2438" s="14"/>
      <c r="W2438" s="14"/>
      <c r="X2438" s="14"/>
      <c r="Y2438" s="15"/>
      <c r="Z2438" s="14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4"/>
      <c r="U2439" s="14"/>
      <c r="V2439" s="14"/>
      <c r="W2439" s="14"/>
      <c r="X2439" s="14"/>
      <c r="Y2439" s="15"/>
      <c r="Z2439" s="14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4"/>
      <c r="U2440" s="14"/>
      <c r="V2440" s="14"/>
      <c r="W2440" s="14"/>
      <c r="X2440" s="14"/>
      <c r="Y2440" s="15"/>
      <c r="Z2440" s="14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4"/>
      <c r="U2441" s="14"/>
      <c r="V2441" s="14"/>
      <c r="W2441" s="14"/>
      <c r="X2441" s="14"/>
      <c r="Y2441" s="15"/>
      <c r="Z2441" s="14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4"/>
      <c r="U2442" s="14"/>
      <c r="V2442" s="14"/>
      <c r="W2442" s="14"/>
      <c r="X2442" s="14"/>
      <c r="Y2442" s="15"/>
      <c r="Z2442" s="14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4"/>
      <c r="U2443" s="14"/>
      <c r="V2443" s="14"/>
      <c r="W2443" s="14"/>
      <c r="X2443" s="14"/>
      <c r="Y2443" s="15"/>
      <c r="Z2443" s="14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4"/>
      <c r="U2444" s="14"/>
      <c r="V2444" s="14"/>
      <c r="W2444" s="14"/>
      <c r="X2444" s="14"/>
      <c r="Y2444" s="15"/>
      <c r="Z2444" s="14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4"/>
      <c r="U2445" s="14"/>
      <c r="V2445" s="14"/>
      <c r="W2445" s="14"/>
      <c r="X2445" s="14"/>
      <c r="Y2445" s="15"/>
      <c r="Z2445" s="14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4"/>
      <c r="U2446" s="14"/>
      <c r="V2446" s="14"/>
      <c r="W2446" s="14"/>
      <c r="X2446" s="14"/>
      <c r="Y2446" s="15"/>
      <c r="Z2446" s="14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4"/>
      <c r="U2447" s="14"/>
      <c r="V2447" s="14"/>
      <c r="W2447" s="14"/>
      <c r="X2447" s="14"/>
      <c r="Y2447" s="15"/>
      <c r="Z2447" s="14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4"/>
      <c r="U2448" s="14"/>
      <c r="V2448" s="14"/>
      <c r="W2448" s="14"/>
      <c r="X2448" s="14"/>
      <c r="Y2448" s="15"/>
      <c r="Z2448" s="14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4"/>
      <c r="U2449" s="14"/>
      <c r="V2449" s="14"/>
      <c r="W2449" s="14"/>
      <c r="X2449" s="14"/>
      <c r="Y2449" s="15"/>
      <c r="Z2449" s="14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4"/>
      <c r="U2450" s="14"/>
      <c r="V2450" s="14"/>
      <c r="W2450" s="14"/>
      <c r="X2450" s="14"/>
      <c r="Y2450" s="15"/>
      <c r="Z2450" s="14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4"/>
      <c r="U2451" s="14"/>
      <c r="V2451" s="14"/>
      <c r="W2451" s="14"/>
      <c r="X2451" s="14"/>
      <c r="Y2451" s="15"/>
      <c r="Z2451" s="14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4"/>
      <c r="U2452" s="14"/>
      <c r="V2452" s="14"/>
      <c r="W2452" s="14"/>
      <c r="X2452" s="14"/>
      <c r="Y2452" s="15"/>
      <c r="Z2452" s="14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4"/>
      <c r="U2453" s="14"/>
      <c r="V2453" s="14"/>
      <c r="W2453" s="14"/>
      <c r="X2453" s="14"/>
      <c r="Y2453" s="15"/>
      <c r="Z2453" s="14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4"/>
      <c r="U2454" s="14"/>
      <c r="V2454" s="14"/>
      <c r="W2454" s="14"/>
      <c r="X2454" s="14"/>
      <c r="Y2454" s="15"/>
      <c r="Z2454" s="14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4"/>
      <c r="U2455" s="14"/>
      <c r="V2455" s="14"/>
      <c r="W2455" s="14"/>
      <c r="X2455" s="14"/>
      <c r="Y2455" s="15"/>
      <c r="Z2455" s="14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4"/>
      <c r="U2456" s="14"/>
      <c r="V2456" s="14"/>
      <c r="W2456" s="14"/>
      <c r="X2456" s="14"/>
      <c r="Y2456" s="15"/>
      <c r="Z2456" s="14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4"/>
      <c r="U2457" s="14"/>
      <c r="V2457" s="14"/>
      <c r="W2457" s="14"/>
      <c r="X2457" s="14"/>
      <c r="Y2457" s="15"/>
      <c r="Z2457" s="14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4"/>
      <c r="U2458" s="14"/>
      <c r="V2458" s="14"/>
      <c r="W2458" s="14"/>
      <c r="X2458" s="14"/>
      <c r="Y2458" s="15"/>
      <c r="Z2458" s="14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4"/>
      <c r="U2459" s="14"/>
      <c r="V2459" s="14"/>
      <c r="W2459" s="14"/>
      <c r="X2459" s="14"/>
      <c r="Y2459" s="15"/>
      <c r="Z2459" s="14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4"/>
      <c r="U2460" s="14"/>
      <c r="V2460" s="14"/>
      <c r="W2460" s="14"/>
      <c r="X2460" s="14"/>
      <c r="Y2460" s="15"/>
      <c r="Z2460" s="14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4"/>
      <c r="U2461" s="14"/>
      <c r="V2461" s="14"/>
      <c r="W2461" s="14"/>
      <c r="X2461" s="14"/>
      <c r="Y2461" s="15"/>
      <c r="Z2461" s="14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4"/>
      <c r="U2462" s="14"/>
      <c r="V2462" s="14"/>
      <c r="W2462" s="14"/>
      <c r="X2462" s="14"/>
      <c r="Y2462" s="15"/>
      <c r="Z2462" s="14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4"/>
      <c r="U2463" s="14"/>
      <c r="V2463" s="14"/>
      <c r="W2463" s="14"/>
      <c r="X2463" s="14"/>
      <c r="Y2463" s="15"/>
      <c r="Z2463" s="14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4"/>
      <c r="U2464" s="14"/>
      <c r="V2464" s="14"/>
      <c r="W2464" s="14"/>
      <c r="X2464" s="14"/>
      <c r="Y2464" s="15"/>
      <c r="Z2464" s="14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4"/>
      <c r="U2465" s="14"/>
      <c r="V2465" s="14"/>
      <c r="W2465" s="14"/>
      <c r="X2465" s="14"/>
      <c r="Y2465" s="15"/>
      <c r="Z2465" s="14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4"/>
      <c r="U2466" s="14"/>
      <c r="V2466" s="14"/>
      <c r="W2466" s="14"/>
      <c r="X2466" s="14"/>
      <c r="Y2466" s="15"/>
      <c r="Z2466" s="14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4"/>
      <c r="U2467" s="14"/>
      <c r="V2467" s="14"/>
      <c r="W2467" s="14"/>
      <c r="X2467" s="14"/>
      <c r="Y2467" s="15"/>
      <c r="Z2467" s="14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4"/>
      <c r="U2468" s="14"/>
      <c r="V2468" s="14"/>
      <c r="W2468" s="14"/>
      <c r="X2468" s="14"/>
      <c r="Y2468" s="15"/>
      <c r="Z2468" s="14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4"/>
      <c r="U2469" s="14"/>
      <c r="V2469" s="14"/>
      <c r="W2469" s="14"/>
      <c r="X2469" s="14"/>
      <c r="Y2469" s="15"/>
      <c r="Z2469" s="14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4"/>
      <c r="U2470" s="14"/>
      <c r="V2470" s="14"/>
      <c r="W2470" s="14"/>
      <c r="X2470" s="14"/>
      <c r="Y2470" s="15"/>
      <c r="Z2470" s="14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4"/>
      <c r="U2471" s="14"/>
      <c r="V2471" s="14"/>
      <c r="W2471" s="14"/>
      <c r="X2471" s="14"/>
      <c r="Y2471" s="15"/>
      <c r="Z2471" s="14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4"/>
      <c r="U2472" s="14"/>
      <c r="V2472" s="14"/>
      <c r="W2472" s="14"/>
      <c r="X2472" s="14"/>
      <c r="Y2472" s="15"/>
      <c r="Z2472" s="14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4"/>
      <c r="U2473" s="14"/>
      <c r="V2473" s="14"/>
      <c r="W2473" s="14"/>
      <c r="X2473" s="14"/>
      <c r="Y2473" s="15"/>
      <c r="Z2473" s="14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4"/>
      <c r="U2474" s="14"/>
      <c r="V2474" s="14"/>
      <c r="W2474" s="14"/>
      <c r="X2474" s="14"/>
      <c r="Y2474" s="15"/>
      <c r="Z2474" s="14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4"/>
      <c r="U2475" s="14"/>
      <c r="V2475" s="14"/>
      <c r="W2475" s="14"/>
      <c r="X2475" s="14"/>
      <c r="Y2475" s="15"/>
      <c r="Z2475" s="14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4"/>
      <c r="U2476" s="14"/>
      <c r="V2476" s="14"/>
      <c r="W2476" s="14"/>
      <c r="X2476" s="14"/>
      <c r="Y2476" s="15"/>
      <c r="Z2476" s="14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4"/>
      <c r="U2477" s="14"/>
      <c r="V2477" s="14"/>
      <c r="W2477" s="14"/>
      <c r="X2477" s="14"/>
      <c r="Y2477" s="15"/>
      <c r="Z2477" s="14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4"/>
      <c r="U2478" s="14"/>
      <c r="V2478" s="14"/>
      <c r="W2478" s="14"/>
      <c r="X2478" s="14"/>
      <c r="Y2478" s="15"/>
      <c r="Z2478" s="14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4"/>
      <c r="U2479" s="14"/>
      <c r="V2479" s="14"/>
      <c r="W2479" s="14"/>
      <c r="X2479" s="14"/>
      <c r="Y2479" s="15"/>
      <c r="Z2479" s="14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4"/>
      <c r="U2480" s="14"/>
      <c r="V2480" s="14"/>
      <c r="W2480" s="14"/>
      <c r="X2480" s="14"/>
      <c r="Y2480" s="15"/>
      <c r="Z2480" s="14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4"/>
      <c r="U2481" s="14"/>
      <c r="V2481" s="14"/>
      <c r="W2481" s="14"/>
      <c r="X2481" s="14"/>
      <c r="Y2481" s="15"/>
      <c r="Z2481" s="14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4"/>
      <c r="U2482" s="14"/>
      <c r="V2482" s="14"/>
      <c r="W2482" s="14"/>
      <c r="X2482" s="14"/>
      <c r="Y2482" s="15"/>
      <c r="Z2482" s="14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4"/>
      <c r="U2483" s="14"/>
      <c r="V2483" s="14"/>
      <c r="W2483" s="14"/>
      <c r="X2483" s="14"/>
      <c r="Y2483" s="15"/>
      <c r="Z2483" s="14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4"/>
      <c r="U2484" s="14"/>
      <c r="V2484" s="14"/>
      <c r="W2484" s="14"/>
      <c r="X2484" s="14"/>
      <c r="Y2484" s="15"/>
      <c r="Z2484" s="14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4"/>
      <c r="U2485" s="14"/>
      <c r="V2485" s="14"/>
      <c r="W2485" s="14"/>
      <c r="X2485" s="14"/>
      <c r="Y2485" s="15"/>
      <c r="Z2485" s="14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4"/>
      <c r="U2486" s="14"/>
      <c r="V2486" s="14"/>
      <c r="W2486" s="14"/>
      <c r="X2486" s="14"/>
      <c r="Y2486" s="15"/>
      <c r="Z2486" s="14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4"/>
      <c r="U2487" s="14"/>
      <c r="V2487" s="14"/>
      <c r="W2487" s="14"/>
      <c r="X2487" s="14"/>
      <c r="Y2487" s="15"/>
      <c r="Z2487" s="14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4"/>
      <c r="U2488" s="14"/>
      <c r="V2488" s="14"/>
      <c r="W2488" s="14"/>
      <c r="X2488" s="14"/>
      <c r="Y2488" s="15"/>
      <c r="Z2488" s="14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4"/>
      <c r="U2489" s="14"/>
      <c r="V2489" s="14"/>
      <c r="W2489" s="14"/>
      <c r="X2489" s="14"/>
      <c r="Y2489" s="15"/>
      <c r="Z2489" s="14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4"/>
      <c r="U2490" s="14"/>
      <c r="V2490" s="14"/>
      <c r="W2490" s="14"/>
      <c r="X2490" s="14"/>
      <c r="Y2490" s="15"/>
      <c r="Z2490" s="14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4"/>
      <c r="U2491" s="14"/>
      <c r="V2491" s="14"/>
      <c r="W2491" s="14"/>
      <c r="X2491" s="14"/>
      <c r="Y2491" s="15"/>
      <c r="Z2491" s="14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4"/>
      <c r="U2492" s="14"/>
      <c r="V2492" s="14"/>
      <c r="W2492" s="14"/>
      <c r="X2492" s="14"/>
      <c r="Y2492" s="15"/>
      <c r="Z2492" s="14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4"/>
      <c r="U2493" s="14"/>
      <c r="V2493" s="14"/>
      <c r="W2493" s="14"/>
      <c r="X2493" s="14"/>
      <c r="Y2493" s="15"/>
      <c r="Z2493" s="14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4"/>
      <c r="U2494" s="14"/>
      <c r="V2494" s="14"/>
      <c r="W2494" s="14"/>
      <c r="X2494" s="14"/>
      <c r="Y2494" s="15"/>
      <c r="Z2494" s="14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4"/>
      <c r="U2495" s="14"/>
      <c r="V2495" s="14"/>
      <c r="W2495" s="14"/>
      <c r="X2495" s="14"/>
      <c r="Y2495" s="15"/>
      <c r="Z2495" s="14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4"/>
      <c r="U2496" s="14"/>
      <c r="V2496" s="14"/>
      <c r="W2496" s="14"/>
      <c r="X2496" s="14"/>
      <c r="Y2496" s="15"/>
      <c r="Z2496" s="14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4"/>
      <c r="U2497" s="14"/>
      <c r="V2497" s="14"/>
      <c r="W2497" s="14"/>
      <c r="X2497" s="14"/>
      <c r="Y2497" s="15"/>
      <c r="Z2497" s="14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4"/>
      <c r="U2498" s="14"/>
      <c r="V2498" s="14"/>
      <c r="W2498" s="14"/>
      <c r="X2498" s="14"/>
      <c r="Y2498" s="15"/>
      <c r="Z2498" s="14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4"/>
      <c r="U2499" s="14"/>
      <c r="V2499" s="14"/>
      <c r="W2499" s="14"/>
      <c r="X2499" s="14"/>
      <c r="Y2499" s="15"/>
      <c r="Z2499" s="14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4"/>
      <c r="U2500" s="14"/>
      <c r="V2500" s="14"/>
      <c r="W2500" s="14"/>
      <c r="X2500" s="14"/>
      <c r="Y2500" s="15"/>
      <c r="Z2500" s="14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4"/>
      <c r="U2501" s="14"/>
      <c r="V2501" s="14"/>
      <c r="W2501" s="14"/>
      <c r="X2501" s="14"/>
      <c r="Y2501" s="15"/>
      <c r="Z2501" s="14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4"/>
      <c r="U2502" s="14"/>
      <c r="V2502" s="14"/>
      <c r="W2502" s="14"/>
      <c r="X2502" s="14"/>
      <c r="Y2502" s="15"/>
      <c r="Z2502" s="14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4"/>
      <c r="U2503" s="14"/>
      <c r="V2503" s="14"/>
      <c r="W2503" s="14"/>
      <c r="X2503" s="14"/>
      <c r="Y2503" s="15"/>
      <c r="Z2503" s="14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4"/>
      <c r="U2504" s="14"/>
      <c r="V2504" s="14"/>
      <c r="W2504" s="14"/>
      <c r="X2504" s="14"/>
      <c r="Y2504" s="15"/>
      <c r="Z2504" s="14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4"/>
      <c r="U2505" s="14"/>
      <c r="V2505" s="14"/>
      <c r="W2505" s="14"/>
      <c r="X2505" s="14"/>
      <c r="Y2505" s="15"/>
      <c r="Z2505" s="14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4"/>
      <c r="U2506" s="14"/>
      <c r="V2506" s="14"/>
      <c r="W2506" s="14"/>
      <c r="X2506" s="14"/>
      <c r="Y2506" s="15"/>
      <c r="Z2506" s="14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4"/>
      <c r="U2507" s="14"/>
      <c r="V2507" s="14"/>
      <c r="W2507" s="14"/>
      <c r="X2507" s="14"/>
      <c r="Y2507" s="15"/>
      <c r="Z2507" s="14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4"/>
      <c r="U2508" s="14"/>
      <c r="V2508" s="14"/>
      <c r="W2508" s="14"/>
      <c r="X2508" s="14"/>
      <c r="Y2508" s="15"/>
      <c r="Z2508" s="14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4"/>
      <c r="U2509" s="14"/>
      <c r="V2509" s="14"/>
      <c r="W2509" s="14"/>
      <c r="X2509" s="14"/>
      <c r="Y2509" s="15"/>
      <c r="Z2509" s="14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4"/>
      <c r="U2510" s="14"/>
      <c r="V2510" s="14"/>
      <c r="W2510" s="14"/>
      <c r="X2510" s="14"/>
      <c r="Y2510" s="15"/>
      <c r="Z2510" s="14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4"/>
      <c r="U2511" s="14"/>
      <c r="V2511" s="14"/>
      <c r="W2511" s="14"/>
      <c r="X2511" s="14"/>
      <c r="Y2511" s="15"/>
      <c r="Z2511" s="14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4"/>
      <c r="U2512" s="14"/>
      <c r="V2512" s="14"/>
      <c r="W2512" s="14"/>
      <c r="X2512" s="14"/>
      <c r="Y2512" s="15"/>
      <c r="Z2512" s="14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4"/>
      <c r="U2513" s="14"/>
      <c r="V2513" s="14"/>
      <c r="W2513" s="14"/>
      <c r="X2513" s="14"/>
      <c r="Y2513" s="15"/>
      <c r="Z2513" s="14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4"/>
      <c r="U2514" s="14"/>
      <c r="V2514" s="14"/>
      <c r="W2514" s="14"/>
      <c r="X2514" s="14"/>
      <c r="Y2514" s="15"/>
      <c r="Z2514" s="14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4"/>
      <c r="U2515" s="14"/>
      <c r="V2515" s="14"/>
      <c r="W2515" s="14"/>
      <c r="X2515" s="14"/>
      <c r="Y2515" s="15"/>
      <c r="Z2515" s="14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4"/>
      <c r="U2516" s="14"/>
      <c r="V2516" s="14"/>
      <c r="W2516" s="14"/>
      <c r="X2516" s="14"/>
      <c r="Y2516" s="15"/>
      <c r="Z2516" s="14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4"/>
      <c r="U2517" s="14"/>
      <c r="V2517" s="14"/>
      <c r="W2517" s="14"/>
      <c r="X2517" s="14"/>
      <c r="Y2517" s="15"/>
      <c r="Z2517" s="14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4"/>
      <c r="U2518" s="14"/>
      <c r="V2518" s="14"/>
      <c r="W2518" s="14"/>
      <c r="X2518" s="14"/>
      <c r="Y2518" s="15"/>
      <c r="Z2518" s="14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4"/>
      <c r="U2519" s="14"/>
      <c r="V2519" s="14"/>
      <c r="W2519" s="14"/>
      <c r="X2519" s="14"/>
      <c r="Y2519" s="15"/>
      <c r="Z2519" s="14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4"/>
      <c r="U2520" s="14"/>
      <c r="V2520" s="14"/>
      <c r="W2520" s="14"/>
      <c r="X2520" s="14"/>
      <c r="Y2520" s="15"/>
      <c r="Z2520" s="14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4"/>
      <c r="U2521" s="14"/>
      <c r="V2521" s="14"/>
      <c r="W2521" s="14"/>
      <c r="X2521" s="14"/>
      <c r="Y2521" s="15"/>
      <c r="Z2521" s="14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4"/>
      <c r="U2522" s="14"/>
      <c r="V2522" s="14"/>
      <c r="W2522" s="14"/>
      <c r="X2522" s="14"/>
      <c r="Y2522" s="15"/>
      <c r="Z2522" s="14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4"/>
      <c r="U2523" s="14"/>
      <c r="V2523" s="14"/>
      <c r="W2523" s="14"/>
      <c r="X2523" s="14"/>
      <c r="Y2523" s="15"/>
      <c r="Z2523" s="14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4"/>
      <c r="U2524" s="14"/>
      <c r="V2524" s="14"/>
      <c r="W2524" s="14"/>
      <c r="X2524" s="14"/>
      <c r="Y2524" s="15"/>
      <c r="Z2524" s="14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4"/>
      <c r="U2525" s="14"/>
      <c r="V2525" s="14"/>
      <c r="W2525" s="14"/>
      <c r="X2525" s="14"/>
      <c r="Y2525" s="15"/>
      <c r="Z2525" s="14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4"/>
      <c r="U2526" s="14"/>
      <c r="V2526" s="14"/>
      <c r="W2526" s="14"/>
      <c r="X2526" s="14"/>
      <c r="Y2526" s="15"/>
      <c r="Z2526" s="14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4"/>
      <c r="U2527" s="14"/>
      <c r="V2527" s="14"/>
      <c r="W2527" s="14"/>
      <c r="X2527" s="14"/>
      <c r="Y2527" s="15"/>
      <c r="Z2527" s="14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4"/>
      <c r="U2528" s="14"/>
      <c r="V2528" s="14"/>
      <c r="W2528" s="14"/>
      <c r="X2528" s="14"/>
      <c r="Y2528" s="15"/>
      <c r="Z2528" s="14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4"/>
      <c r="U2529" s="14"/>
      <c r="V2529" s="14"/>
      <c r="W2529" s="14"/>
      <c r="X2529" s="14"/>
      <c r="Y2529" s="15"/>
      <c r="Z2529" s="14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4"/>
      <c r="U2530" s="14"/>
      <c r="V2530" s="14"/>
      <c r="W2530" s="14"/>
      <c r="X2530" s="14"/>
      <c r="Y2530" s="15"/>
      <c r="Z2530" s="14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4"/>
      <c r="U2531" s="14"/>
      <c r="V2531" s="14"/>
      <c r="W2531" s="14"/>
      <c r="X2531" s="14"/>
      <c r="Y2531" s="15"/>
      <c r="Z2531" s="14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4"/>
      <c r="U2532" s="14"/>
      <c r="V2532" s="14"/>
      <c r="W2532" s="14"/>
      <c r="X2532" s="14"/>
      <c r="Y2532" s="15"/>
      <c r="Z2532" s="14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4"/>
      <c r="U2533" s="14"/>
      <c r="V2533" s="14"/>
      <c r="W2533" s="14"/>
      <c r="X2533" s="14"/>
      <c r="Y2533" s="15"/>
      <c r="Z2533" s="14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4"/>
      <c r="U2534" s="14"/>
      <c r="V2534" s="14"/>
      <c r="W2534" s="14"/>
      <c r="X2534" s="14"/>
      <c r="Y2534" s="15"/>
      <c r="Z2534" s="14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4"/>
      <c r="U2535" s="14"/>
      <c r="V2535" s="14"/>
      <c r="W2535" s="14"/>
      <c r="X2535" s="14"/>
      <c r="Y2535" s="15"/>
      <c r="Z2535" s="14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4"/>
      <c r="U2536" s="14"/>
      <c r="V2536" s="14"/>
      <c r="W2536" s="14"/>
      <c r="X2536" s="14"/>
      <c r="Y2536" s="15"/>
      <c r="Z2536" s="14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4"/>
      <c r="U2537" s="14"/>
      <c r="V2537" s="14"/>
      <c r="W2537" s="14"/>
      <c r="X2537" s="14"/>
      <c r="Y2537" s="15"/>
      <c r="Z2537" s="14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4"/>
      <c r="U2538" s="14"/>
      <c r="V2538" s="14"/>
      <c r="W2538" s="14"/>
      <c r="X2538" s="14"/>
      <c r="Y2538" s="15"/>
      <c r="Z2538" s="14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4"/>
      <c r="U2539" s="14"/>
      <c r="V2539" s="14"/>
      <c r="W2539" s="14"/>
      <c r="X2539" s="14"/>
      <c r="Y2539" s="15"/>
      <c r="Z2539" s="14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4"/>
      <c r="U2540" s="14"/>
      <c r="V2540" s="14"/>
      <c r="W2540" s="14"/>
      <c r="X2540" s="14"/>
      <c r="Y2540" s="15"/>
      <c r="Z2540" s="14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4"/>
      <c r="U2541" s="14"/>
      <c r="V2541" s="14"/>
      <c r="W2541" s="14"/>
      <c r="X2541" s="14"/>
      <c r="Y2541" s="15"/>
      <c r="Z2541" s="14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4"/>
      <c r="U2542" s="14"/>
      <c r="V2542" s="14"/>
      <c r="W2542" s="14"/>
      <c r="X2542" s="14"/>
      <c r="Y2542" s="15"/>
      <c r="Z2542" s="14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4"/>
      <c r="U2543" s="14"/>
      <c r="V2543" s="14"/>
      <c r="W2543" s="14"/>
      <c r="X2543" s="14"/>
      <c r="Y2543" s="15"/>
      <c r="Z2543" s="14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4"/>
      <c r="U2544" s="14"/>
      <c r="V2544" s="14"/>
      <c r="W2544" s="14"/>
      <c r="X2544" s="14"/>
      <c r="Y2544" s="15"/>
      <c r="Z2544" s="14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4"/>
      <c r="U2545" s="14"/>
      <c r="V2545" s="14"/>
      <c r="W2545" s="14"/>
      <c r="X2545" s="14"/>
      <c r="Y2545" s="15"/>
      <c r="Z2545" s="14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4"/>
      <c r="U2546" s="14"/>
      <c r="V2546" s="14"/>
      <c r="W2546" s="14"/>
      <c r="X2546" s="14"/>
      <c r="Y2546" s="15"/>
      <c r="Z2546" s="14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4"/>
      <c r="U2547" s="14"/>
      <c r="V2547" s="14"/>
      <c r="W2547" s="14"/>
      <c r="X2547" s="14"/>
      <c r="Y2547" s="15"/>
      <c r="Z2547" s="14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4"/>
      <c r="U2548" s="14"/>
      <c r="V2548" s="14"/>
      <c r="W2548" s="14"/>
      <c r="X2548" s="14"/>
      <c r="Y2548" s="15"/>
      <c r="Z2548" s="14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4"/>
      <c r="U2549" s="14"/>
      <c r="V2549" s="14"/>
      <c r="W2549" s="14"/>
      <c r="X2549" s="14"/>
      <c r="Y2549" s="15"/>
      <c r="Z2549" s="14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4"/>
      <c r="U2550" s="14"/>
      <c r="V2550" s="14"/>
      <c r="W2550" s="14"/>
      <c r="X2550" s="14"/>
      <c r="Y2550" s="15"/>
      <c r="Z2550" s="14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4"/>
      <c r="U2551" s="14"/>
      <c r="V2551" s="14"/>
      <c r="W2551" s="14"/>
      <c r="X2551" s="14"/>
      <c r="Y2551" s="15"/>
      <c r="Z2551" s="14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4"/>
      <c r="U2552" s="14"/>
      <c r="V2552" s="14"/>
      <c r="W2552" s="14"/>
      <c r="X2552" s="14"/>
      <c r="Y2552" s="15"/>
      <c r="Z2552" s="14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4"/>
      <c r="U2553" s="14"/>
      <c r="V2553" s="14"/>
      <c r="W2553" s="14"/>
      <c r="X2553" s="14"/>
      <c r="Y2553" s="15"/>
      <c r="Z2553" s="14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4"/>
      <c r="U2554" s="14"/>
      <c r="V2554" s="14"/>
      <c r="W2554" s="14"/>
      <c r="X2554" s="14"/>
      <c r="Y2554" s="15"/>
      <c r="Z2554" s="14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4"/>
      <c r="U2555" s="14"/>
      <c r="V2555" s="14"/>
      <c r="W2555" s="14"/>
      <c r="X2555" s="14"/>
      <c r="Y2555" s="15"/>
      <c r="Z2555" s="14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4"/>
      <c r="U2556" s="14"/>
      <c r="V2556" s="14"/>
      <c r="W2556" s="14"/>
      <c r="X2556" s="14"/>
      <c r="Y2556" s="15"/>
      <c r="Z2556" s="14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4"/>
      <c r="U2557" s="14"/>
      <c r="V2557" s="14"/>
      <c r="W2557" s="14"/>
      <c r="X2557" s="14"/>
      <c r="Y2557" s="15"/>
      <c r="Z2557" s="14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4"/>
      <c r="U2558" s="14"/>
      <c r="V2558" s="14"/>
      <c r="W2558" s="14"/>
      <c r="X2558" s="14"/>
      <c r="Y2558" s="15"/>
      <c r="Z2558" s="14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4"/>
      <c r="U2559" s="14"/>
      <c r="V2559" s="14"/>
      <c r="W2559" s="14"/>
      <c r="X2559" s="14"/>
      <c r="Y2559" s="15"/>
      <c r="Z2559" s="14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4"/>
      <c r="U2560" s="14"/>
      <c r="V2560" s="14"/>
      <c r="W2560" s="14"/>
      <c r="X2560" s="14"/>
      <c r="Y2560" s="15"/>
      <c r="Z2560" s="14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4"/>
      <c r="U2561" s="14"/>
      <c r="V2561" s="14"/>
      <c r="W2561" s="14"/>
      <c r="X2561" s="14"/>
      <c r="Y2561" s="15"/>
      <c r="Z2561" s="14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4"/>
      <c r="U2562" s="14"/>
      <c r="V2562" s="14"/>
      <c r="W2562" s="14"/>
      <c r="X2562" s="14"/>
      <c r="Y2562" s="15"/>
      <c r="Z2562" s="14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4"/>
      <c r="U2563" s="14"/>
      <c r="V2563" s="14"/>
      <c r="W2563" s="14"/>
      <c r="X2563" s="14"/>
      <c r="Y2563" s="15"/>
      <c r="Z2563" s="14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4"/>
      <c r="U2564" s="14"/>
      <c r="V2564" s="14"/>
      <c r="W2564" s="14"/>
      <c r="X2564" s="14"/>
      <c r="Y2564" s="15"/>
      <c r="Z2564" s="14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4"/>
      <c r="U2565" s="14"/>
      <c r="V2565" s="14"/>
      <c r="W2565" s="14"/>
      <c r="X2565" s="14"/>
      <c r="Y2565" s="15"/>
      <c r="Z2565" s="14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4"/>
      <c r="U2566" s="14"/>
      <c r="V2566" s="14"/>
      <c r="W2566" s="14"/>
      <c r="X2566" s="14"/>
      <c r="Y2566" s="15"/>
      <c r="Z2566" s="14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4"/>
      <c r="U2567" s="14"/>
      <c r="V2567" s="14"/>
      <c r="W2567" s="14"/>
      <c r="X2567" s="14"/>
      <c r="Y2567" s="15"/>
      <c r="Z2567" s="14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4"/>
      <c r="U2568" s="14"/>
      <c r="V2568" s="14"/>
      <c r="W2568" s="14"/>
      <c r="X2568" s="14"/>
      <c r="Y2568" s="15"/>
      <c r="Z2568" s="14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4"/>
      <c r="U2569" s="14"/>
      <c r="V2569" s="14"/>
      <c r="W2569" s="14"/>
      <c r="X2569" s="14"/>
      <c r="Y2569" s="15"/>
      <c r="Z2569" s="14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4"/>
      <c r="U2570" s="14"/>
      <c r="V2570" s="14"/>
      <c r="W2570" s="14"/>
      <c r="X2570" s="14"/>
      <c r="Y2570" s="15"/>
      <c r="Z2570" s="14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4"/>
      <c r="U2571" s="14"/>
      <c r="V2571" s="14"/>
      <c r="W2571" s="14"/>
      <c r="X2571" s="14"/>
      <c r="Y2571" s="15"/>
      <c r="Z2571" s="14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4"/>
      <c r="U2572" s="14"/>
      <c r="V2572" s="14"/>
      <c r="W2572" s="14"/>
      <c r="X2572" s="14"/>
      <c r="Y2572" s="15"/>
      <c r="Z2572" s="14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4"/>
      <c r="U2573" s="14"/>
      <c r="V2573" s="14"/>
      <c r="W2573" s="14"/>
      <c r="X2573" s="14"/>
      <c r="Y2573" s="15"/>
      <c r="Z2573" s="14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4"/>
      <c r="U2574" s="14"/>
      <c r="V2574" s="14"/>
      <c r="W2574" s="14"/>
      <c r="X2574" s="14"/>
      <c r="Y2574" s="15"/>
      <c r="Z2574" s="14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4"/>
      <c r="U2575" s="14"/>
      <c r="V2575" s="14"/>
      <c r="W2575" s="14"/>
      <c r="X2575" s="14"/>
      <c r="Y2575" s="15"/>
      <c r="Z2575" s="14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4"/>
      <c r="U2576" s="14"/>
      <c r="V2576" s="14"/>
      <c r="W2576" s="14"/>
      <c r="X2576" s="14"/>
      <c r="Y2576" s="15"/>
      <c r="Z2576" s="14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4"/>
      <c r="U2577" s="14"/>
      <c r="V2577" s="14"/>
      <c r="W2577" s="14"/>
      <c r="X2577" s="14"/>
      <c r="Y2577" s="15"/>
      <c r="Z2577" s="14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4"/>
      <c r="U2578" s="14"/>
      <c r="V2578" s="14"/>
      <c r="W2578" s="14"/>
      <c r="X2578" s="14"/>
      <c r="Y2578" s="15"/>
      <c r="Z2578" s="14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4"/>
      <c r="U2579" s="14"/>
      <c r="V2579" s="14"/>
      <c r="W2579" s="14"/>
      <c r="X2579" s="14"/>
      <c r="Y2579" s="15"/>
      <c r="Z2579" s="14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4"/>
      <c r="U2580" s="14"/>
      <c r="V2580" s="14"/>
      <c r="W2580" s="14"/>
      <c r="X2580" s="14"/>
      <c r="Y2580" s="15"/>
      <c r="Z2580" s="14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4"/>
      <c r="U2581" s="14"/>
      <c r="V2581" s="14"/>
      <c r="W2581" s="14"/>
      <c r="X2581" s="14"/>
      <c r="Y2581" s="15"/>
      <c r="Z2581" s="14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4"/>
      <c r="U2582" s="14"/>
      <c r="V2582" s="14"/>
      <c r="W2582" s="14"/>
      <c r="X2582" s="14"/>
      <c r="Y2582" s="15"/>
      <c r="Z2582" s="14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4"/>
      <c r="U2583" s="14"/>
      <c r="V2583" s="14"/>
      <c r="W2583" s="14"/>
      <c r="X2583" s="14"/>
      <c r="Y2583" s="15"/>
      <c r="Z2583" s="14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4"/>
      <c r="U2584" s="14"/>
      <c r="V2584" s="14"/>
      <c r="W2584" s="14"/>
      <c r="X2584" s="14"/>
      <c r="Y2584" s="15"/>
      <c r="Z2584" s="14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4"/>
      <c r="U2585" s="14"/>
      <c r="V2585" s="14"/>
      <c r="W2585" s="14"/>
      <c r="X2585" s="14"/>
      <c r="Y2585" s="15"/>
      <c r="Z2585" s="14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4"/>
      <c r="U2586" s="14"/>
      <c r="V2586" s="14"/>
      <c r="W2586" s="14"/>
      <c r="X2586" s="14"/>
      <c r="Y2586" s="15"/>
      <c r="Z2586" s="14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4"/>
      <c r="U2587" s="14"/>
      <c r="V2587" s="14"/>
      <c r="W2587" s="14"/>
      <c r="X2587" s="14"/>
      <c r="Y2587" s="15"/>
      <c r="Z2587" s="14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4"/>
      <c r="U2588" s="14"/>
      <c r="V2588" s="14"/>
      <c r="W2588" s="14"/>
      <c r="X2588" s="14"/>
      <c r="Y2588" s="15"/>
      <c r="Z2588" s="14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4"/>
      <c r="U2589" s="14"/>
      <c r="V2589" s="14"/>
      <c r="W2589" s="14"/>
      <c r="X2589" s="14"/>
      <c r="Y2589" s="15"/>
      <c r="Z2589" s="14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4"/>
      <c r="U2590" s="14"/>
      <c r="V2590" s="14"/>
      <c r="W2590" s="14"/>
      <c r="X2590" s="14"/>
      <c r="Y2590" s="15"/>
      <c r="Z2590" s="14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4"/>
      <c r="U2591" s="14"/>
      <c r="V2591" s="14"/>
      <c r="W2591" s="14"/>
      <c r="X2591" s="14"/>
      <c r="Y2591" s="15"/>
      <c r="Z2591" s="14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4"/>
      <c r="U2592" s="14"/>
      <c r="V2592" s="14"/>
      <c r="W2592" s="14"/>
      <c r="X2592" s="14"/>
      <c r="Y2592" s="15"/>
      <c r="Z2592" s="14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4"/>
      <c r="U2593" s="14"/>
      <c r="V2593" s="14"/>
      <c r="W2593" s="14"/>
      <c r="X2593" s="14"/>
      <c r="Y2593" s="15"/>
      <c r="Z2593" s="14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4"/>
      <c r="U2594" s="14"/>
      <c r="V2594" s="14"/>
      <c r="W2594" s="14"/>
      <c r="X2594" s="14"/>
      <c r="Y2594" s="15"/>
      <c r="Z2594" s="14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4"/>
      <c r="U2595" s="14"/>
      <c r="V2595" s="14"/>
      <c r="W2595" s="14"/>
      <c r="X2595" s="14"/>
      <c r="Y2595" s="15"/>
      <c r="Z2595" s="14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4"/>
      <c r="U2596" s="14"/>
      <c r="V2596" s="14"/>
      <c r="W2596" s="14"/>
      <c r="X2596" s="14"/>
      <c r="Y2596" s="15"/>
      <c r="Z2596" s="14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4"/>
      <c r="U2597" s="14"/>
      <c r="V2597" s="14"/>
      <c r="W2597" s="14"/>
      <c r="X2597" s="14"/>
      <c r="Y2597" s="15"/>
      <c r="Z2597" s="14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4"/>
      <c r="U2598" s="14"/>
      <c r="V2598" s="14"/>
      <c r="W2598" s="14"/>
      <c r="X2598" s="14"/>
      <c r="Y2598" s="15"/>
      <c r="Z2598" s="14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4"/>
      <c r="U2599" s="14"/>
      <c r="V2599" s="14"/>
      <c r="W2599" s="14"/>
      <c r="X2599" s="14"/>
      <c r="Y2599" s="15"/>
      <c r="Z2599" s="14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4"/>
      <c r="U2600" s="14"/>
      <c r="V2600" s="14"/>
      <c r="W2600" s="14"/>
      <c r="X2600" s="14"/>
      <c r="Y2600" s="15"/>
      <c r="Z2600" s="14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4"/>
      <c r="U2601" s="14"/>
      <c r="V2601" s="14"/>
      <c r="W2601" s="14"/>
      <c r="X2601" s="14"/>
      <c r="Y2601" s="15"/>
      <c r="Z2601" s="14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4"/>
      <c r="U2602" s="14"/>
      <c r="V2602" s="14"/>
      <c r="W2602" s="14"/>
      <c r="X2602" s="14"/>
      <c r="Y2602" s="15"/>
      <c r="Z2602" s="14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4"/>
      <c r="U2603" s="14"/>
      <c r="V2603" s="14"/>
      <c r="W2603" s="14"/>
      <c r="X2603" s="14"/>
      <c r="Y2603" s="15"/>
      <c r="Z2603" s="14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4"/>
      <c r="U2604" s="14"/>
      <c r="V2604" s="14"/>
      <c r="W2604" s="14"/>
      <c r="X2604" s="14"/>
      <c r="Y2604" s="15"/>
      <c r="Z2604" s="14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4"/>
      <c r="U2605" s="14"/>
      <c r="V2605" s="14"/>
      <c r="W2605" s="14"/>
      <c r="X2605" s="14"/>
      <c r="Y2605" s="15"/>
      <c r="Z2605" s="14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4"/>
      <c r="U2606" s="14"/>
      <c r="V2606" s="14"/>
      <c r="W2606" s="14"/>
      <c r="X2606" s="14"/>
      <c r="Y2606" s="15"/>
      <c r="Z2606" s="14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4"/>
      <c r="U2607" s="14"/>
      <c r="V2607" s="14"/>
      <c r="W2607" s="14"/>
      <c r="X2607" s="14"/>
      <c r="Y2607" s="15"/>
      <c r="Z2607" s="14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4"/>
      <c r="U2608" s="14"/>
      <c r="V2608" s="14"/>
      <c r="W2608" s="14"/>
      <c r="X2608" s="14"/>
      <c r="Y2608" s="15"/>
      <c r="Z2608" s="14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4"/>
      <c r="U2609" s="14"/>
      <c r="V2609" s="14"/>
      <c r="W2609" s="14"/>
      <c r="X2609" s="14"/>
      <c r="Y2609" s="15"/>
      <c r="Z2609" s="14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4"/>
      <c r="U2610" s="14"/>
      <c r="V2610" s="14"/>
      <c r="W2610" s="14"/>
      <c r="X2610" s="14"/>
      <c r="Y2610" s="15"/>
      <c r="Z2610" s="14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4"/>
      <c r="U2611" s="14"/>
      <c r="V2611" s="14"/>
      <c r="W2611" s="14"/>
      <c r="X2611" s="14"/>
      <c r="Y2611" s="15"/>
      <c r="Z2611" s="14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4"/>
      <c r="U2612" s="14"/>
      <c r="V2612" s="14"/>
      <c r="W2612" s="14"/>
      <c r="X2612" s="14"/>
      <c r="Y2612" s="15"/>
      <c r="Z2612" s="14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4"/>
      <c r="U2613" s="14"/>
      <c r="V2613" s="14"/>
      <c r="W2613" s="14"/>
      <c r="X2613" s="14"/>
      <c r="Y2613" s="15"/>
      <c r="Z2613" s="14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4"/>
      <c r="U2614" s="14"/>
      <c r="V2614" s="14"/>
      <c r="W2614" s="14"/>
      <c r="X2614" s="14"/>
      <c r="Y2614" s="15"/>
      <c r="Z2614" s="14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4"/>
      <c r="U2615" s="14"/>
      <c r="V2615" s="14"/>
      <c r="W2615" s="14"/>
      <c r="X2615" s="14"/>
      <c r="Y2615" s="15"/>
      <c r="Z2615" s="14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4"/>
      <c r="U2616" s="14"/>
      <c r="V2616" s="14"/>
      <c r="W2616" s="14"/>
      <c r="X2616" s="14"/>
      <c r="Y2616" s="15"/>
      <c r="Z2616" s="14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4"/>
      <c r="U2617" s="14"/>
      <c r="V2617" s="14"/>
      <c r="W2617" s="14"/>
      <c r="X2617" s="14"/>
      <c r="Y2617" s="15"/>
      <c r="Z2617" s="14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4"/>
      <c r="U2618" s="14"/>
      <c r="V2618" s="14"/>
      <c r="W2618" s="14"/>
      <c r="X2618" s="14"/>
      <c r="Y2618" s="15"/>
      <c r="Z2618" s="14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4"/>
      <c r="U2619" s="14"/>
      <c r="V2619" s="14"/>
      <c r="W2619" s="14"/>
      <c r="X2619" s="14"/>
      <c r="Y2619" s="15"/>
      <c r="Z2619" s="14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4"/>
      <c r="U2620" s="14"/>
      <c r="V2620" s="14"/>
      <c r="W2620" s="14"/>
      <c r="X2620" s="14"/>
      <c r="Y2620" s="15"/>
      <c r="Z2620" s="14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4"/>
      <c r="U2621" s="14"/>
      <c r="V2621" s="14"/>
      <c r="W2621" s="14"/>
      <c r="X2621" s="14"/>
      <c r="Y2621" s="15"/>
      <c r="Z2621" s="14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4"/>
      <c r="U2622" s="14"/>
      <c r="V2622" s="14"/>
      <c r="W2622" s="14"/>
      <c r="X2622" s="14"/>
      <c r="Y2622" s="15"/>
      <c r="Z2622" s="14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4"/>
      <c r="U2623" s="14"/>
      <c r="V2623" s="14"/>
      <c r="W2623" s="14"/>
      <c r="X2623" s="14"/>
      <c r="Y2623" s="15"/>
      <c r="Z2623" s="14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4"/>
      <c r="U2624" s="14"/>
      <c r="V2624" s="14"/>
      <c r="W2624" s="14"/>
      <c r="X2624" s="14"/>
      <c r="Y2624" s="15"/>
      <c r="Z2624" s="14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4"/>
      <c r="U2625" s="14"/>
      <c r="V2625" s="14"/>
      <c r="W2625" s="14"/>
      <c r="X2625" s="14"/>
      <c r="Y2625" s="15"/>
      <c r="Z2625" s="14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4"/>
      <c r="U2626" s="14"/>
      <c r="V2626" s="14"/>
      <c r="W2626" s="14"/>
      <c r="X2626" s="14"/>
      <c r="Y2626" s="15"/>
      <c r="Z2626" s="14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4"/>
      <c r="U2627" s="14"/>
      <c r="V2627" s="14"/>
      <c r="W2627" s="14"/>
      <c r="X2627" s="14"/>
      <c r="Y2627" s="15"/>
      <c r="Z2627" s="14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4"/>
      <c r="U2628" s="14"/>
      <c r="V2628" s="14"/>
      <c r="W2628" s="14"/>
      <c r="X2628" s="14"/>
      <c r="Y2628" s="15"/>
      <c r="Z2628" s="14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4"/>
      <c r="U2629" s="14"/>
      <c r="V2629" s="14"/>
      <c r="W2629" s="14"/>
      <c r="X2629" s="14"/>
      <c r="Y2629" s="15"/>
      <c r="Z2629" s="14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4"/>
      <c r="U2630" s="14"/>
      <c r="V2630" s="14"/>
      <c r="W2630" s="14"/>
      <c r="X2630" s="14"/>
      <c r="Y2630" s="15"/>
      <c r="Z2630" s="14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4"/>
      <c r="U2631" s="14"/>
      <c r="V2631" s="14"/>
      <c r="W2631" s="14"/>
      <c r="X2631" s="14"/>
      <c r="Y2631" s="15"/>
      <c r="Z2631" s="14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4"/>
      <c r="U2632" s="14"/>
      <c r="V2632" s="14"/>
      <c r="W2632" s="14"/>
      <c r="X2632" s="14"/>
      <c r="Y2632" s="15"/>
      <c r="Z2632" s="14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4"/>
      <c r="U2633" s="14"/>
      <c r="V2633" s="14"/>
      <c r="W2633" s="14"/>
      <c r="X2633" s="14"/>
      <c r="Y2633" s="15"/>
      <c r="Z2633" s="14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4"/>
      <c r="U2634" s="14"/>
      <c r="V2634" s="14"/>
      <c r="W2634" s="14"/>
      <c r="X2634" s="14"/>
      <c r="Y2634" s="15"/>
      <c r="Z2634" s="14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4"/>
      <c r="U2635" s="14"/>
      <c r="V2635" s="14"/>
      <c r="W2635" s="14"/>
      <c r="X2635" s="14"/>
      <c r="Y2635" s="15"/>
      <c r="Z2635" s="14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4"/>
      <c r="U2636" s="14"/>
      <c r="V2636" s="14"/>
      <c r="W2636" s="14"/>
      <c r="X2636" s="14"/>
      <c r="Y2636" s="15"/>
      <c r="Z2636" s="14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4"/>
      <c r="U2637" s="14"/>
      <c r="V2637" s="14"/>
      <c r="W2637" s="14"/>
      <c r="X2637" s="14"/>
      <c r="Y2637" s="15"/>
      <c r="Z2637" s="14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4"/>
      <c r="U2638" s="14"/>
      <c r="V2638" s="14"/>
      <c r="W2638" s="14"/>
      <c r="X2638" s="14"/>
      <c r="Y2638" s="15"/>
      <c r="Z2638" s="14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4"/>
      <c r="U2639" s="14"/>
      <c r="V2639" s="14"/>
      <c r="W2639" s="14"/>
      <c r="X2639" s="14"/>
      <c r="Y2639" s="15"/>
      <c r="Z2639" s="14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4"/>
      <c r="U2640" s="14"/>
      <c r="V2640" s="14"/>
      <c r="W2640" s="14"/>
      <c r="X2640" s="14"/>
      <c r="Y2640" s="15"/>
      <c r="Z2640" s="14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4"/>
      <c r="U2641" s="14"/>
      <c r="V2641" s="14"/>
      <c r="W2641" s="14"/>
      <c r="X2641" s="14"/>
      <c r="Y2641" s="15"/>
      <c r="Z2641" s="14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4"/>
      <c r="U2642" s="14"/>
      <c r="V2642" s="14"/>
      <c r="W2642" s="14"/>
      <c r="X2642" s="14"/>
      <c r="Y2642" s="15"/>
      <c r="Z2642" s="14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4"/>
      <c r="U2643" s="14"/>
      <c r="V2643" s="14"/>
      <c r="W2643" s="14"/>
      <c r="X2643" s="14"/>
      <c r="Y2643" s="15"/>
      <c r="Z2643" s="14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4"/>
      <c r="U2644" s="14"/>
      <c r="V2644" s="14"/>
      <c r="W2644" s="14"/>
      <c r="X2644" s="14"/>
      <c r="Y2644" s="15"/>
      <c r="Z2644" s="14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4"/>
      <c r="U2645" s="14"/>
      <c r="V2645" s="14"/>
      <c r="W2645" s="14"/>
      <c r="X2645" s="14"/>
      <c r="Y2645" s="15"/>
      <c r="Z2645" s="14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4"/>
      <c r="U2646" s="14"/>
      <c r="V2646" s="14"/>
      <c r="W2646" s="14"/>
      <c r="X2646" s="14"/>
      <c r="Y2646" s="15"/>
      <c r="Z2646" s="14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4"/>
      <c r="U2647" s="14"/>
      <c r="V2647" s="14"/>
      <c r="W2647" s="14"/>
      <c r="X2647" s="14"/>
      <c r="Y2647" s="15"/>
      <c r="Z2647" s="14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4"/>
      <c r="U2648" s="14"/>
      <c r="V2648" s="14"/>
      <c r="W2648" s="14"/>
      <c r="X2648" s="14"/>
      <c r="Y2648" s="15"/>
      <c r="Z2648" s="14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4"/>
      <c r="U2649" s="14"/>
      <c r="V2649" s="14"/>
      <c r="W2649" s="14"/>
      <c r="X2649" s="14"/>
      <c r="Y2649" s="15"/>
      <c r="Z2649" s="14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4"/>
      <c r="U2650" s="14"/>
      <c r="V2650" s="14"/>
      <c r="W2650" s="14"/>
      <c r="X2650" s="14"/>
      <c r="Y2650" s="15"/>
      <c r="Z2650" s="14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4"/>
      <c r="U2651" s="14"/>
      <c r="V2651" s="14"/>
      <c r="W2651" s="14"/>
      <c r="X2651" s="14"/>
      <c r="Y2651" s="15"/>
      <c r="Z2651" s="14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4"/>
      <c r="U2652" s="14"/>
      <c r="V2652" s="14"/>
      <c r="W2652" s="14"/>
      <c r="X2652" s="14"/>
      <c r="Y2652" s="15"/>
      <c r="Z2652" s="14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4"/>
      <c r="U2653" s="14"/>
      <c r="V2653" s="14"/>
      <c r="W2653" s="14"/>
      <c r="X2653" s="14"/>
      <c r="Y2653" s="15"/>
      <c r="Z2653" s="14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4"/>
      <c r="U2654" s="14"/>
      <c r="V2654" s="14"/>
      <c r="W2654" s="14"/>
      <c r="X2654" s="14"/>
      <c r="Y2654" s="15"/>
      <c r="Z2654" s="14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4"/>
      <c r="U2655" s="14"/>
      <c r="V2655" s="14"/>
      <c r="W2655" s="14"/>
      <c r="X2655" s="14"/>
      <c r="Y2655" s="15"/>
      <c r="Z2655" s="14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4"/>
      <c r="U2656" s="14"/>
      <c r="V2656" s="14"/>
      <c r="W2656" s="14"/>
      <c r="X2656" s="14"/>
      <c r="Y2656" s="15"/>
      <c r="Z2656" s="14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4"/>
      <c r="U2657" s="14"/>
      <c r="V2657" s="14"/>
      <c r="W2657" s="14"/>
      <c r="X2657" s="14"/>
      <c r="Y2657" s="15"/>
      <c r="Z2657" s="14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4"/>
      <c r="U2658" s="14"/>
      <c r="V2658" s="14"/>
      <c r="W2658" s="14"/>
      <c r="X2658" s="14"/>
      <c r="Y2658" s="15"/>
      <c r="Z2658" s="14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4"/>
      <c r="U2659" s="14"/>
      <c r="V2659" s="14"/>
      <c r="W2659" s="14"/>
      <c r="X2659" s="14"/>
      <c r="Y2659" s="15"/>
      <c r="Z2659" s="14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4"/>
      <c r="U2660" s="14"/>
      <c r="V2660" s="14"/>
      <c r="W2660" s="14"/>
      <c r="X2660" s="14"/>
      <c r="Y2660" s="15"/>
      <c r="Z2660" s="14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4"/>
      <c r="U2661" s="14"/>
      <c r="V2661" s="14"/>
      <c r="W2661" s="14"/>
      <c r="X2661" s="14"/>
      <c r="Y2661" s="15"/>
      <c r="Z2661" s="14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4"/>
      <c r="U2662" s="14"/>
      <c r="V2662" s="14"/>
      <c r="W2662" s="14"/>
      <c r="X2662" s="14"/>
      <c r="Y2662" s="15"/>
      <c r="Z2662" s="14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4"/>
      <c r="U2663" s="14"/>
      <c r="V2663" s="14"/>
      <c r="W2663" s="14"/>
      <c r="X2663" s="14"/>
      <c r="Y2663" s="15"/>
      <c r="Z2663" s="14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4"/>
      <c r="U2664" s="14"/>
      <c r="V2664" s="14"/>
      <c r="W2664" s="14"/>
      <c r="X2664" s="14"/>
      <c r="Y2664" s="15"/>
      <c r="Z2664" s="14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4"/>
      <c r="U2665" s="14"/>
      <c r="V2665" s="14"/>
      <c r="W2665" s="14"/>
      <c r="X2665" s="14"/>
      <c r="Y2665" s="15"/>
      <c r="Z2665" s="14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4"/>
      <c r="U2666" s="14"/>
      <c r="V2666" s="14"/>
      <c r="W2666" s="14"/>
      <c r="X2666" s="14"/>
      <c r="Y2666" s="15"/>
      <c r="Z2666" s="14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4"/>
      <c r="U2667" s="14"/>
      <c r="V2667" s="14"/>
      <c r="W2667" s="14"/>
      <c r="X2667" s="14"/>
      <c r="Y2667" s="15"/>
      <c r="Z2667" s="14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4"/>
      <c r="U2668" s="14"/>
      <c r="V2668" s="14"/>
      <c r="W2668" s="14"/>
      <c r="X2668" s="14"/>
      <c r="Y2668" s="15"/>
      <c r="Z2668" s="14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4"/>
      <c r="U2669" s="14"/>
      <c r="V2669" s="14"/>
      <c r="W2669" s="14"/>
      <c r="X2669" s="14"/>
      <c r="Y2669" s="15"/>
      <c r="Z2669" s="14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4"/>
      <c r="U2670" s="14"/>
      <c r="V2670" s="14"/>
      <c r="W2670" s="14"/>
      <c r="X2670" s="14"/>
      <c r="Y2670" s="15"/>
      <c r="Z2670" s="14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4"/>
      <c r="U2671" s="14"/>
      <c r="V2671" s="14"/>
      <c r="W2671" s="14"/>
      <c r="X2671" s="14"/>
      <c r="Y2671" s="15"/>
      <c r="Z2671" s="14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4"/>
      <c r="U2672" s="14"/>
      <c r="V2672" s="14"/>
      <c r="W2672" s="14"/>
      <c r="X2672" s="14"/>
      <c r="Y2672" s="15"/>
      <c r="Z2672" s="14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4"/>
      <c r="U2673" s="14"/>
      <c r="V2673" s="14"/>
      <c r="W2673" s="14"/>
      <c r="X2673" s="14"/>
      <c r="Y2673" s="15"/>
      <c r="Z2673" s="14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4"/>
      <c r="U2674" s="14"/>
      <c r="V2674" s="14"/>
      <c r="W2674" s="14"/>
      <c r="X2674" s="14"/>
      <c r="Y2674" s="15"/>
      <c r="Z2674" s="14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4"/>
      <c r="U2675" s="14"/>
      <c r="V2675" s="14"/>
      <c r="W2675" s="14"/>
      <c r="X2675" s="14"/>
      <c r="Y2675" s="15"/>
      <c r="Z2675" s="14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4"/>
      <c r="U2676" s="14"/>
      <c r="V2676" s="14"/>
      <c r="W2676" s="14"/>
      <c r="X2676" s="14"/>
      <c r="Y2676" s="15"/>
      <c r="Z2676" s="14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4"/>
      <c r="U2677" s="14"/>
      <c r="V2677" s="14"/>
      <c r="W2677" s="14"/>
      <c r="X2677" s="14"/>
      <c r="Y2677" s="15"/>
      <c r="Z2677" s="14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4"/>
      <c r="U2678" s="14"/>
      <c r="V2678" s="14"/>
      <c r="W2678" s="14"/>
      <c r="X2678" s="14"/>
      <c r="Y2678" s="15"/>
      <c r="Z2678" s="14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4"/>
      <c r="U2679" s="14"/>
      <c r="V2679" s="14"/>
      <c r="W2679" s="14"/>
      <c r="X2679" s="14"/>
      <c r="Y2679" s="15"/>
      <c r="Z2679" s="14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4"/>
      <c r="U2680" s="14"/>
      <c r="V2680" s="14"/>
      <c r="W2680" s="14"/>
      <c r="X2680" s="14"/>
      <c r="Y2680" s="15"/>
      <c r="Z2680" s="14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4"/>
      <c r="U2681" s="14"/>
      <c r="V2681" s="14"/>
      <c r="W2681" s="14"/>
      <c r="X2681" s="14"/>
      <c r="Y2681" s="15"/>
      <c r="Z2681" s="14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4"/>
      <c r="U2682" s="14"/>
      <c r="V2682" s="14"/>
      <c r="W2682" s="14"/>
      <c r="X2682" s="14"/>
      <c r="Y2682" s="15"/>
      <c r="Z2682" s="14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4"/>
      <c r="U2683" s="14"/>
      <c r="V2683" s="14"/>
      <c r="W2683" s="14"/>
      <c r="X2683" s="14"/>
      <c r="Y2683" s="15"/>
      <c r="Z2683" s="14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4"/>
      <c r="U2684" s="14"/>
      <c r="V2684" s="14"/>
      <c r="W2684" s="14"/>
      <c r="X2684" s="14"/>
      <c r="Y2684" s="15"/>
      <c r="Z2684" s="14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4"/>
      <c r="U2685" s="14"/>
      <c r="V2685" s="14"/>
      <c r="W2685" s="14"/>
      <c r="X2685" s="14"/>
      <c r="Y2685" s="15"/>
      <c r="Z2685" s="14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4"/>
      <c r="U2686" s="14"/>
      <c r="V2686" s="14"/>
      <c r="W2686" s="14"/>
      <c r="X2686" s="14"/>
      <c r="Y2686" s="15"/>
      <c r="Z2686" s="14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4"/>
      <c r="U2687" s="14"/>
      <c r="V2687" s="14"/>
      <c r="W2687" s="14"/>
      <c r="X2687" s="14"/>
      <c r="Y2687" s="15"/>
      <c r="Z2687" s="14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4"/>
      <c r="U2688" s="14"/>
      <c r="V2688" s="14"/>
      <c r="W2688" s="14"/>
      <c r="X2688" s="14"/>
      <c r="Y2688" s="15"/>
      <c r="Z2688" s="14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4"/>
      <c r="U2689" s="14"/>
      <c r="V2689" s="14"/>
      <c r="W2689" s="14"/>
      <c r="X2689" s="14"/>
      <c r="Y2689" s="15"/>
      <c r="Z2689" s="14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4"/>
      <c r="U2690" s="14"/>
      <c r="V2690" s="14"/>
      <c r="W2690" s="14"/>
      <c r="X2690" s="14"/>
      <c r="Y2690" s="15"/>
      <c r="Z2690" s="14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4"/>
      <c r="U2691" s="14"/>
      <c r="V2691" s="14"/>
      <c r="W2691" s="14"/>
      <c r="X2691" s="14"/>
      <c r="Y2691" s="15"/>
      <c r="Z2691" s="14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4"/>
      <c r="U2692" s="14"/>
      <c r="V2692" s="14"/>
      <c r="W2692" s="14"/>
      <c r="X2692" s="14"/>
      <c r="Y2692" s="15"/>
      <c r="Z2692" s="14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4"/>
      <c r="U2693" s="14"/>
      <c r="V2693" s="14"/>
      <c r="W2693" s="14"/>
      <c r="X2693" s="14"/>
      <c r="Y2693" s="15"/>
      <c r="Z2693" s="14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4"/>
      <c r="U2694" s="14"/>
      <c r="V2694" s="14"/>
      <c r="W2694" s="14"/>
      <c r="X2694" s="14"/>
      <c r="Y2694" s="15"/>
      <c r="Z2694" s="14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4"/>
      <c r="U2695" s="14"/>
      <c r="V2695" s="14"/>
      <c r="W2695" s="14"/>
      <c r="X2695" s="14"/>
      <c r="Y2695" s="15"/>
      <c r="Z2695" s="14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4"/>
      <c r="U2696" s="14"/>
      <c r="V2696" s="14"/>
      <c r="W2696" s="14"/>
      <c r="X2696" s="14"/>
      <c r="Y2696" s="15"/>
      <c r="Z2696" s="14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4"/>
      <c r="U2697" s="14"/>
      <c r="V2697" s="14"/>
      <c r="W2697" s="14"/>
      <c r="X2697" s="14"/>
      <c r="Y2697" s="15"/>
      <c r="Z2697" s="14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4"/>
      <c r="U2698" s="14"/>
      <c r="V2698" s="14"/>
      <c r="W2698" s="14"/>
      <c r="X2698" s="14"/>
      <c r="Y2698" s="15"/>
      <c r="Z2698" s="14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4"/>
      <c r="U2699" s="14"/>
      <c r="V2699" s="14"/>
      <c r="W2699" s="14"/>
      <c r="X2699" s="14"/>
      <c r="Y2699" s="15"/>
      <c r="Z2699" s="14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4"/>
      <c r="U2700" s="14"/>
      <c r="V2700" s="14"/>
      <c r="W2700" s="14"/>
      <c r="X2700" s="14"/>
      <c r="Y2700" s="15"/>
      <c r="Z2700" s="14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4"/>
      <c r="U2701" s="14"/>
      <c r="V2701" s="14"/>
      <c r="W2701" s="14"/>
      <c r="X2701" s="14"/>
      <c r="Y2701" s="15"/>
      <c r="Z2701" s="14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4"/>
      <c r="U2702" s="14"/>
      <c r="V2702" s="14"/>
      <c r="W2702" s="14"/>
      <c r="X2702" s="14"/>
      <c r="Y2702" s="15"/>
      <c r="Z2702" s="14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4"/>
      <c r="U2703" s="14"/>
      <c r="V2703" s="14"/>
      <c r="W2703" s="14"/>
      <c r="X2703" s="14"/>
      <c r="Y2703" s="15"/>
      <c r="Z2703" s="14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4"/>
      <c r="U2704" s="14"/>
      <c r="V2704" s="14"/>
      <c r="W2704" s="14"/>
      <c r="X2704" s="14"/>
      <c r="Y2704" s="15"/>
      <c r="Z2704" s="14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4"/>
      <c r="U2705" s="14"/>
      <c r="V2705" s="14"/>
      <c r="W2705" s="14"/>
      <c r="X2705" s="14"/>
      <c r="Y2705" s="15"/>
      <c r="Z2705" s="14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4"/>
      <c r="U2706" s="14"/>
      <c r="V2706" s="14"/>
      <c r="W2706" s="14"/>
      <c r="X2706" s="14"/>
      <c r="Y2706" s="15"/>
      <c r="Z2706" s="14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4"/>
      <c r="U2707" s="14"/>
      <c r="V2707" s="14"/>
      <c r="W2707" s="14"/>
      <c r="X2707" s="14"/>
      <c r="Y2707" s="15"/>
      <c r="Z2707" s="14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4"/>
      <c r="U2708" s="14"/>
      <c r="V2708" s="14"/>
      <c r="W2708" s="14"/>
      <c r="X2708" s="14"/>
      <c r="Y2708" s="15"/>
      <c r="Z2708" s="14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4"/>
      <c r="U2709" s="14"/>
      <c r="V2709" s="14"/>
      <c r="W2709" s="14"/>
      <c r="X2709" s="14"/>
      <c r="Y2709" s="15"/>
      <c r="Z2709" s="14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4"/>
      <c r="U2710" s="14"/>
      <c r="V2710" s="14"/>
      <c r="W2710" s="14"/>
      <c r="X2710" s="14"/>
      <c r="Y2710" s="15"/>
      <c r="Z2710" s="14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4"/>
      <c r="U2711" s="14"/>
      <c r="V2711" s="14"/>
      <c r="W2711" s="14"/>
      <c r="X2711" s="14"/>
      <c r="Y2711" s="15"/>
      <c r="Z2711" s="14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4"/>
      <c r="U2712" s="14"/>
      <c r="V2712" s="14"/>
      <c r="W2712" s="14"/>
      <c r="X2712" s="14"/>
      <c r="Y2712" s="15"/>
      <c r="Z2712" s="14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4"/>
      <c r="U2713" s="14"/>
      <c r="V2713" s="14"/>
      <c r="W2713" s="14"/>
      <c r="X2713" s="14"/>
      <c r="Y2713" s="15"/>
      <c r="Z2713" s="14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4"/>
      <c r="U2714" s="14"/>
      <c r="V2714" s="14"/>
      <c r="W2714" s="14"/>
      <c r="X2714" s="14"/>
      <c r="Y2714" s="15"/>
      <c r="Z2714" s="14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4"/>
      <c r="U2715" s="14"/>
      <c r="V2715" s="14"/>
      <c r="W2715" s="14"/>
      <c r="X2715" s="14"/>
      <c r="Y2715" s="15"/>
      <c r="Z2715" s="14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4"/>
      <c r="U2716" s="14"/>
      <c r="V2716" s="14"/>
      <c r="W2716" s="14"/>
      <c r="X2716" s="14"/>
      <c r="Y2716" s="15"/>
      <c r="Z2716" s="14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4"/>
      <c r="U2717" s="14"/>
      <c r="V2717" s="14"/>
      <c r="W2717" s="14"/>
      <c r="X2717" s="14"/>
      <c r="Y2717" s="15"/>
      <c r="Z2717" s="14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4"/>
      <c r="U2718" s="14"/>
      <c r="V2718" s="14"/>
      <c r="W2718" s="14"/>
      <c r="X2718" s="14"/>
      <c r="Y2718" s="15"/>
      <c r="Z2718" s="14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4"/>
      <c r="U2719" s="14"/>
      <c r="V2719" s="14"/>
      <c r="W2719" s="14"/>
      <c r="X2719" s="14"/>
      <c r="Y2719" s="15"/>
      <c r="Z2719" s="14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4"/>
      <c r="U2720" s="14"/>
      <c r="V2720" s="14"/>
      <c r="W2720" s="14"/>
      <c r="X2720" s="14"/>
      <c r="Y2720" s="15"/>
      <c r="Z2720" s="14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4"/>
      <c r="U2721" s="14"/>
      <c r="V2721" s="14"/>
      <c r="W2721" s="14"/>
      <c r="X2721" s="14"/>
      <c r="Y2721" s="15"/>
      <c r="Z2721" s="14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4"/>
      <c r="U2722" s="14"/>
      <c r="V2722" s="14"/>
      <c r="W2722" s="14"/>
      <c r="X2722" s="14"/>
      <c r="Y2722" s="15"/>
      <c r="Z2722" s="14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4"/>
      <c r="U2723" s="14"/>
      <c r="V2723" s="14"/>
      <c r="W2723" s="14"/>
      <c r="X2723" s="14"/>
      <c r="Y2723" s="15"/>
      <c r="Z2723" s="14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4"/>
      <c r="U2724" s="14"/>
      <c r="V2724" s="14"/>
      <c r="W2724" s="14"/>
      <c r="X2724" s="14"/>
      <c r="Y2724" s="15"/>
      <c r="Z2724" s="14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4"/>
      <c r="U2725" s="14"/>
      <c r="V2725" s="14"/>
      <c r="W2725" s="14"/>
      <c r="X2725" s="14"/>
      <c r="Y2725" s="15"/>
      <c r="Z2725" s="14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4"/>
      <c r="U2726" s="14"/>
      <c r="V2726" s="14"/>
      <c r="W2726" s="14"/>
      <c r="X2726" s="14"/>
      <c r="Y2726" s="15"/>
      <c r="Z2726" s="14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4"/>
      <c r="U2727" s="14"/>
      <c r="V2727" s="14"/>
      <c r="W2727" s="14"/>
      <c r="X2727" s="14"/>
      <c r="Y2727" s="15"/>
      <c r="Z2727" s="14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4"/>
      <c r="U2728" s="14"/>
      <c r="V2728" s="14"/>
      <c r="W2728" s="14"/>
      <c r="X2728" s="14"/>
      <c r="Y2728" s="15"/>
      <c r="Z2728" s="14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4"/>
      <c r="U2729" s="14"/>
      <c r="V2729" s="14"/>
      <c r="W2729" s="14"/>
      <c r="X2729" s="14"/>
      <c r="Y2729" s="15"/>
      <c r="Z2729" s="14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4"/>
      <c r="U2730" s="14"/>
      <c r="V2730" s="14"/>
      <c r="W2730" s="14"/>
      <c r="X2730" s="14"/>
      <c r="Y2730" s="15"/>
      <c r="Z2730" s="14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4"/>
      <c r="U2731" s="14"/>
      <c r="V2731" s="14"/>
      <c r="W2731" s="14"/>
      <c r="X2731" s="14"/>
      <c r="Y2731" s="15"/>
      <c r="Z2731" s="14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4"/>
      <c r="U2732" s="14"/>
      <c r="V2732" s="14"/>
      <c r="W2732" s="14"/>
      <c r="X2732" s="14"/>
      <c r="Y2732" s="15"/>
      <c r="Z2732" s="14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4"/>
      <c r="U2733" s="14"/>
      <c r="V2733" s="14"/>
      <c r="W2733" s="14"/>
      <c r="X2733" s="14"/>
      <c r="Y2733" s="15"/>
      <c r="Z2733" s="14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4"/>
      <c r="U2734" s="14"/>
      <c r="V2734" s="14"/>
      <c r="W2734" s="14"/>
      <c r="X2734" s="14"/>
      <c r="Y2734" s="15"/>
      <c r="Z2734" s="14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4"/>
      <c r="U2735" s="14"/>
      <c r="V2735" s="14"/>
      <c r="W2735" s="14"/>
      <c r="X2735" s="14"/>
      <c r="Y2735" s="15"/>
      <c r="Z2735" s="14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4"/>
      <c r="U2736" s="14"/>
      <c r="V2736" s="14"/>
      <c r="W2736" s="14"/>
      <c r="X2736" s="14"/>
      <c r="Y2736" s="15"/>
      <c r="Z2736" s="14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4"/>
      <c r="U2737" s="14"/>
      <c r="V2737" s="14"/>
      <c r="W2737" s="14"/>
      <c r="X2737" s="14"/>
      <c r="Y2737" s="15"/>
      <c r="Z2737" s="14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4"/>
      <c r="U2738" s="14"/>
      <c r="V2738" s="14"/>
      <c r="W2738" s="14"/>
      <c r="X2738" s="14"/>
      <c r="Y2738" s="15"/>
      <c r="Z2738" s="14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4"/>
      <c r="U2739" s="14"/>
      <c r="V2739" s="14"/>
      <c r="W2739" s="14"/>
      <c r="X2739" s="14"/>
      <c r="Y2739" s="15"/>
      <c r="Z2739" s="14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4"/>
      <c r="U2740" s="14"/>
      <c r="V2740" s="14"/>
      <c r="W2740" s="14"/>
      <c r="X2740" s="14"/>
      <c r="Y2740" s="15"/>
      <c r="Z2740" s="14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4"/>
      <c r="U2741" s="14"/>
      <c r="V2741" s="14"/>
      <c r="W2741" s="14"/>
      <c r="X2741" s="14"/>
      <c r="Y2741" s="15"/>
      <c r="Z2741" s="14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4"/>
      <c r="U2742" s="14"/>
      <c r="V2742" s="14"/>
      <c r="W2742" s="14"/>
      <c r="X2742" s="14"/>
      <c r="Y2742" s="15"/>
      <c r="Z2742" s="14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4"/>
      <c r="U2743" s="14"/>
      <c r="V2743" s="14"/>
      <c r="W2743" s="14"/>
      <c r="X2743" s="14"/>
      <c r="Y2743" s="15"/>
      <c r="Z2743" s="14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4"/>
      <c r="U2744" s="14"/>
      <c r="V2744" s="14"/>
      <c r="W2744" s="14"/>
      <c r="X2744" s="14"/>
      <c r="Y2744" s="15"/>
      <c r="Z2744" s="14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4"/>
      <c r="U2745" s="14"/>
      <c r="V2745" s="14"/>
      <c r="W2745" s="14"/>
      <c r="X2745" s="14"/>
      <c r="Y2745" s="15"/>
      <c r="Z2745" s="14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4"/>
      <c r="U2746" s="14"/>
      <c r="V2746" s="14"/>
      <c r="W2746" s="14"/>
      <c r="X2746" s="14"/>
      <c r="Y2746" s="15"/>
      <c r="Z2746" s="14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4"/>
      <c r="U2747" s="14"/>
      <c r="V2747" s="14"/>
      <c r="W2747" s="14"/>
      <c r="X2747" s="14"/>
      <c r="Y2747" s="15"/>
      <c r="Z2747" s="14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4"/>
      <c r="U2748" s="14"/>
      <c r="V2748" s="14"/>
      <c r="W2748" s="14"/>
      <c r="X2748" s="14"/>
      <c r="Y2748" s="15"/>
      <c r="Z2748" s="14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4"/>
      <c r="U2749" s="14"/>
      <c r="V2749" s="14"/>
      <c r="W2749" s="14"/>
      <c r="X2749" s="14"/>
      <c r="Y2749" s="15"/>
      <c r="Z2749" s="14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4"/>
      <c r="U2750" s="14"/>
      <c r="V2750" s="14"/>
      <c r="W2750" s="14"/>
      <c r="X2750" s="14"/>
      <c r="Y2750" s="15"/>
      <c r="Z2750" s="14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4"/>
      <c r="U2751" s="14"/>
      <c r="V2751" s="14"/>
      <c r="W2751" s="14"/>
      <c r="X2751" s="14"/>
      <c r="Y2751" s="15"/>
      <c r="Z2751" s="14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4"/>
      <c r="U2752" s="14"/>
      <c r="V2752" s="14"/>
      <c r="W2752" s="14"/>
      <c r="X2752" s="14"/>
      <c r="Y2752" s="15"/>
      <c r="Z2752" s="14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4"/>
      <c r="U2753" s="14"/>
      <c r="V2753" s="14"/>
      <c r="W2753" s="14"/>
      <c r="X2753" s="14"/>
      <c r="Y2753" s="15"/>
      <c r="Z2753" s="14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4"/>
      <c r="U2754" s="14"/>
      <c r="V2754" s="14"/>
      <c r="W2754" s="14"/>
      <c r="X2754" s="14"/>
      <c r="Y2754" s="15"/>
      <c r="Z2754" s="14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4"/>
      <c r="U2755" s="14"/>
      <c r="V2755" s="14"/>
      <c r="W2755" s="14"/>
      <c r="X2755" s="14"/>
      <c r="Y2755" s="15"/>
      <c r="Z2755" s="14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4"/>
      <c r="U2756" s="14"/>
      <c r="V2756" s="14"/>
      <c r="W2756" s="14"/>
      <c r="X2756" s="14"/>
      <c r="Y2756" s="15"/>
      <c r="Z2756" s="14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4"/>
      <c r="U2757" s="14"/>
      <c r="V2757" s="14"/>
      <c r="W2757" s="14"/>
      <c r="X2757" s="14"/>
      <c r="Y2757" s="15"/>
      <c r="Z2757" s="14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4"/>
      <c r="U2758" s="14"/>
      <c r="V2758" s="14"/>
      <c r="W2758" s="14"/>
      <c r="X2758" s="14"/>
      <c r="Y2758" s="15"/>
      <c r="Z2758" s="14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4"/>
      <c r="U2759" s="14"/>
      <c r="V2759" s="14"/>
      <c r="W2759" s="14"/>
      <c r="X2759" s="14"/>
      <c r="Y2759" s="15"/>
      <c r="Z2759" s="14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4"/>
      <c r="U2760" s="14"/>
      <c r="V2760" s="14"/>
      <c r="W2760" s="14"/>
      <c r="X2760" s="14"/>
      <c r="Y2760" s="15"/>
      <c r="Z2760" s="14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4"/>
      <c r="U2761" s="14"/>
      <c r="V2761" s="14"/>
      <c r="W2761" s="14"/>
      <c r="X2761" s="14"/>
      <c r="Y2761" s="15"/>
      <c r="Z2761" s="14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4"/>
      <c r="U2762" s="14"/>
      <c r="V2762" s="14"/>
      <c r="W2762" s="14"/>
      <c r="X2762" s="14"/>
      <c r="Y2762" s="15"/>
      <c r="Z2762" s="14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4"/>
      <c r="U2763" s="14"/>
      <c r="V2763" s="14"/>
      <c r="W2763" s="14"/>
      <c r="X2763" s="14"/>
      <c r="Y2763" s="15"/>
      <c r="Z2763" s="14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4"/>
      <c r="U2764" s="14"/>
      <c r="V2764" s="14"/>
      <c r="W2764" s="14"/>
      <c r="X2764" s="14"/>
      <c r="Y2764" s="15"/>
      <c r="Z2764" s="14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4"/>
      <c r="U2765" s="14"/>
      <c r="V2765" s="14"/>
      <c r="W2765" s="14"/>
      <c r="X2765" s="14"/>
      <c r="Y2765" s="15"/>
      <c r="Z2765" s="14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4"/>
      <c r="U2766" s="14"/>
      <c r="V2766" s="14"/>
      <c r="W2766" s="14"/>
      <c r="X2766" s="14"/>
      <c r="Y2766" s="15"/>
      <c r="Z2766" s="14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4"/>
      <c r="U2767" s="14"/>
      <c r="V2767" s="14"/>
      <c r="W2767" s="14"/>
      <c r="X2767" s="14"/>
      <c r="Y2767" s="15"/>
      <c r="Z2767" s="14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4"/>
      <c r="U2768" s="14"/>
      <c r="V2768" s="14"/>
      <c r="W2768" s="14"/>
      <c r="X2768" s="14"/>
      <c r="Y2768" s="15"/>
      <c r="Z2768" s="14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4"/>
      <c r="U2769" s="14"/>
      <c r="V2769" s="14"/>
      <c r="W2769" s="14"/>
      <c r="X2769" s="14"/>
      <c r="Y2769" s="15"/>
      <c r="Z2769" s="14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4"/>
      <c r="U2770" s="14"/>
      <c r="V2770" s="14"/>
      <c r="W2770" s="14"/>
      <c r="X2770" s="14"/>
      <c r="Y2770" s="15"/>
      <c r="Z2770" s="14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4"/>
      <c r="U2771" s="14"/>
      <c r="V2771" s="14"/>
      <c r="W2771" s="14"/>
      <c r="X2771" s="14"/>
      <c r="Y2771" s="15"/>
      <c r="Z2771" s="14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4"/>
      <c r="U2772" s="14"/>
      <c r="V2772" s="14"/>
      <c r="W2772" s="14"/>
      <c r="X2772" s="14"/>
      <c r="Y2772" s="15"/>
      <c r="Z2772" s="14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4"/>
      <c r="U2773" s="14"/>
      <c r="V2773" s="14"/>
      <c r="W2773" s="14"/>
      <c r="X2773" s="14"/>
      <c r="Y2773" s="15"/>
      <c r="Z2773" s="14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4"/>
      <c r="U2774" s="14"/>
      <c r="V2774" s="14"/>
      <c r="W2774" s="14"/>
      <c r="X2774" s="14"/>
      <c r="Y2774" s="15"/>
      <c r="Z2774" s="14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4"/>
      <c r="U2775" s="14"/>
      <c r="V2775" s="14"/>
      <c r="W2775" s="14"/>
      <c r="X2775" s="14"/>
      <c r="Y2775" s="15"/>
      <c r="Z2775" s="14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4"/>
      <c r="U2776" s="14"/>
      <c r="V2776" s="14"/>
      <c r="W2776" s="14"/>
      <c r="X2776" s="14"/>
      <c r="Y2776" s="15"/>
      <c r="Z2776" s="14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4"/>
      <c r="U2777" s="14"/>
      <c r="V2777" s="14"/>
      <c r="W2777" s="14"/>
      <c r="X2777" s="14"/>
      <c r="Y2777" s="15"/>
      <c r="Z2777" s="14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4"/>
      <c r="U2778" s="14"/>
      <c r="V2778" s="14"/>
      <c r="W2778" s="14"/>
      <c r="X2778" s="14"/>
      <c r="Y2778" s="15"/>
      <c r="Z2778" s="14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4"/>
      <c r="U2779" s="14"/>
      <c r="V2779" s="14"/>
      <c r="W2779" s="14"/>
      <c r="X2779" s="14"/>
      <c r="Y2779" s="15"/>
      <c r="Z2779" s="14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4"/>
      <c r="U2780" s="14"/>
      <c r="V2780" s="14"/>
      <c r="W2780" s="14"/>
      <c r="X2780" s="14"/>
      <c r="Y2780" s="15"/>
      <c r="Z2780" s="14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4"/>
      <c r="U2781" s="14"/>
      <c r="V2781" s="14"/>
      <c r="W2781" s="14"/>
      <c r="X2781" s="14"/>
      <c r="Y2781" s="15"/>
      <c r="Z2781" s="14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4"/>
      <c r="U2782" s="14"/>
      <c r="V2782" s="14"/>
      <c r="W2782" s="14"/>
      <c r="X2782" s="14"/>
      <c r="Y2782" s="15"/>
      <c r="Z2782" s="14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4"/>
      <c r="U2783" s="14"/>
      <c r="V2783" s="14"/>
      <c r="W2783" s="14"/>
      <c r="X2783" s="14"/>
      <c r="Y2783" s="15"/>
      <c r="Z2783" s="14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4"/>
      <c r="U2784" s="14"/>
      <c r="V2784" s="14"/>
      <c r="W2784" s="14"/>
      <c r="X2784" s="14"/>
      <c r="Y2784" s="15"/>
      <c r="Z2784" s="14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4"/>
      <c r="U2785" s="14"/>
      <c r="V2785" s="14"/>
      <c r="W2785" s="14"/>
      <c r="X2785" s="14"/>
      <c r="Y2785" s="15"/>
      <c r="Z2785" s="14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4"/>
      <c r="U2786" s="14"/>
      <c r="V2786" s="14"/>
      <c r="W2786" s="14"/>
      <c r="X2786" s="14"/>
      <c r="Y2786" s="15"/>
      <c r="Z2786" s="14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4"/>
      <c r="U2787" s="14"/>
      <c r="V2787" s="14"/>
      <c r="W2787" s="14"/>
      <c r="X2787" s="14"/>
      <c r="Y2787" s="15"/>
      <c r="Z2787" s="14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4"/>
      <c r="U2788" s="14"/>
      <c r="V2788" s="14"/>
      <c r="W2788" s="14"/>
      <c r="X2788" s="14"/>
      <c r="Y2788" s="15"/>
      <c r="Z2788" s="14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4"/>
      <c r="U2789" s="14"/>
      <c r="V2789" s="14"/>
      <c r="W2789" s="14"/>
      <c r="X2789" s="14"/>
      <c r="Y2789" s="15"/>
      <c r="Z2789" s="14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4"/>
      <c r="U2790" s="14"/>
      <c r="V2790" s="14"/>
      <c r="W2790" s="14"/>
      <c r="X2790" s="14"/>
      <c r="Y2790" s="15"/>
      <c r="Z2790" s="14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4"/>
      <c r="U2791" s="14"/>
      <c r="V2791" s="14"/>
      <c r="W2791" s="14"/>
      <c r="X2791" s="14"/>
      <c r="Y2791" s="15"/>
      <c r="Z2791" s="14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4"/>
      <c r="U2792" s="14"/>
      <c r="V2792" s="14"/>
      <c r="W2792" s="14"/>
      <c r="X2792" s="14"/>
      <c r="Y2792" s="15"/>
      <c r="Z2792" s="14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4"/>
      <c r="U2793" s="14"/>
      <c r="V2793" s="14"/>
      <c r="W2793" s="14"/>
      <c r="X2793" s="14"/>
      <c r="Y2793" s="15"/>
      <c r="Z2793" s="14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4"/>
      <c r="U2794" s="14"/>
      <c r="V2794" s="14"/>
      <c r="W2794" s="14"/>
      <c r="X2794" s="14"/>
      <c r="Y2794" s="15"/>
      <c r="Z2794" s="14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4"/>
      <c r="U2795" s="14"/>
      <c r="V2795" s="14"/>
      <c r="W2795" s="14"/>
      <c r="X2795" s="14"/>
      <c r="Y2795" s="15"/>
      <c r="Z2795" s="14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4"/>
      <c r="U2796" s="14"/>
      <c r="V2796" s="14"/>
      <c r="W2796" s="14"/>
      <c r="X2796" s="14"/>
      <c r="Y2796" s="15"/>
      <c r="Z2796" s="14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4"/>
      <c r="U2797" s="14"/>
      <c r="V2797" s="14"/>
      <c r="W2797" s="14"/>
      <c r="X2797" s="14"/>
      <c r="Y2797" s="15"/>
      <c r="Z2797" s="14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4"/>
      <c r="U2798" s="14"/>
      <c r="V2798" s="14"/>
      <c r="W2798" s="14"/>
      <c r="X2798" s="14"/>
      <c r="Y2798" s="15"/>
      <c r="Z2798" s="14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4"/>
      <c r="U2799" s="14"/>
      <c r="V2799" s="14"/>
      <c r="W2799" s="14"/>
      <c r="X2799" s="14"/>
      <c r="Y2799" s="15"/>
      <c r="Z2799" s="14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4"/>
      <c r="U2800" s="14"/>
      <c r="V2800" s="14"/>
      <c r="W2800" s="14"/>
      <c r="X2800" s="14"/>
      <c r="Y2800" s="15"/>
      <c r="Z2800" s="14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4"/>
      <c r="U2801" s="14"/>
      <c r="V2801" s="14"/>
      <c r="W2801" s="14"/>
      <c r="X2801" s="14"/>
      <c r="Y2801" s="15"/>
      <c r="Z2801" s="14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4"/>
      <c r="U2802" s="14"/>
      <c r="V2802" s="14"/>
      <c r="W2802" s="14"/>
      <c r="X2802" s="14"/>
      <c r="Y2802" s="15"/>
      <c r="Z2802" s="14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4"/>
      <c r="U2803" s="14"/>
      <c r="V2803" s="14"/>
      <c r="W2803" s="14"/>
      <c r="X2803" s="14"/>
      <c r="Y2803" s="15"/>
      <c r="Z2803" s="14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4"/>
      <c r="U2804" s="14"/>
      <c r="V2804" s="14"/>
      <c r="W2804" s="14"/>
      <c r="X2804" s="14"/>
      <c r="Y2804" s="15"/>
      <c r="Z2804" s="14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4"/>
      <c r="U2805" s="14"/>
      <c r="V2805" s="14"/>
      <c r="W2805" s="14"/>
      <c r="X2805" s="14"/>
      <c r="Y2805" s="15"/>
      <c r="Z2805" s="14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4"/>
      <c r="U2806" s="14"/>
      <c r="V2806" s="14"/>
      <c r="W2806" s="14"/>
      <c r="X2806" s="14"/>
      <c r="Y2806" s="15"/>
      <c r="Z2806" s="14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4"/>
      <c r="U2807" s="14"/>
      <c r="V2807" s="14"/>
      <c r="W2807" s="14"/>
      <c r="X2807" s="14"/>
      <c r="Y2807" s="15"/>
      <c r="Z2807" s="14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4"/>
      <c r="U2808" s="14"/>
      <c r="V2808" s="14"/>
      <c r="W2808" s="14"/>
      <c r="X2808" s="14"/>
      <c r="Y2808" s="15"/>
      <c r="Z2808" s="14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4"/>
      <c r="U2809" s="14"/>
      <c r="V2809" s="14"/>
      <c r="W2809" s="14"/>
      <c r="X2809" s="14"/>
      <c r="Y2809" s="15"/>
      <c r="Z2809" s="14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4"/>
      <c r="U2810" s="14"/>
      <c r="V2810" s="14"/>
      <c r="W2810" s="14"/>
      <c r="X2810" s="14"/>
      <c r="Y2810" s="15"/>
      <c r="Z2810" s="14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4"/>
      <c r="U2811" s="14"/>
      <c r="V2811" s="14"/>
      <c r="W2811" s="14"/>
      <c r="X2811" s="14"/>
      <c r="Y2811" s="15"/>
      <c r="Z2811" s="14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4"/>
      <c r="U2812" s="14"/>
      <c r="V2812" s="14"/>
      <c r="W2812" s="14"/>
      <c r="X2812" s="14"/>
      <c r="Y2812" s="15"/>
      <c r="Z2812" s="14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4"/>
      <c r="U2813" s="14"/>
      <c r="V2813" s="14"/>
      <c r="W2813" s="14"/>
      <c r="X2813" s="14"/>
      <c r="Y2813" s="15"/>
      <c r="Z2813" s="14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4"/>
      <c r="U2814" s="14"/>
      <c r="V2814" s="14"/>
      <c r="W2814" s="14"/>
      <c r="X2814" s="14"/>
      <c r="Y2814" s="15"/>
      <c r="Z2814" s="14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4"/>
      <c r="U2815" s="14"/>
      <c r="V2815" s="14"/>
      <c r="W2815" s="14"/>
      <c r="X2815" s="14"/>
      <c r="Y2815" s="15"/>
      <c r="Z2815" s="14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4"/>
      <c r="U2816" s="14"/>
      <c r="V2816" s="14"/>
      <c r="W2816" s="14"/>
      <c r="X2816" s="14"/>
      <c r="Y2816" s="15"/>
      <c r="Z2816" s="14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4"/>
      <c r="U2817" s="14"/>
      <c r="V2817" s="14"/>
      <c r="W2817" s="14"/>
      <c r="X2817" s="14"/>
      <c r="Y2817" s="15"/>
      <c r="Z2817" s="14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4"/>
      <c r="U2818" s="14"/>
      <c r="V2818" s="14"/>
      <c r="W2818" s="14"/>
      <c r="X2818" s="14"/>
      <c r="Y2818" s="15"/>
      <c r="Z2818" s="14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4"/>
      <c r="U2819" s="14"/>
      <c r="V2819" s="14"/>
      <c r="W2819" s="14"/>
      <c r="X2819" s="14"/>
      <c r="Y2819" s="15"/>
      <c r="Z2819" s="14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4"/>
      <c r="U2820" s="14"/>
      <c r="V2820" s="14"/>
      <c r="W2820" s="14"/>
      <c r="X2820" s="14"/>
      <c r="Y2820" s="15"/>
      <c r="Z2820" s="14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4"/>
      <c r="U2821" s="14"/>
      <c r="V2821" s="14"/>
      <c r="W2821" s="14"/>
      <c r="X2821" s="14"/>
      <c r="Y2821" s="15"/>
      <c r="Z2821" s="14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4"/>
      <c r="U2822" s="14"/>
      <c r="V2822" s="14"/>
      <c r="W2822" s="14"/>
      <c r="X2822" s="14"/>
      <c r="Y2822" s="15"/>
      <c r="Z2822" s="14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4"/>
      <c r="U2823" s="14"/>
      <c r="V2823" s="14"/>
      <c r="W2823" s="14"/>
      <c r="X2823" s="14"/>
      <c r="Y2823" s="15"/>
      <c r="Z2823" s="14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4"/>
      <c r="U2824" s="14"/>
      <c r="V2824" s="14"/>
      <c r="W2824" s="14"/>
      <c r="X2824" s="14"/>
      <c r="Y2824" s="15"/>
      <c r="Z2824" s="14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4"/>
      <c r="U2825" s="14"/>
      <c r="V2825" s="14"/>
      <c r="W2825" s="14"/>
      <c r="X2825" s="14"/>
      <c r="Y2825" s="15"/>
      <c r="Z2825" s="14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4"/>
      <c r="U2826" s="14"/>
      <c r="V2826" s="14"/>
      <c r="W2826" s="14"/>
      <c r="X2826" s="14"/>
      <c r="Y2826" s="15"/>
      <c r="Z2826" s="14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4"/>
      <c r="U2827" s="14"/>
      <c r="V2827" s="14"/>
      <c r="W2827" s="14"/>
      <c r="X2827" s="14"/>
      <c r="Y2827" s="15"/>
      <c r="Z2827" s="14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4"/>
      <c r="U2828" s="14"/>
      <c r="V2828" s="14"/>
      <c r="W2828" s="14"/>
      <c r="X2828" s="14"/>
      <c r="Y2828" s="15"/>
      <c r="Z2828" s="14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4"/>
      <c r="U2829" s="14"/>
      <c r="V2829" s="14"/>
      <c r="W2829" s="14"/>
      <c r="X2829" s="14"/>
      <c r="Y2829" s="15"/>
      <c r="Z2829" s="14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4"/>
      <c r="U2830" s="14"/>
      <c r="V2830" s="14"/>
      <c r="W2830" s="14"/>
      <c r="X2830" s="14"/>
      <c r="Y2830" s="15"/>
      <c r="Z2830" s="14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4"/>
      <c r="U2831" s="14"/>
      <c r="V2831" s="14"/>
      <c r="W2831" s="14"/>
      <c r="X2831" s="14"/>
      <c r="Y2831" s="15"/>
      <c r="Z2831" s="14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4"/>
      <c r="U2832" s="14"/>
      <c r="V2832" s="14"/>
      <c r="W2832" s="14"/>
      <c r="X2832" s="14"/>
      <c r="Y2832" s="15"/>
      <c r="Z2832" s="14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4"/>
      <c r="U2833" s="14"/>
      <c r="V2833" s="14"/>
      <c r="W2833" s="14"/>
      <c r="X2833" s="14"/>
      <c r="Y2833" s="15"/>
      <c r="Z2833" s="14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4"/>
      <c r="U2834" s="14"/>
      <c r="V2834" s="14"/>
      <c r="W2834" s="14"/>
      <c r="X2834" s="14"/>
      <c r="Y2834" s="15"/>
      <c r="Z2834" s="14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4"/>
      <c r="U2835" s="14"/>
      <c r="V2835" s="14"/>
      <c r="W2835" s="14"/>
      <c r="X2835" s="14"/>
      <c r="Y2835" s="15"/>
      <c r="Z2835" s="14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4"/>
      <c r="U2836" s="14"/>
      <c r="V2836" s="14"/>
      <c r="W2836" s="14"/>
      <c r="X2836" s="14"/>
      <c r="Y2836" s="15"/>
      <c r="Z2836" s="14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4"/>
      <c r="U2837" s="14"/>
      <c r="V2837" s="14"/>
      <c r="W2837" s="14"/>
      <c r="X2837" s="14"/>
      <c r="Y2837" s="15"/>
      <c r="Z2837" s="14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4"/>
      <c r="U2838" s="14"/>
      <c r="V2838" s="14"/>
      <c r="W2838" s="14"/>
      <c r="X2838" s="14"/>
      <c r="Y2838" s="15"/>
      <c r="Z2838" s="14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4"/>
      <c r="U2839" s="14"/>
      <c r="V2839" s="14"/>
      <c r="W2839" s="14"/>
      <c r="X2839" s="14"/>
      <c r="Y2839" s="15"/>
      <c r="Z2839" s="14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4"/>
      <c r="U2840" s="14"/>
      <c r="V2840" s="14"/>
      <c r="W2840" s="14"/>
      <c r="X2840" s="14"/>
      <c r="Y2840" s="15"/>
      <c r="Z2840" s="14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4"/>
      <c r="U2841" s="14"/>
      <c r="V2841" s="14"/>
      <c r="W2841" s="14"/>
      <c r="X2841" s="14"/>
      <c r="Y2841" s="15"/>
      <c r="Z2841" s="14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4"/>
      <c r="U2842" s="14"/>
      <c r="V2842" s="14"/>
      <c r="W2842" s="14"/>
      <c r="X2842" s="14"/>
      <c r="Y2842" s="15"/>
      <c r="Z2842" s="14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4"/>
      <c r="U2843" s="14"/>
      <c r="V2843" s="14"/>
      <c r="W2843" s="14"/>
      <c r="X2843" s="14"/>
      <c r="Y2843" s="15"/>
      <c r="Z2843" s="14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4"/>
      <c r="U2844" s="14"/>
      <c r="V2844" s="14"/>
      <c r="W2844" s="14"/>
      <c r="X2844" s="14"/>
      <c r="Y2844" s="15"/>
      <c r="Z2844" s="14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4"/>
      <c r="U2845" s="14"/>
      <c r="V2845" s="14"/>
      <c r="W2845" s="14"/>
      <c r="X2845" s="14"/>
      <c r="Y2845" s="15"/>
      <c r="Z2845" s="14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4"/>
      <c r="U2846" s="14"/>
      <c r="V2846" s="14"/>
      <c r="W2846" s="14"/>
      <c r="X2846" s="14"/>
      <c r="Y2846" s="15"/>
      <c r="Z2846" s="14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4"/>
      <c r="U2847" s="14"/>
      <c r="V2847" s="14"/>
      <c r="W2847" s="14"/>
      <c r="X2847" s="14"/>
      <c r="Y2847" s="15"/>
      <c r="Z2847" s="14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4"/>
      <c r="U2848" s="14"/>
      <c r="V2848" s="14"/>
      <c r="W2848" s="14"/>
      <c r="X2848" s="14"/>
      <c r="Y2848" s="15"/>
      <c r="Z2848" s="14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4"/>
      <c r="U2849" s="14"/>
      <c r="V2849" s="14"/>
      <c r="W2849" s="14"/>
      <c r="X2849" s="14"/>
      <c r="Y2849" s="15"/>
      <c r="Z2849" s="14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4"/>
      <c r="U2850" s="14"/>
      <c r="V2850" s="14"/>
      <c r="W2850" s="14"/>
      <c r="X2850" s="14"/>
      <c r="Y2850" s="15"/>
      <c r="Z2850" s="14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4"/>
      <c r="U2851" s="14"/>
      <c r="V2851" s="14"/>
      <c r="W2851" s="14"/>
      <c r="X2851" s="14"/>
      <c r="Y2851" s="15"/>
      <c r="Z2851" s="14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4"/>
      <c r="U2852" s="14"/>
      <c r="V2852" s="14"/>
      <c r="W2852" s="14"/>
      <c r="X2852" s="14"/>
      <c r="Y2852" s="15"/>
      <c r="Z2852" s="14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4"/>
      <c r="U2853" s="14"/>
      <c r="V2853" s="14"/>
      <c r="W2853" s="14"/>
      <c r="X2853" s="14"/>
      <c r="Y2853" s="15"/>
      <c r="Z2853" s="14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4"/>
      <c r="U2854" s="14"/>
      <c r="V2854" s="14"/>
      <c r="W2854" s="14"/>
      <c r="X2854" s="14"/>
      <c r="Y2854" s="15"/>
      <c r="Z2854" s="14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4"/>
      <c r="U2855" s="14"/>
      <c r="V2855" s="14"/>
      <c r="W2855" s="14"/>
      <c r="X2855" s="14"/>
      <c r="Y2855" s="15"/>
      <c r="Z2855" s="14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4"/>
      <c r="U2856" s="14"/>
      <c r="V2856" s="14"/>
      <c r="W2856" s="14"/>
      <c r="X2856" s="14"/>
      <c r="Y2856" s="15"/>
      <c r="Z2856" s="14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4"/>
      <c r="U2857" s="14"/>
      <c r="V2857" s="14"/>
      <c r="W2857" s="14"/>
      <c r="X2857" s="14"/>
      <c r="Y2857" s="15"/>
      <c r="Z2857" s="14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4"/>
      <c r="U2858" s="14"/>
      <c r="V2858" s="14"/>
      <c r="W2858" s="14"/>
      <c r="X2858" s="14"/>
      <c r="Y2858" s="15"/>
      <c r="Z2858" s="14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4"/>
      <c r="U2859" s="14"/>
      <c r="V2859" s="14"/>
      <c r="W2859" s="14"/>
      <c r="X2859" s="14"/>
      <c r="Y2859" s="15"/>
      <c r="Z2859" s="14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4"/>
      <c r="U2860" s="14"/>
      <c r="V2860" s="14"/>
      <c r="W2860" s="14"/>
      <c r="X2860" s="14"/>
      <c r="Y2860" s="15"/>
      <c r="Z2860" s="14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4"/>
      <c r="U2861" s="14"/>
      <c r="V2861" s="14"/>
      <c r="W2861" s="14"/>
      <c r="X2861" s="14"/>
      <c r="Y2861" s="15"/>
      <c r="Z2861" s="14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4"/>
      <c r="U2862" s="14"/>
      <c r="V2862" s="14"/>
      <c r="W2862" s="14"/>
      <c r="X2862" s="14"/>
      <c r="Y2862" s="15"/>
      <c r="Z2862" s="14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4"/>
      <c r="U2863" s="14"/>
      <c r="V2863" s="14"/>
      <c r="W2863" s="14"/>
      <c r="X2863" s="14"/>
      <c r="Y2863" s="15"/>
      <c r="Z2863" s="14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4"/>
      <c r="U2864" s="14"/>
      <c r="V2864" s="14"/>
      <c r="W2864" s="14"/>
      <c r="X2864" s="14"/>
      <c r="Y2864" s="15"/>
      <c r="Z2864" s="14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4"/>
      <c r="U2865" s="14"/>
      <c r="V2865" s="14"/>
      <c r="W2865" s="14"/>
      <c r="X2865" s="14"/>
      <c r="Y2865" s="15"/>
      <c r="Z2865" s="14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4"/>
      <c r="U2866" s="14"/>
      <c r="V2866" s="14"/>
      <c r="W2866" s="14"/>
      <c r="X2866" s="14"/>
      <c r="Y2866" s="15"/>
      <c r="Z2866" s="14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4"/>
      <c r="U2867" s="14"/>
      <c r="V2867" s="14"/>
      <c r="W2867" s="14"/>
      <c r="X2867" s="14"/>
      <c r="Y2867" s="15"/>
      <c r="Z2867" s="14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4"/>
      <c r="U2868" s="14"/>
      <c r="V2868" s="14"/>
      <c r="W2868" s="14"/>
      <c r="X2868" s="14"/>
      <c r="Y2868" s="15"/>
      <c r="Z2868" s="14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4"/>
      <c r="U2869" s="14"/>
      <c r="V2869" s="14"/>
      <c r="W2869" s="14"/>
      <c r="X2869" s="14"/>
      <c r="Y2869" s="15"/>
      <c r="Z2869" s="14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4"/>
      <c r="U2870" s="14"/>
      <c r="V2870" s="14"/>
      <c r="W2870" s="14"/>
      <c r="X2870" s="14"/>
      <c r="Y2870" s="15"/>
      <c r="Z2870" s="14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4"/>
      <c r="U2871" s="14"/>
      <c r="V2871" s="14"/>
      <c r="W2871" s="14"/>
      <c r="X2871" s="14"/>
      <c r="Y2871" s="15"/>
      <c r="Z2871" s="14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4"/>
      <c r="U2872" s="14"/>
      <c r="V2872" s="14"/>
      <c r="W2872" s="14"/>
      <c r="X2872" s="14"/>
      <c r="Y2872" s="15"/>
      <c r="Z2872" s="14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4"/>
      <c r="U2873" s="14"/>
      <c r="V2873" s="14"/>
      <c r="W2873" s="14"/>
      <c r="X2873" s="14"/>
      <c r="Y2873" s="15"/>
      <c r="Z2873" s="14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4"/>
      <c r="U2874" s="14"/>
      <c r="V2874" s="14"/>
      <c r="W2874" s="14"/>
      <c r="X2874" s="14"/>
      <c r="Y2874" s="15"/>
      <c r="Z2874" s="14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4"/>
      <c r="U2875" s="14"/>
      <c r="V2875" s="14"/>
      <c r="W2875" s="14"/>
      <c r="X2875" s="14"/>
      <c r="Y2875" s="15"/>
      <c r="Z2875" s="14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4"/>
      <c r="U2876" s="14"/>
      <c r="V2876" s="14"/>
      <c r="W2876" s="14"/>
      <c r="X2876" s="14"/>
      <c r="Y2876" s="15"/>
      <c r="Z2876" s="14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4"/>
      <c r="U2877" s="14"/>
      <c r="V2877" s="14"/>
      <c r="W2877" s="14"/>
      <c r="X2877" s="14"/>
      <c r="Y2877" s="15"/>
      <c r="Z2877" s="14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4"/>
      <c r="U2878" s="14"/>
      <c r="V2878" s="14"/>
      <c r="W2878" s="14"/>
      <c r="X2878" s="14"/>
      <c r="Y2878" s="15"/>
      <c r="Z2878" s="14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4"/>
      <c r="U2879" s="14"/>
      <c r="V2879" s="14"/>
      <c r="W2879" s="14"/>
      <c r="X2879" s="14"/>
      <c r="Y2879" s="15"/>
      <c r="Z2879" s="14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4"/>
      <c r="U2880" s="14"/>
      <c r="V2880" s="14"/>
      <c r="W2880" s="14"/>
      <c r="X2880" s="14"/>
      <c r="Y2880" s="15"/>
      <c r="Z2880" s="14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4"/>
      <c r="U2881" s="14"/>
      <c r="V2881" s="14"/>
      <c r="W2881" s="14"/>
      <c r="X2881" s="14"/>
      <c r="Y2881" s="15"/>
      <c r="Z2881" s="14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4"/>
      <c r="U2882" s="14"/>
      <c r="V2882" s="14"/>
      <c r="W2882" s="14"/>
      <c r="X2882" s="14"/>
      <c r="Y2882" s="15"/>
      <c r="Z2882" s="14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4"/>
      <c r="U2883" s="14"/>
      <c r="V2883" s="14"/>
      <c r="W2883" s="14"/>
      <c r="X2883" s="14"/>
      <c r="Y2883" s="15"/>
      <c r="Z2883" s="14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4"/>
      <c r="U2884" s="14"/>
      <c r="V2884" s="14"/>
      <c r="W2884" s="14"/>
      <c r="X2884" s="14"/>
      <c r="Y2884" s="15"/>
      <c r="Z2884" s="14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4"/>
      <c r="U2885" s="14"/>
      <c r="V2885" s="14"/>
      <c r="W2885" s="14"/>
      <c r="X2885" s="14"/>
      <c r="Y2885" s="15"/>
      <c r="Z2885" s="14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4"/>
      <c r="U2886" s="14"/>
      <c r="V2886" s="14"/>
      <c r="W2886" s="14"/>
      <c r="X2886" s="14"/>
      <c r="Y2886" s="15"/>
      <c r="Z2886" s="14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4"/>
      <c r="U2887" s="14"/>
      <c r="V2887" s="14"/>
      <c r="W2887" s="14"/>
      <c r="X2887" s="14"/>
      <c r="Y2887" s="15"/>
      <c r="Z2887" s="14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4"/>
      <c r="U2888" s="14"/>
      <c r="V2888" s="14"/>
      <c r="W2888" s="14"/>
      <c r="X2888" s="14"/>
      <c r="Y2888" s="15"/>
      <c r="Z2888" s="14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4"/>
      <c r="U2889" s="14"/>
      <c r="V2889" s="14"/>
      <c r="W2889" s="14"/>
      <c r="X2889" s="14"/>
      <c r="Y2889" s="15"/>
      <c r="Z2889" s="14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4"/>
      <c r="U2890" s="14"/>
      <c r="V2890" s="14"/>
      <c r="W2890" s="14"/>
      <c r="X2890" s="14"/>
      <c r="Y2890" s="15"/>
      <c r="Z2890" s="14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4"/>
      <c r="U2891" s="14"/>
      <c r="V2891" s="14"/>
      <c r="W2891" s="14"/>
      <c r="X2891" s="14"/>
      <c r="Y2891" s="15"/>
      <c r="Z2891" s="14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4"/>
      <c r="U2892" s="14"/>
      <c r="V2892" s="14"/>
      <c r="W2892" s="14"/>
      <c r="X2892" s="14"/>
      <c r="Y2892" s="15"/>
      <c r="Z2892" s="14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4"/>
      <c r="U2893" s="14"/>
      <c r="V2893" s="14"/>
      <c r="W2893" s="14"/>
      <c r="X2893" s="14"/>
      <c r="Y2893" s="15"/>
      <c r="Z2893" s="14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4"/>
      <c r="U2894" s="14"/>
      <c r="V2894" s="14"/>
      <c r="W2894" s="14"/>
      <c r="X2894" s="14"/>
      <c r="Y2894" s="15"/>
      <c r="Z2894" s="14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4"/>
      <c r="U2895" s="14"/>
      <c r="V2895" s="14"/>
      <c r="W2895" s="14"/>
      <c r="X2895" s="14"/>
      <c r="Y2895" s="15"/>
      <c r="Z2895" s="14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4"/>
      <c r="U2896" s="14"/>
      <c r="V2896" s="14"/>
      <c r="W2896" s="14"/>
      <c r="X2896" s="14"/>
      <c r="Y2896" s="15"/>
      <c r="Z2896" s="14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4"/>
      <c r="U2897" s="14"/>
      <c r="V2897" s="14"/>
      <c r="W2897" s="14"/>
      <c r="X2897" s="14"/>
      <c r="Y2897" s="15"/>
      <c r="Z2897" s="14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4"/>
      <c r="U2898" s="14"/>
      <c r="V2898" s="14"/>
      <c r="W2898" s="14"/>
      <c r="X2898" s="14"/>
      <c r="Y2898" s="15"/>
      <c r="Z2898" s="14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4"/>
      <c r="U2899" s="14"/>
      <c r="V2899" s="14"/>
      <c r="W2899" s="14"/>
      <c r="X2899" s="14"/>
      <c r="Y2899" s="15"/>
      <c r="Z2899" s="14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4"/>
      <c r="U2900" s="14"/>
      <c r="V2900" s="14"/>
      <c r="W2900" s="14"/>
      <c r="X2900" s="14"/>
      <c r="Y2900" s="15"/>
      <c r="Z2900" s="14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4"/>
      <c r="U2901" s="14"/>
      <c r="V2901" s="14"/>
      <c r="W2901" s="14"/>
      <c r="X2901" s="14"/>
      <c r="Y2901" s="15"/>
      <c r="Z2901" s="14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4"/>
      <c r="U2902" s="14"/>
      <c r="V2902" s="14"/>
      <c r="W2902" s="14"/>
      <c r="X2902" s="14"/>
      <c r="Y2902" s="15"/>
      <c r="Z2902" s="14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4"/>
      <c r="U2903" s="14"/>
      <c r="V2903" s="14"/>
      <c r="W2903" s="14"/>
      <c r="X2903" s="14"/>
      <c r="Y2903" s="15"/>
      <c r="Z2903" s="14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4"/>
      <c r="U2904" s="14"/>
      <c r="V2904" s="14"/>
      <c r="W2904" s="14"/>
      <c r="X2904" s="14"/>
      <c r="Y2904" s="15"/>
      <c r="Z2904" s="14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4"/>
      <c r="U2905" s="14"/>
      <c r="V2905" s="14"/>
      <c r="W2905" s="14"/>
      <c r="X2905" s="14"/>
      <c r="Y2905" s="15"/>
      <c r="Z2905" s="14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4"/>
      <c r="U2906" s="14"/>
      <c r="V2906" s="14"/>
      <c r="W2906" s="14"/>
      <c r="X2906" s="14"/>
      <c r="Y2906" s="15"/>
      <c r="Z2906" s="14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4"/>
      <c r="U2907" s="14"/>
      <c r="V2907" s="14"/>
      <c r="W2907" s="14"/>
      <c r="X2907" s="14"/>
      <c r="Y2907" s="15"/>
      <c r="Z2907" s="14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4"/>
      <c r="U2908" s="14"/>
      <c r="V2908" s="14"/>
      <c r="W2908" s="14"/>
      <c r="X2908" s="14"/>
      <c r="Y2908" s="15"/>
      <c r="Z2908" s="14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4"/>
      <c r="U2909" s="14"/>
      <c r="V2909" s="14"/>
      <c r="W2909" s="14"/>
      <c r="X2909" s="14"/>
      <c r="Y2909" s="15"/>
      <c r="Z2909" s="14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4"/>
      <c r="U2910" s="14"/>
      <c r="V2910" s="14"/>
      <c r="W2910" s="14"/>
      <c r="X2910" s="14"/>
      <c r="Y2910" s="15"/>
      <c r="Z2910" s="14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4"/>
      <c r="U2911" s="14"/>
      <c r="V2911" s="14"/>
      <c r="W2911" s="14"/>
      <c r="X2911" s="14"/>
      <c r="Y2911" s="15"/>
      <c r="Z2911" s="14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4"/>
      <c r="U2912" s="14"/>
      <c r="V2912" s="14"/>
      <c r="W2912" s="14"/>
      <c r="X2912" s="14"/>
      <c r="Y2912" s="15"/>
      <c r="Z2912" s="14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4"/>
      <c r="U2913" s="14"/>
      <c r="V2913" s="14"/>
      <c r="W2913" s="14"/>
      <c r="X2913" s="14"/>
      <c r="Y2913" s="15"/>
      <c r="Z2913" s="14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4"/>
      <c r="U2914" s="14"/>
      <c r="V2914" s="14"/>
      <c r="W2914" s="14"/>
      <c r="X2914" s="14"/>
      <c r="Y2914" s="15"/>
      <c r="Z2914" s="14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4"/>
      <c r="U2915" s="14"/>
      <c r="V2915" s="14"/>
      <c r="W2915" s="14"/>
      <c r="X2915" s="14"/>
      <c r="Y2915" s="15"/>
      <c r="Z2915" s="14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4"/>
      <c r="U2916" s="14"/>
      <c r="V2916" s="14"/>
      <c r="W2916" s="14"/>
      <c r="X2916" s="14"/>
      <c r="Y2916" s="15"/>
      <c r="Z2916" s="14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4"/>
      <c r="U2917" s="14"/>
      <c r="V2917" s="14"/>
      <c r="W2917" s="14"/>
      <c r="X2917" s="14"/>
      <c r="Y2917" s="15"/>
      <c r="Z2917" s="14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4"/>
      <c r="U2918" s="14"/>
      <c r="V2918" s="14"/>
      <c r="W2918" s="14"/>
      <c r="X2918" s="14"/>
      <c r="Y2918" s="15"/>
      <c r="Z2918" s="14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4"/>
      <c r="U2919" s="14"/>
      <c r="V2919" s="14"/>
      <c r="W2919" s="14"/>
      <c r="X2919" s="14"/>
      <c r="Y2919" s="15"/>
      <c r="Z2919" s="14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4"/>
      <c r="U2920" s="14"/>
      <c r="V2920" s="14"/>
      <c r="W2920" s="14"/>
      <c r="X2920" s="14"/>
      <c r="Y2920" s="15"/>
      <c r="Z2920" s="14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4"/>
      <c r="U2921" s="14"/>
      <c r="V2921" s="14"/>
      <c r="W2921" s="14"/>
      <c r="X2921" s="14"/>
      <c r="Y2921" s="15"/>
      <c r="Z2921" s="14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4"/>
      <c r="U2922" s="14"/>
      <c r="V2922" s="14"/>
      <c r="W2922" s="14"/>
      <c r="X2922" s="14"/>
      <c r="Y2922" s="15"/>
      <c r="Z2922" s="14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4"/>
      <c r="U2923" s="14"/>
      <c r="V2923" s="14"/>
      <c r="W2923" s="14"/>
      <c r="X2923" s="14"/>
      <c r="Y2923" s="15"/>
      <c r="Z2923" s="14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4"/>
      <c r="U2924" s="14"/>
      <c r="V2924" s="14"/>
      <c r="W2924" s="14"/>
      <c r="X2924" s="14"/>
      <c r="Y2924" s="15"/>
      <c r="Z2924" s="14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4"/>
      <c r="U2925" s="14"/>
      <c r="V2925" s="14"/>
      <c r="W2925" s="14"/>
      <c r="X2925" s="14"/>
      <c r="Y2925" s="15"/>
      <c r="Z2925" s="14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4"/>
      <c r="U2926" s="14"/>
      <c r="V2926" s="14"/>
      <c r="W2926" s="14"/>
      <c r="X2926" s="14"/>
      <c r="Y2926" s="15"/>
      <c r="Z2926" s="14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4"/>
      <c r="U2927" s="14"/>
      <c r="V2927" s="14"/>
      <c r="W2927" s="14"/>
      <c r="X2927" s="14"/>
      <c r="Y2927" s="15"/>
      <c r="Z2927" s="14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4"/>
      <c r="U2928" s="14"/>
      <c r="V2928" s="14"/>
      <c r="W2928" s="14"/>
      <c r="X2928" s="14"/>
      <c r="Y2928" s="15"/>
      <c r="Z2928" s="14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4"/>
      <c r="U2929" s="14"/>
      <c r="V2929" s="14"/>
      <c r="W2929" s="14"/>
      <c r="X2929" s="14"/>
      <c r="Y2929" s="15"/>
      <c r="Z2929" s="14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4"/>
      <c r="U2930" s="14"/>
      <c r="V2930" s="14"/>
      <c r="W2930" s="14"/>
      <c r="X2930" s="14"/>
      <c r="Y2930" s="15"/>
      <c r="Z2930" s="14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4"/>
      <c r="U2931" s="14"/>
      <c r="V2931" s="14"/>
      <c r="W2931" s="14"/>
      <c r="X2931" s="14"/>
      <c r="Y2931" s="15"/>
      <c r="Z2931" s="14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4"/>
      <c r="U2932" s="14"/>
      <c r="V2932" s="14"/>
      <c r="W2932" s="14"/>
      <c r="X2932" s="14"/>
      <c r="Y2932" s="15"/>
      <c r="Z2932" s="14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4"/>
      <c r="U2933" s="14"/>
      <c r="V2933" s="14"/>
      <c r="W2933" s="14"/>
      <c r="X2933" s="14"/>
      <c r="Y2933" s="15"/>
      <c r="Z2933" s="14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4"/>
      <c r="U2934" s="14"/>
      <c r="V2934" s="14"/>
      <c r="W2934" s="14"/>
      <c r="X2934" s="14"/>
      <c r="Y2934" s="15"/>
      <c r="Z2934" s="14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4"/>
      <c r="U2935" s="14"/>
      <c r="V2935" s="14"/>
      <c r="W2935" s="14"/>
      <c r="X2935" s="14"/>
      <c r="Y2935" s="15"/>
      <c r="Z2935" s="14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4"/>
      <c r="U2936" s="14"/>
      <c r="V2936" s="14"/>
      <c r="W2936" s="14"/>
      <c r="X2936" s="14"/>
      <c r="Y2936" s="15"/>
      <c r="Z2936" s="14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4"/>
      <c r="U2937" s="14"/>
      <c r="V2937" s="14"/>
      <c r="W2937" s="14"/>
      <c r="X2937" s="14"/>
      <c r="Y2937" s="15"/>
      <c r="Z2937" s="14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4"/>
      <c r="U2938" s="14"/>
      <c r="V2938" s="14"/>
      <c r="W2938" s="14"/>
      <c r="X2938" s="14"/>
      <c r="Y2938" s="15"/>
      <c r="Z2938" s="14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4"/>
      <c r="U2939" s="14"/>
      <c r="V2939" s="14"/>
      <c r="W2939" s="14"/>
      <c r="X2939" s="14"/>
      <c r="Y2939" s="15"/>
      <c r="Z2939" s="14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4"/>
      <c r="U2940" s="14"/>
      <c r="V2940" s="14"/>
      <c r="W2940" s="14"/>
      <c r="X2940" s="14"/>
      <c r="Y2940" s="15"/>
      <c r="Z2940" s="14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4"/>
      <c r="U2941" s="14"/>
      <c r="V2941" s="14"/>
      <c r="W2941" s="14"/>
      <c r="X2941" s="14"/>
      <c r="Y2941" s="15"/>
      <c r="Z2941" s="14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4"/>
      <c r="U2942" s="14"/>
      <c r="V2942" s="14"/>
      <c r="W2942" s="14"/>
      <c r="X2942" s="14"/>
      <c r="Y2942" s="15"/>
      <c r="Z2942" s="14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4"/>
      <c r="U2943" s="14"/>
      <c r="V2943" s="14"/>
      <c r="W2943" s="14"/>
      <c r="X2943" s="14"/>
      <c r="Y2943" s="15"/>
      <c r="Z2943" s="14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4"/>
      <c r="U2944" s="14"/>
      <c r="V2944" s="14"/>
      <c r="W2944" s="14"/>
      <c r="X2944" s="14"/>
      <c r="Y2944" s="15"/>
      <c r="Z2944" s="14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4"/>
      <c r="U2945" s="14"/>
      <c r="V2945" s="14"/>
      <c r="W2945" s="14"/>
      <c r="X2945" s="14"/>
      <c r="Y2945" s="15"/>
      <c r="Z2945" s="14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4"/>
      <c r="U2946" s="14"/>
      <c r="V2946" s="14"/>
      <c r="W2946" s="14"/>
      <c r="X2946" s="14"/>
      <c r="Y2946" s="15"/>
      <c r="Z2946" s="14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4"/>
      <c r="U2947" s="14"/>
      <c r="V2947" s="14"/>
      <c r="W2947" s="14"/>
      <c r="X2947" s="14"/>
      <c r="Y2947" s="15"/>
      <c r="Z2947" s="14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4"/>
      <c r="U2948" s="14"/>
      <c r="V2948" s="14"/>
      <c r="W2948" s="14"/>
      <c r="X2948" s="14"/>
      <c r="Y2948" s="15"/>
      <c r="Z2948" s="14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4"/>
      <c r="U2949" s="14"/>
      <c r="V2949" s="14"/>
      <c r="W2949" s="14"/>
      <c r="X2949" s="14"/>
      <c r="Y2949" s="15"/>
      <c r="Z2949" s="14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4"/>
      <c r="U2950" s="14"/>
      <c r="V2950" s="14"/>
      <c r="W2950" s="14"/>
      <c r="X2950" s="14"/>
      <c r="Y2950" s="15"/>
      <c r="Z2950" s="14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4"/>
      <c r="U2951" s="14"/>
      <c r="V2951" s="14"/>
      <c r="W2951" s="14"/>
      <c r="X2951" s="14"/>
      <c r="Y2951" s="15"/>
      <c r="Z2951" s="14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4"/>
      <c r="U2952" s="14"/>
      <c r="V2952" s="14"/>
      <c r="W2952" s="14"/>
      <c r="X2952" s="14"/>
      <c r="Y2952" s="15"/>
      <c r="Z2952" s="14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4"/>
      <c r="U2953" s="14"/>
      <c r="V2953" s="14"/>
      <c r="W2953" s="14"/>
      <c r="X2953" s="14"/>
      <c r="Y2953" s="15"/>
      <c r="Z2953" s="14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4"/>
      <c r="U2954" s="14"/>
      <c r="V2954" s="14"/>
      <c r="W2954" s="14"/>
      <c r="X2954" s="14"/>
      <c r="Y2954" s="15"/>
      <c r="Z2954" s="14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4"/>
      <c r="U2955" s="14"/>
      <c r="V2955" s="14"/>
      <c r="W2955" s="14"/>
      <c r="X2955" s="14"/>
      <c r="Y2955" s="15"/>
      <c r="Z2955" s="14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4"/>
      <c r="U2956" s="14"/>
      <c r="V2956" s="14"/>
      <c r="W2956" s="14"/>
      <c r="X2956" s="14"/>
      <c r="Y2956" s="15"/>
      <c r="Z2956" s="14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4"/>
      <c r="U2957" s="14"/>
      <c r="V2957" s="14"/>
      <c r="W2957" s="14"/>
      <c r="X2957" s="14"/>
      <c r="Y2957" s="15"/>
      <c r="Z2957" s="14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4"/>
      <c r="U2958" s="14"/>
      <c r="V2958" s="14"/>
      <c r="W2958" s="14"/>
      <c r="X2958" s="14"/>
      <c r="Y2958" s="15"/>
      <c r="Z2958" s="14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4"/>
      <c r="U2959" s="14"/>
      <c r="V2959" s="14"/>
      <c r="W2959" s="14"/>
      <c r="X2959" s="14"/>
      <c r="Y2959" s="15"/>
      <c r="Z2959" s="14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4"/>
      <c r="U2960" s="14"/>
      <c r="V2960" s="14"/>
      <c r="W2960" s="14"/>
      <c r="X2960" s="14"/>
      <c r="Y2960" s="15"/>
      <c r="Z2960" s="14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4"/>
      <c r="U2961" s="14"/>
      <c r="V2961" s="14"/>
      <c r="W2961" s="14"/>
      <c r="X2961" s="14"/>
      <c r="Y2961" s="15"/>
      <c r="Z2961" s="14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4"/>
      <c r="U2962" s="14"/>
      <c r="V2962" s="14"/>
      <c r="W2962" s="14"/>
      <c r="X2962" s="14"/>
      <c r="Y2962" s="15"/>
      <c r="Z2962" s="14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4"/>
      <c r="U2963" s="14"/>
      <c r="V2963" s="14"/>
      <c r="W2963" s="14"/>
      <c r="X2963" s="14"/>
      <c r="Y2963" s="15"/>
      <c r="Z2963" s="14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4"/>
      <c r="U2964" s="14"/>
      <c r="V2964" s="14"/>
      <c r="W2964" s="14"/>
      <c r="X2964" s="14"/>
      <c r="Y2964" s="15"/>
      <c r="Z2964" s="14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4"/>
      <c r="U2965" s="14"/>
      <c r="V2965" s="14"/>
      <c r="W2965" s="14"/>
      <c r="X2965" s="14"/>
      <c r="Y2965" s="15"/>
      <c r="Z2965" s="14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4"/>
      <c r="U2966" s="14"/>
      <c r="V2966" s="14"/>
      <c r="W2966" s="14"/>
      <c r="X2966" s="14"/>
      <c r="Y2966" s="15"/>
      <c r="Z2966" s="14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4"/>
      <c r="U2967" s="14"/>
      <c r="V2967" s="14"/>
      <c r="W2967" s="14"/>
      <c r="X2967" s="14"/>
      <c r="Y2967" s="15"/>
      <c r="Z2967" s="14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4"/>
      <c r="U2968" s="14"/>
      <c r="V2968" s="14"/>
      <c r="W2968" s="14"/>
      <c r="X2968" s="14"/>
      <c r="Y2968" s="15"/>
      <c r="Z2968" s="14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4"/>
      <c r="U2969" s="14"/>
      <c r="V2969" s="14"/>
      <c r="W2969" s="14"/>
      <c r="X2969" s="14"/>
      <c r="Y2969" s="15"/>
      <c r="Z2969" s="14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4"/>
      <c r="U2970" s="14"/>
      <c r="V2970" s="14"/>
      <c r="W2970" s="14"/>
      <c r="X2970" s="14"/>
      <c r="Y2970" s="15"/>
      <c r="Z2970" s="14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4"/>
      <c r="U2971" s="14"/>
      <c r="V2971" s="14"/>
      <c r="W2971" s="14"/>
      <c r="X2971" s="14"/>
      <c r="Y2971" s="15"/>
      <c r="Z2971" s="14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4"/>
      <c r="U2972" s="14"/>
      <c r="V2972" s="14"/>
      <c r="W2972" s="14"/>
      <c r="X2972" s="14"/>
      <c r="Y2972" s="15"/>
      <c r="Z2972" s="14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4"/>
      <c r="U2973" s="14"/>
      <c r="V2973" s="14"/>
      <c r="W2973" s="14"/>
      <c r="X2973" s="14"/>
      <c r="Y2973" s="15"/>
      <c r="Z2973" s="14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4"/>
      <c r="U2974" s="14"/>
      <c r="V2974" s="14"/>
      <c r="W2974" s="14"/>
      <c r="X2974" s="14"/>
      <c r="Y2974" s="15"/>
      <c r="Z2974" s="14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4"/>
      <c r="U2975" s="14"/>
      <c r="V2975" s="14"/>
      <c r="W2975" s="14"/>
      <c r="X2975" s="14"/>
      <c r="Y2975" s="15"/>
      <c r="Z2975" s="14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4"/>
      <c r="U2976" s="14"/>
      <c r="V2976" s="14"/>
      <c r="W2976" s="14"/>
      <c r="X2976" s="14"/>
      <c r="Y2976" s="15"/>
      <c r="Z2976" s="14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4"/>
      <c r="U2977" s="14"/>
      <c r="V2977" s="14"/>
      <c r="W2977" s="14"/>
      <c r="X2977" s="14"/>
      <c r="Y2977" s="15"/>
      <c r="Z2977" s="14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4"/>
      <c r="U2978" s="14"/>
      <c r="V2978" s="14"/>
      <c r="W2978" s="14"/>
      <c r="X2978" s="14"/>
      <c r="Y2978" s="15"/>
      <c r="Z2978" s="14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4"/>
      <c r="U2979" s="14"/>
      <c r="V2979" s="14"/>
      <c r="W2979" s="14"/>
      <c r="X2979" s="14"/>
      <c r="Y2979" s="15"/>
      <c r="Z2979" s="14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4"/>
      <c r="U2980" s="14"/>
      <c r="V2980" s="14"/>
      <c r="W2980" s="14"/>
      <c r="X2980" s="14"/>
      <c r="Y2980" s="15"/>
      <c r="Z2980" s="14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4"/>
      <c r="U2981" s="14"/>
      <c r="V2981" s="14"/>
      <c r="W2981" s="14"/>
      <c r="X2981" s="14"/>
      <c r="Y2981" s="15"/>
      <c r="Z2981" s="14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4"/>
      <c r="U2982" s="14"/>
      <c r="V2982" s="14"/>
      <c r="W2982" s="14"/>
      <c r="X2982" s="14"/>
      <c r="Y2982" s="15"/>
      <c r="Z2982" s="14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4"/>
      <c r="U2983" s="14"/>
      <c r="V2983" s="14"/>
      <c r="W2983" s="14"/>
      <c r="X2983" s="14"/>
      <c r="Y2983" s="15"/>
      <c r="Z2983" s="14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4"/>
      <c r="U2984" s="14"/>
      <c r="V2984" s="14"/>
      <c r="W2984" s="14"/>
      <c r="X2984" s="14"/>
      <c r="Y2984" s="15"/>
      <c r="Z2984" s="14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4"/>
      <c r="U2985" s="14"/>
      <c r="V2985" s="14"/>
      <c r="W2985" s="14"/>
      <c r="X2985" s="14"/>
      <c r="Y2985" s="15"/>
      <c r="Z2985" s="14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4"/>
      <c r="U2986" s="14"/>
      <c r="V2986" s="14"/>
      <c r="W2986" s="14"/>
      <c r="X2986" s="14"/>
      <c r="Y2986" s="15"/>
      <c r="Z2986" s="14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4"/>
      <c r="U2987" s="14"/>
      <c r="V2987" s="14"/>
      <c r="W2987" s="14"/>
      <c r="X2987" s="14"/>
      <c r="Y2987" s="15"/>
      <c r="Z2987" s="14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4"/>
      <c r="U2988" s="14"/>
      <c r="V2988" s="14"/>
      <c r="W2988" s="14"/>
      <c r="X2988" s="14"/>
      <c r="Y2988" s="15"/>
      <c r="Z2988" s="14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4"/>
      <c r="U2989" s="14"/>
      <c r="V2989" s="14"/>
      <c r="W2989" s="14"/>
      <c r="X2989" s="14"/>
      <c r="Y2989" s="15"/>
      <c r="Z2989" s="14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4"/>
      <c r="U2990" s="14"/>
      <c r="V2990" s="14"/>
      <c r="W2990" s="14"/>
      <c r="X2990" s="14"/>
      <c r="Y2990" s="15"/>
      <c r="Z2990" s="14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4"/>
      <c r="U2991" s="14"/>
      <c r="V2991" s="14"/>
      <c r="W2991" s="14"/>
      <c r="X2991" s="14"/>
      <c r="Y2991" s="15"/>
      <c r="Z2991" s="14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4"/>
      <c r="U2992" s="14"/>
      <c r="V2992" s="14"/>
      <c r="W2992" s="14"/>
      <c r="X2992" s="14"/>
      <c r="Y2992" s="15"/>
      <c r="Z2992" s="14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4"/>
      <c r="U2993" s="14"/>
      <c r="V2993" s="14"/>
      <c r="W2993" s="14"/>
      <c r="X2993" s="14"/>
      <c r="Y2993" s="15"/>
      <c r="Z2993" s="14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4"/>
      <c r="U2994" s="14"/>
      <c r="V2994" s="14"/>
      <c r="W2994" s="14"/>
      <c r="X2994" s="14"/>
      <c r="Y2994" s="15"/>
      <c r="Z2994" s="14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4"/>
      <c r="U2995" s="14"/>
      <c r="V2995" s="14"/>
      <c r="W2995" s="14"/>
      <c r="X2995" s="14"/>
      <c r="Y2995" s="15"/>
      <c r="Z2995" s="14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4"/>
      <c r="U2996" s="14"/>
      <c r="V2996" s="14"/>
      <c r="W2996" s="14"/>
      <c r="X2996" s="14"/>
      <c r="Y2996" s="15"/>
      <c r="Z2996" s="14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4"/>
      <c r="U2997" s="14"/>
      <c r="V2997" s="14"/>
      <c r="W2997" s="14"/>
      <c r="X2997" s="14"/>
      <c r="Y2997" s="15"/>
      <c r="Z2997" s="14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4"/>
      <c r="U2998" s="14"/>
      <c r="V2998" s="14"/>
      <c r="W2998" s="14"/>
      <c r="X2998" s="14"/>
      <c r="Y2998" s="15"/>
      <c r="Z2998" s="14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4"/>
      <c r="U2999" s="14"/>
      <c r="V2999" s="14"/>
      <c r="W2999" s="14"/>
      <c r="X2999" s="14"/>
      <c r="Y2999" s="15"/>
      <c r="Z2999" s="14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4"/>
      <c r="U3000" s="14"/>
      <c r="V3000" s="14"/>
      <c r="W3000" s="14"/>
      <c r="X3000" s="14"/>
      <c r="Y3000" s="15"/>
      <c r="Z3000" s="14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4"/>
      <c r="U3001" s="14"/>
      <c r="V3001" s="14"/>
      <c r="W3001" s="14"/>
      <c r="X3001" s="14"/>
      <c r="Y3001" s="15"/>
      <c r="Z3001" s="14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4"/>
      <c r="U3002" s="14"/>
      <c r="V3002" s="14"/>
      <c r="W3002" s="14"/>
      <c r="X3002" s="14"/>
      <c r="Y3002" s="15"/>
      <c r="Z3002" s="14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4"/>
      <c r="U3003" s="14"/>
      <c r="V3003" s="14"/>
      <c r="W3003" s="14"/>
      <c r="X3003" s="14"/>
      <c r="Y3003" s="15"/>
      <c r="Z3003" s="14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4"/>
      <c r="U3004" s="14"/>
      <c r="V3004" s="14"/>
      <c r="W3004" s="14"/>
      <c r="X3004" s="14"/>
      <c r="Y3004" s="15"/>
      <c r="Z3004" s="14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4"/>
      <c r="U3005" s="14"/>
      <c r="V3005" s="14"/>
      <c r="W3005" s="14"/>
      <c r="X3005" s="14"/>
      <c r="Y3005" s="15"/>
      <c r="Z3005" s="14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4"/>
      <c r="U3006" s="14"/>
      <c r="V3006" s="14"/>
      <c r="W3006" s="14"/>
      <c r="X3006" s="14"/>
      <c r="Y3006" s="15"/>
      <c r="Z3006" s="14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4"/>
      <c r="U3007" s="14"/>
      <c r="V3007" s="14"/>
      <c r="W3007" s="14"/>
      <c r="X3007" s="14"/>
      <c r="Y3007" s="15"/>
      <c r="Z3007" s="14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4"/>
      <c r="U3008" s="14"/>
      <c r="V3008" s="14"/>
      <c r="W3008" s="14"/>
      <c r="X3008" s="14"/>
      <c r="Y3008" s="15"/>
      <c r="Z3008" s="14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4"/>
      <c r="U3009" s="14"/>
      <c r="V3009" s="14"/>
      <c r="W3009" s="14"/>
      <c r="X3009" s="14"/>
      <c r="Y3009" s="15"/>
      <c r="Z3009" s="14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4"/>
      <c r="U3010" s="14"/>
      <c r="V3010" s="14"/>
      <c r="W3010" s="14"/>
      <c r="X3010" s="14"/>
      <c r="Y3010" s="15"/>
      <c r="Z3010" s="14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4"/>
      <c r="U3011" s="14"/>
      <c r="V3011" s="14"/>
      <c r="W3011" s="14"/>
      <c r="X3011" s="14"/>
      <c r="Y3011" s="15"/>
      <c r="Z3011" s="14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4"/>
      <c r="U3012" s="14"/>
      <c r="V3012" s="14"/>
      <c r="W3012" s="14"/>
      <c r="X3012" s="14"/>
      <c r="Y3012" s="15"/>
      <c r="Z3012" s="14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4"/>
      <c r="U3013" s="14"/>
      <c r="V3013" s="14"/>
      <c r="W3013" s="14"/>
      <c r="X3013" s="14"/>
      <c r="Y3013" s="15"/>
      <c r="Z3013" s="14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4"/>
      <c r="U3014" s="14"/>
      <c r="V3014" s="14"/>
      <c r="W3014" s="14"/>
      <c r="X3014" s="14"/>
      <c r="Y3014" s="15"/>
      <c r="Z3014" s="14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4"/>
      <c r="U3015" s="14"/>
      <c r="V3015" s="14"/>
      <c r="W3015" s="14"/>
      <c r="X3015" s="14"/>
      <c r="Y3015" s="15"/>
      <c r="Z3015" s="14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4"/>
      <c r="U3016" s="14"/>
      <c r="V3016" s="14"/>
      <c r="W3016" s="14"/>
      <c r="X3016" s="14"/>
      <c r="Y3016" s="15"/>
      <c r="Z3016" s="14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4"/>
      <c r="U3017" s="14"/>
      <c r="V3017" s="14"/>
      <c r="W3017" s="14"/>
      <c r="X3017" s="14"/>
      <c r="Y3017" s="15"/>
      <c r="Z3017" s="14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4"/>
      <c r="U3018" s="14"/>
      <c r="V3018" s="14"/>
      <c r="W3018" s="14"/>
      <c r="X3018" s="14"/>
      <c r="Y3018" s="15"/>
      <c r="Z3018" s="14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4"/>
      <c r="U3019" s="14"/>
      <c r="V3019" s="14"/>
      <c r="W3019" s="14"/>
      <c r="X3019" s="14"/>
      <c r="Y3019" s="15"/>
      <c r="Z3019" s="14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4"/>
      <c r="U3020" s="14"/>
      <c r="V3020" s="14"/>
      <c r="W3020" s="14"/>
      <c r="X3020" s="14"/>
      <c r="Y3020" s="15"/>
      <c r="Z3020" s="14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4"/>
      <c r="U3021" s="14"/>
      <c r="V3021" s="14"/>
      <c r="W3021" s="14"/>
      <c r="X3021" s="14"/>
      <c r="Y3021" s="15"/>
      <c r="Z3021" s="14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4"/>
      <c r="U3022" s="14"/>
      <c r="V3022" s="14"/>
      <c r="W3022" s="14"/>
      <c r="X3022" s="14"/>
      <c r="Y3022" s="15"/>
      <c r="Z3022" s="14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4"/>
      <c r="U3023" s="14"/>
      <c r="V3023" s="14"/>
      <c r="W3023" s="14"/>
      <c r="X3023" s="14"/>
      <c r="Y3023" s="15"/>
      <c r="Z3023" s="14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4"/>
      <c r="U3024" s="14"/>
      <c r="V3024" s="14"/>
      <c r="W3024" s="14"/>
      <c r="X3024" s="14"/>
      <c r="Y3024" s="15"/>
      <c r="Z3024" s="14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4"/>
      <c r="U3025" s="14"/>
      <c r="V3025" s="14"/>
      <c r="W3025" s="14"/>
      <c r="X3025" s="14"/>
      <c r="Y3025" s="15"/>
      <c r="Z3025" s="14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4"/>
      <c r="U3026" s="14"/>
      <c r="V3026" s="14"/>
      <c r="W3026" s="14"/>
      <c r="X3026" s="14"/>
      <c r="Y3026" s="15"/>
      <c r="Z3026" s="14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4"/>
      <c r="U3027" s="14"/>
      <c r="V3027" s="14"/>
      <c r="W3027" s="14"/>
      <c r="X3027" s="14"/>
      <c r="Y3027" s="15"/>
      <c r="Z3027" s="14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4"/>
      <c r="U3028" s="14"/>
      <c r="V3028" s="14"/>
      <c r="W3028" s="14"/>
      <c r="X3028" s="14"/>
      <c r="Y3028" s="15"/>
      <c r="Z3028" s="14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4"/>
      <c r="U3029" s="14"/>
      <c r="V3029" s="14"/>
      <c r="W3029" s="14"/>
      <c r="X3029" s="14"/>
      <c r="Y3029" s="15"/>
      <c r="Z3029" s="14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4"/>
      <c r="U3030" s="14"/>
      <c r="V3030" s="14"/>
      <c r="W3030" s="14"/>
      <c r="X3030" s="14"/>
      <c r="Y3030" s="15"/>
      <c r="Z3030" s="14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4"/>
      <c r="U3031" s="14"/>
      <c r="V3031" s="14"/>
      <c r="W3031" s="14"/>
      <c r="X3031" s="14"/>
      <c r="Y3031" s="15"/>
      <c r="Z3031" s="14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4"/>
      <c r="U3032" s="14"/>
      <c r="V3032" s="14"/>
      <c r="W3032" s="14"/>
      <c r="X3032" s="14"/>
      <c r="Y3032" s="15"/>
      <c r="Z3032" s="14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4"/>
      <c r="U3033" s="14"/>
      <c r="V3033" s="14"/>
      <c r="W3033" s="14"/>
      <c r="X3033" s="14"/>
      <c r="Y3033" s="15"/>
      <c r="Z3033" s="14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4"/>
      <c r="U3034" s="14"/>
      <c r="V3034" s="14"/>
      <c r="W3034" s="14"/>
      <c r="X3034" s="14"/>
      <c r="Y3034" s="15"/>
      <c r="Z3034" s="14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4"/>
      <c r="U3035" s="14"/>
      <c r="V3035" s="14"/>
      <c r="W3035" s="14"/>
      <c r="X3035" s="14"/>
      <c r="Y3035" s="15"/>
      <c r="Z3035" s="14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4"/>
      <c r="U3036" s="14"/>
      <c r="V3036" s="14"/>
      <c r="W3036" s="14"/>
      <c r="X3036" s="14"/>
      <c r="Y3036" s="15"/>
      <c r="Z3036" s="14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4"/>
      <c r="U3037" s="14"/>
      <c r="V3037" s="14"/>
      <c r="W3037" s="14"/>
      <c r="X3037" s="14"/>
      <c r="Y3037" s="15"/>
      <c r="Z3037" s="14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4"/>
      <c r="U3038" s="14"/>
      <c r="V3038" s="14"/>
      <c r="W3038" s="14"/>
      <c r="X3038" s="14"/>
      <c r="Y3038" s="15"/>
      <c r="Z3038" s="14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4"/>
      <c r="U3039" s="14"/>
      <c r="V3039" s="14"/>
      <c r="W3039" s="14"/>
      <c r="X3039" s="14"/>
      <c r="Y3039" s="15"/>
      <c r="Z3039" s="14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4"/>
      <c r="U3040" s="14"/>
      <c r="V3040" s="14"/>
      <c r="W3040" s="14"/>
      <c r="X3040" s="14"/>
      <c r="Y3040" s="15"/>
      <c r="Z3040" s="14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4"/>
      <c r="U3041" s="14"/>
      <c r="V3041" s="14"/>
      <c r="W3041" s="14"/>
      <c r="X3041" s="14"/>
      <c r="Y3041" s="15"/>
      <c r="Z3041" s="14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4"/>
      <c r="U3042" s="14"/>
      <c r="V3042" s="14"/>
      <c r="W3042" s="14"/>
      <c r="X3042" s="14"/>
      <c r="Y3042" s="15"/>
      <c r="Z3042" s="14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4"/>
      <c r="U3043" s="14"/>
      <c r="V3043" s="14"/>
      <c r="W3043" s="14"/>
      <c r="X3043" s="14"/>
      <c r="Y3043" s="15"/>
      <c r="Z3043" s="14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4"/>
      <c r="U3044" s="14"/>
      <c r="V3044" s="14"/>
      <c r="W3044" s="14"/>
      <c r="X3044" s="14"/>
      <c r="Y3044" s="15"/>
      <c r="Z3044" s="14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4"/>
      <c r="U3045" s="14"/>
      <c r="V3045" s="14"/>
      <c r="W3045" s="14"/>
      <c r="X3045" s="14"/>
      <c r="Y3045" s="15"/>
      <c r="Z3045" s="14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4"/>
      <c r="U3046" s="14"/>
      <c r="V3046" s="14"/>
      <c r="W3046" s="14"/>
      <c r="X3046" s="14"/>
      <c r="Y3046" s="15"/>
      <c r="Z3046" s="14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4"/>
      <c r="U3047" s="14"/>
      <c r="V3047" s="14"/>
      <c r="W3047" s="14"/>
      <c r="X3047" s="14"/>
      <c r="Y3047" s="15"/>
      <c r="Z3047" s="14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4"/>
      <c r="U3048" s="14"/>
      <c r="V3048" s="14"/>
      <c r="W3048" s="14"/>
      <c r="X3048" s="14"/>
      <c r="Y3048" s="15"/>
      <c r="Z3048" s="14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4"/>
      <c r="U3049" s="14"/>
      <c r="V3049" s="14"/>
      <c r="W3049" s="14"/>
      <c r="X3049" s="14"/>
      <c r="Y3049" s="15"/>
      <c r="Z3049" s="14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4"/>
      <c r="U3050" s="14"/>
      <c r="V3050" s="14"/>
      <c r="W3050" s="14"/>
      <c r="X3050" s="14"/>
      <c r="Y3050" s="15"/>
      <c r="Z3050" s="14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4"/>
      <c r="U3051" s="14"/>
      <c r="V3051" s="14"/>
      <c r="W3051" s="14"/>
      <c r="X3051" s="14"/>
      <c r="Y3051" s="15"/>
      <c r="Z3051" s="14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4"/>
      <c r="U3052" s="14"/>
      <c r="V3052" s="14"/>
      <c r="W3052" s="14"/>
      <c r="X3052" s="14"/>
      <c r="Y3052" s="15"/>
      <c r="Z3052" s="14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4"/>
      <c r="U3053" s="14"/>
      <c r="V3053" s="14"/>
      <c r="W3053" s="14"/>
      <c r="X3053" s="14"/>
      <c r="Y3053" s="15"/>
      <c r="Z3053" s="14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4"/>
      <c r="U3054" s="14"/>
      <c r="V3054" s="14"/>
      <c r="W3054" s="14"/>
      <c r="X3054" s="14"/>
      <c r="Y3054" s="15"/>
      <c r="Z3054" s="14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4"/>
      <c r="U3055" s="14"/>
      <c r="V3055" s="14"/>
      <c r="W3055" s="14"/>
      <c r="X3055" s="14"/>
      <c r="Y3055" s="15"/>
      <c r="Z3055" s="14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4"/>
      <c r="U3056" s="14"/>
      <c r="V3056" s="14"/>
      <c r="W3056" s="14"/>
      <c r="X3056" s="14"/>
      <c r="Y3056" s="15"/>
      <c r="Z3056" s="14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4"/>
      <c r="U3057" s="14"/>
      <c r="V3057" s="14"/>
      <c r="W3057" s="14"/>
      <c r="X3057" s="14"/>
      <c r="Y3057" s="15"/>
      <c r="Z3057" s="14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4"/>
      <c r="U3058" s="14"/>
      <c r="V3058" s="14"/>
      <c r="W3058" s="14"/>
      <c r="X3058" s="14"/>
      <c r="Y3058" s="15"/>
      <c r="Z3058" s="14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4"/>
      <c r="U3059" s="14"/>
      <c r="V3059" s="14"/>
      <c r="W3059" s="14"/>
      <c r="X3059" s="14"/>
      <c r="Y3059" s="15"/>
      <c r="Z3059" s="14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4"/>
      <c r="U3060" s="14"/>
      <c r="V3060" s="14"/>
      <c r="W3060" s="14"/>
      <c r="X3060" s="14"/>
      <c r="Y3060" s="15"/>
      <c r="Z3060" s="14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4"/>
      <c r="U3061" s="14"/>
      <c r="V3061" s="14"/>
      <c r="W3061" s="14"/>
      <c r="X3061" s="14"/>
      <c r="Y3061" s="15"/>
      <c r="Z3061" s="14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4"/>
      <c r="U3062" s="14"/>
      <c r="V3062" s="14"/>
      <c r="W3062" s="14"/>
      <c r="X3062" s="14"/>
      <c r="Y3062" s="15"/>
      <c r="Z3062" s="14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4"/>
      <c r="U3063" s="14"/>
      <c r="V3063" s="14"/>
      <c r="W3063" s="14"/>
      <c r="X3063" s="14"/>
      <c r="Y3063" s="15"/>
      <c r="Z3063" s="14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4"/>
      <c r="U3064" s="14"/>
      <c r="V3064" s="14"/>
      <c r="W3064" s="14"/>
      <c r="X3064" s="14"/>
      <c r="Y3064" s="15"/>
      <c r="Z3064" s="14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4"/>
      <c r="U3065" s="14"/>
      <c r="V3065" s="14"/>
      <c r="W3065" s="14"/>
      <c r="X3065" s="14"/>
      <c r="Y3065" s="15"/>
      <c r="Z3065" s="14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4"/>
      <c r="U3066" s="14"/>
      <c r="V3066" s="14"/>
      <c r="W3066" s="14"/>
      <c r="X3066" s="14"/>
      <c r="Y3066" s="15"/>
      <c r="Z3066" s="14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4"/>
      <c r="U3067" s="14"/>
      <c r="V3067" s="14"/>
      <c r="W3067" s="14"/>
      <c r="X3067" s="14"/>
      <c r="Y3067" s="15"/>
      <c r="Z3067" s="14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4"/>
      <c r="U3068" s="14"/>
      <c r="V3068" s="14"/>
      <c r="W3068" s="14"/>
      <c r="X3068" s="14"/>
      <c r="Y3068" s="15"/>
      <c r="Z3068" s="14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4"/>
      <c r="U3069" s="14"/>
      <c r="V3069" s="14"/>
      <c r="W3069" s="14"/>
      <c r="X3069" s="14"/>
      <c r="Y3069" s="15"/>
      <c r="Z3069" s="14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4"/>
      <c r="U3070" s="14"/>
      <c r="V3070" s="14"/>
      <c r="W3070" s="14"/>
      <c r="X3070" s="14"/>
      <c r="Y3070" s="15"/>
      <c r="Z3070" s="14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4"/>
      <c r="U3071" s="14"/>
      <c r="V3071" s="14"/>
      <c r="W3071" s="14"/>
      <c r="X3071" s="14"/>
      <c r="Y3071" s="15"/>
      <c r="Z3071" s="14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4"/>
      <c r="U3072" s="14"/>
      <c r="V3072" s="14"/>
      <c r="W3072" s="14"/>
      <c r="X3072" s="14"/>
      <c r="Y3072" s="15"/>
      <c r="Z3072" s="14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4"/>
      <c r="U3073" s="14"/>
      <c r="V3073" s="14"/>
      <c r="W3073" s="14"/>
      <c r="X3073" s="14"/>
      <c r="Y3073" s="15"/>
      <c r="Z3073" s="14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4"/>
      <c r="U3074" s="14"/>
      <c r="V3074" s="14"/>
      <c r="W3074" s="14"/>
      <c r="X3074" s="14"/>
      <c r="Y3074" s="15"/>
      <c r="Z3074" s="14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4"/>
      <c r="U3075" s="14"/>
      <c r="V3075" s="14"/>
      <c r="W3075" s="14"/>
      <c r="X3075" s="14"/>
      <c r="Y3075" s="15"/>
      <c r="Z3075" s="14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4"/>
      <c r="U3076" s="14"/>
      <c r="V3076" s="14"/>
      <c r="W3076" s="14"/>
      <c r="X3076" s="14"/>
      <c r="Y3076" s="15"/>
      <c r="Z3076" s="14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4"/>
      <c r="U3077" s="14"/>
      <c r="V3077" s="14"/>
      <c r="W3077" s="14"/>
      <c r="X3077" s="14"/>
      <c r="Y3077" s="15"/>
      <c r="Z3077" s="14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4"/>
      <c r="U3078" s="14"/>
      <c r="V3078" s="14"/>
      <c r="W3078" s="14"/>
      <c r="X3078" s="14"/>
      <c r="Y3078" s="15"/>
      <c r="Z3078" s="14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4"/>
      <c r="U3079" s="14"/>
      <c r="V3079" s="14"/>
      <c r="W3079" s="14"/>
      <c r="X3079" s="14"/>
      <c r="Y3079" s="15"/>
      <c r="Z3079" s="14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4"/>
      <c r="U3080" s="14"/>
      <c r="V3080" s="14"/>
      <c r="W3080" s="14"/>
      <c r="X3080" s="14"/>
      <c r="Y3080" s="15"/>
      <c r="Z3080" s="14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4"/>
      <c r="U3081" s="14"/>
      <c r="V3081" s="14"/>
      <c r="W3081" s="14"/>
      <c r="X3081" s="14"/>
      <c r="Y3081" s="15"/>
      <c r="Z3081" s="14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4"/>
      <c r="U3082" s="14"/>
      <c r="V3082" s="14"/>
      <c r="W3082" s="14"/>
      <c r="X3082" s="14"/>
      <c r="Y3082" s="15"/>
      <c r="Z3082" s="14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4"/>
      <c r="U3083" s="14"/>
      <c r="V3083" s="14"/>
      <c r="W3083" s="14"/>
      <c r="X3083" s="14"/>
      <c r="Y3083" s="15"/>
      <c r="Z3083" s="14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4"/>
      <c r="U3084" s="14"/>
      <c r="V3084" s="14"/>
      <c r="W3084" s="14"/>
      <c r="X3084" s="14"/>
      <c r="Y3084" s="15"/>
      <c r="Z3084" s="14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4"/>
      <c r="U3085" s="14"/>
      <c r="V3085" s="14"/>
      <c r="W3085" s="14"/>
      <c r="X3085" s="14"/>
      <c r="Y3085" s="15"/>
      <c r="Z3085" s="14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4"/>
      <c r="U3086" s="14"/>
      <c r="V3086" s="14"/>
      <c r="W3086" s="14"/>
      <c r="X3086" s="14"/>
      <c r="Y3086" s="15"/>
      <c r="Z3086" s="14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4"/>
      <c r="U3087" s="14"/>
      <c r="V3087" s="14"/>
      <c r="W3087" s="14"/>
      <c r="X3087" s="14"/>
      <c r="Y3087" s="15"/>
      <c r="Z3087" s="14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4"/>
      <c r="U3088" s="14"/>
      <c r="V3088" s="14"/>
      <c r="W3088" s="14"/>
      <c r="X3088" s="14"/>
      <c r="Y3088" s="15"/>
      <c r="Z3088" s="14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4"/>
      <c r="U3089" s="14"/>
      <c r="V3089" s="14"/>
      <c r="W3089" s="14"/>
      <c r="X3089" s="14"/>
      <c r="Y3089" s="15"/>
      <c r="Z3089" s="14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4"/>
      <c r="U3090" s="14"/>
      <c r="V3090" s="14"/>
      <c r="W3090" s="14"/>
      <c r="X3090" s="14"/>
      <c r="Y3090" s="15"/>
      <c r="Z3090" s="14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4"/>
      <c r="U3091" s="14"/>
      <c r="V3091" s="14"/>
      <c r="W3091" s="14"/>
      <c r="X3091" s="14"/>
      <c r="Y3091" s="15"/>
      <c r="Z3091" s="14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4"/>
      <c r="U3092" s="14"/>
      <c r="V3092" s="14"/>
      <c r="W3092" s="14"/>
      <c r="X3092" s="14"/>
      <c r="Y3092" s="15"/>
      <c r="Z3092" s="14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4"/>
      <c r="U3093" s="14"/>
      <c r="V3093" s="14"/>
      <c r="W3093" s="14"/>
      <c r="X3093" s="14"/>
      <c r="Y3093" s="15"/>
      <c r="Z3093" s="14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4"/>
      <c r="U3094" s="14"/>
      <c r="V3094" s="14"/>
      <c r="W3094" s="14"/>
      <c r="X3094" s="14"/>
      <c r="Y3094" s="15"/>
      <c r="Z3094" s="14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4"/>
      <c r="U3095" s="14"/>
      <c r="V3095" s="14"/>
      <c r="W3095" s="14"/>
      <c r="X3095" s="14"/>
      <c r="Y3095" s="15"/>
      <c r="Z3095" s="14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4"/>
      <c r="U3096" s="14"/>
      <c r="V3096" s="14"/>
      <c r="W3096" s="14"/>
      <c r="X3096" s="14"/>
      <c r="Y3096" s="15"/>
      <c r="Z3096" s="14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4"/>
      <c r="U3097" s="14"/>
      <c r="V3097" s="14"/>
      <c r="W3097" s="14"/>
      <c r="X3097" s="14"/>
      <c r="Y3097" s="15"/>
      <c r="Z3097" s="14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4"/>
      <c r="U3098" s="14"/>
      <c r="V3098" s="14"/>
      <c r="W3098" s="14"/>
      <c r="X3098" s="14"/>
      <c r="Y3098" s="15"/>
      <c r="Z3098" s="14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4"/>
      <c r="U3099" s="14"/>
      <c r="V3099" s="14"/>
      <c r="W3099" s="14"/>
      <c r="X3099" s="14"/>
      <c r="Y3099" s="15"/>
      <c r="Z3099" s="14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4"/>
      <c r="U3100" s="14"/>
      <c r="V3100" s="14"/>
      <c r="W3100" s="14"/>
      <c r="X3100" s="14"/>
      <c r="Y3100" s="15"/>
      <c r="Z3100" s="14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4"/>
      <c r="U3101" s="14"/>
      <c r="V3101" s="14"/>
      <c r="W3101" s="14"/>
      <c r="X3101" s="14"/>
      <c r="Y3101" s="15"/>
      <c r="Z3101" s="14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4"/>
      <c r="U3102" s="14"/>
      <c r="V3102" s="14"/>
      <c r="W3102" s="14"/>
      <c r="X3102" s="14"/>
      <c r="Y3102" s="15"/>
      <c r="Z3102" s="14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4"/>
      <c r="U3103" s="14"/>
      <c r="V3103" s="14"/>
      <c r="W3103" s="14"/>
      <c r="X3103" s="14"/>
      <c r="Y3103" s="15"/>
      <c r="Z3103" s="14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4"/>
      <c r="U3104" s="14"/>
      <c r="V3104" s="14"/>
      <c r="W3104" s="14"/>
      <c r="X3104" s="14"/>
      <c r="Y3104" s="15"/>
      <c r="Z3104" s="14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4"/>
      <c r="U3105" s="14"/>
      <c r="V3105" s="14"/>
      <c r="W3105" s="14"/>
      <c r="X3105" s="14"/>
      <c r="Y3105" s="15"/>
      <c r="Z3105" s="14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4"/>
      <c r="U3106" s="14"/>
      <c r="V3106" s="14"/>
      <c r="W3106" s="14"/>
      <c r="X3106" s="14"/>
      <c r="Y3106" s="15"/>
      <c r="Z3106" s="14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4"/>
      <c r="U3107" s="14"/>
      <c r="V3107" s="14"/>
      <c r="W3107" s="14"/>
      <c r="X3107" s="14"/>
      <c r="Y3107" s="15"/>
      <c r="Z3107" s="14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4"/>
      <c r="U3108" s="14"/>
      <c r="V3108" s="14"/>
      <c r="W3108" s="14"/>
      <c r="X3108" s="14"/>
      <c r="Y3108" s="15"/>
      <c r="Z3108" s="14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4"/>
      <c r="U3109" s="14"/>
      <c r="V3109" s="14"/>
      <c r="W3109" s="14"/>
      <c r="X3109" s="14"/>
      <c r="Y3109" s="15"/>
      <c r="Z3109" s="14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4"/>
      <c r="U3110" s="14"/>
      <c r="V3110" s="14"/>
      <c r="W3110" s="14"/>
      <c r="X3110" s="14"/>
      <c r="Y3110" s="15"/>
      <c r="Z3110" s="14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4"/>
      <c r="U3111" s="14"/>
      <c r="V3111" s="14"/>
      <c r="W3111" s="14"/>
      <c r="X3111" s="14"/>
      <c r="Y3111" s="15"/>
      <c r="Z3111" s="14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4"/>
      <c r="U3112" s="14"/>
      <c r="V3112" s="14"/>
      <c r="W3112" s="14"/>
      <c r="X3112" s="14"/>
      <c r="Y3112" s="15"/>
      <c r="Z3112" s="14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4"/>
      <c r="U3113" s="14"/>
      <c r="V3113" s="14"/>
      <c r="W3113" s="14"/>
      <c r="X3113" s="14"/>
      <c r="Y3113" s="15"/>
      <c r="Z3113" s="14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4"/>
      <c r="U3114" s="14"/>
      <c r="V3114" s="14"/>
      <c r="W3114" s="14"/>
      <c r="X3114" s="14"/>
      <c r="Y3114" s="15"/>
      <c r="Z3114" s="14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4"/>
      <c r="U3115" s="14"/>
      <c r="V3115" s="14"/>
      <c r="W3115" s="14"/>
      <c r="X3115" s="14"/>
      <c r="Y3115" s="15"/>
      <c r="Z3115" s="14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4"/>
      <c r="U3116" s="14"/>
      <c r="V3116" s="14"/>
      <c r="W3116" s="14"/>
      <c r="X3116" s="14"/>
      <c r="Y3116" s="15"/>
      <c r="Z3116" s="14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4"/>
      <c r="U3117" s="14"/>
      <c r="V3117" s="14"/>
      <c r="W3117" s="14"/>
      <c r="X3117" s="14"/>
      <c r="Y3117" s="15"/>
      <c r="Z3117" s="14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1534</v>
      </c>
      <c r="B1" t="s">
        <v>1535</v>
      </c>
      <c r="C1" t="s">
        <v>1865</v>
      </c>
      <c r="D1" t="s">
        <v>1536</v>
      </c>
      <c r="L1" t="s">
        <v>1537</v>
      </c>
    </row>
    <row r="2" ht="26.25" customHeight="1" spans="1:11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  <c r="G2" t="s">
        <v>346</v>
      </c>
      <c r="H2" t="s">
        <v>346</v>
      </c>
      <c r="I2" t="s">
        <v>346</v>
      </c>
      <c r="J2" t="s">
        <v>346</v>
      </c>
      <c r="K2" t="s">
        <v>346</v>
      </c>
    </row>
    <row r="3" ht="26.25" customHeight="1" spans="1:11" x14ac:dyDescent="0.25">
      <c r="A3" s="12" t="s">
        <v>1544</v>
      </c>
      <c r="B3" s="12" t="s">
        <v>1535</v>
      </c>
      <c r="C3" s="12" t="s">
        <v>336</v>
      </c>
      <c r="D3" s="12" t="s">
        <v>1536</v>
      </c>
      <c r="E3" s="12" t="s">
        <v>1866</v>
      </c>
      <c r="F3" s="12" t="s">
        <v>1867</v>
      </c>
      <c r="G3" s="12" t="s">
        <v>1868</v>
      </c>
      <c r="H3" s="12" t="s">
        <v>1869</v>
      </c>
      <c r="I3" s="12" t="s">
        <v>1870</v>
      </c>
      <c r="J3" s="12" t="s">
        <v>1871</v>
      </c>
      <c r="K3" s="12" t="s">
        <v>1872</v>
      </c>
    </row>
    <row r="4" ht="16.5" customHeight="1" spans="1:11" x14ac:dyDescent="0.25">
      <c r="A4" s="12"/>
      <c r="B4" s="12"/>
      <c r="C4" s="12"/>
      <c r="D4" s="12"/>
      <c r="E4" s="14"/>
      <c r="F4" s="14"/>
      <c r="G4" s="14"/>
      <c r="H4" s="14"/>
      <c r="I4" s="16"/>
      <c r="J4" s="16"/>
      <c r="K4" s="14"/>
    </row>
    <row r="5" ht="16.5" customHeight="1" spans="1:11" x14ac:dyDescent="0.25">
      <c r="A5" s="12"/>
      <c r="B5" s="12"/>
      <c r="C5" s="12"/>
      <c r="D5" s="12"/>
      <c r="E5" s="14"/>
      <c r="F5" s="14"/>
      <c r="G5" s="14"/>
      <c r="H5" s="14"/>
      <c r="I5" s="16"/>
      <c r="J5" s="16"/>
      <c r="K5" s="14"/>
    </row>
    <row r="6" ht="16.5" customHeight="1" spans="1:11" x14ac:dyDescent="0.25">
      <c r="A6" s="12"/>
      <c r="B6" s="12"/>
      <c r="C6" s="12"/>
      <c r="D6" s="12"/>
      <c r="E6" s="14"/>
      <c r="F6" s="14"/>
      <c r="G6" s="14"/>
      <c r="H6" s="14"/>
      <c r="I6" s="16"/>
      <c r="J6" s="16"/>
      <c r="K6" s="14"/>
    </row>
    <row r="7" ht="16.5" customHeight="1" spans="1:11" x14ac:dyDescent="0.25">
      <c r="A7" t="s">
        <v>1873</v>
      </c>
      <c r="B7" t="s">
        <v>1874</v>
      </c>
      <c r="C7" t="s">
        <v>1875</v>
      </c>
      <c r="D7" t="s">
        <v>1576</v>
      </c>
      <c r="E7">
        <v>450</v>
      </c>
      <c r="F7">
        <v>50</v>
      </c>
      <c r="G7">
        <v>0</v>
      </c>
      <c r="H7">
        <v>0</v>
      </c>
      <c r="I7">
        <v>1200</v>
      </c>
      <c r="J7">
        <v>540000</v>
      </c>
      <c r="K7">
        <v>400</v>
      </c>
    </row>
    <row r="8" ht="16.5" customHeight="1" spans="1:11" x14ac:dyDescent="0.25">
      <c r="A8" t="s">
        <v>1873</v>
      </c>
      <c r="B8" t="s">
        <v>1876</v>
      </c>
      <c r="C8" t="s">
        <v>1877</v>
      </c>
      <c r="D8" t="s">
        <v>1576</v>
      </c>
      <c r="E8">
        <v>1200</v>
      </c>
      <c r="F8">
        <v>150</v>
      </c>
      <c r="G8">
        <v>0</v>
      </c>
      <c r="H8">
        <v>0</v>
      </c>
      <c r="I8">
        <v>350</v>
      </c>
      <c r="J8">
        <v>420000</v>
      </c>
      <c r="K8">
        <v>1050</v>
      </c>
    </row>
    <row r="9" ht="16.5" customHeight="1" spans="1:11" x14ac:dyDescent="0.25">
      <c r="A9" t="s">
        <v>1873</v>
      </c>
      <c r="B9" t="s">
        <v>1878</v>
      </c>
      <c r="C9" t="s">
        <v>1879</v>
      </c>
      <c r="D9" t="s">
        <v>1576</v>
      </c>
      <c r="E9">
        <v>320</v>
      </c>
      <c r="F9">
        <v>20</v>
      </c>
      <c r="G9">
        <v>0</v>
      </c>
      <c r="H9">
        <v>0</v>
      </c>
      <c r="I9">
        <v>680.5</v>
      </c>
      <c r="J9">
        <v>217760</v>
      </c>
      <c r="K9">
        <v>300</v>
      </c>
    </row>
    <row r="10" ht="16.5" customHeight="1" spans="1:11" x14ac:dyDescent="0.25">
      <c r="A10" t="s">
        <v>1873</v>
      </c>
      <c r="B10" t="s">
        <v>1880</v>
      </c>
      <c r="C10" t="s">
        <v>1881</v>
      </c>
      <c r="D10" t="s">
        <v>1576</v>
      </c>
      <c r="E10">
        <v>2500</v>
      </c>
      <c r="F10">
        <v>300</v>
      </c>
      <c r="G10">
        <v>0</v>
      </c>
      <c r="H10">
        <v>0</v>
      </c>
      <c r="I10">
        <v>125</v>
      </c>
      <c r="J10">
        <v>312500</v>
      </c>
      <c r="K10">
        <v>2200</v>
      </c>
    </row>
    <row r="11" ht="16.5" customHeight="1" spans="1:11" x14ac:dyDescent="0.25">
      <c r="A11" t="s">
        <v>1873</v>
      </c>
      <c r="B11" t="s">
        <v>1882</v>
      </c>
      <c r="C11" t="s">
        <v>1883</v>
      </c>
      <c r="D11" t="s">
        <v>1576</v>
      </c>
      <c r="E11">
        <v>180</v>
      </c>
      <c r="F11">
        <v>10</v>
      </c>
      <c r="G11">
        <v>0</v>
      </c>
      <c r="H11">
        <v>0</v>
      </c>
      <c r="I11">
        <v>890</v>
      </c>
      <c r="J11">
        <v>160200</v>
      </c>
      <c r="K11">
        <v>170</v>
      </c>
    </row>
    <row r="12" ht="16.5" customHeight="1" spans="1:11" x14ac:dyDescent="0.25">
      <c r="A12" t="s">
        <v>1873</v>
      </c>
      <c r="B12" t="s">
        <v>289</v>
      </c>
      <c r="C12" t="s">
        <v>176</v>
      </c>
      <c r="D12" t="s">
        <v>1576</v>
      </c>
      <c r="E12">
        <v>890</v>
      </c>
      <c r="F12">
        <v>90</v>
      </c>
      <c r="G12">
        <v>0</v>
      </c>
      <c r="H12">
        <v>0</v>
      </c>
      <c r="I12">
        <v>100</v>
      </c>
      <c r="J12">
        <v>89000</v>
      </c>
      <c r="K12">
        <v>300</v>
      </c>
    </row>
    <row r="13" ht="16.5" customHeight="1" spans="1:11" x14ac:dyDescent="0.25">
      <c r="A13" t="s">
        <v>1873</v>
      </c>
      <c r="B13" t="s">
        <v>290</v>
      </c>
      <c r="C13" t="s">
        <v>1884</v>
      </c>
      <c r="D13" t="s">
        <v>1576</v>
      </c>
      <c r="E13">
        <v>420</v>
      </c>
      <c r="F13">
        <v>40</v>
      </c>
      <c r="G13">
        <v>0</v>
      </c>
      <c r="H13">
        <v>0</v>
      </c>
      <c r="I13">
        <v>50</v>
      </c>
      <c r="J13">
        <v>21000</v>
      </c>
      <c r="K13">
        <v>100</v>
      </c>
    </row>
    <row r="14" ht="16.5" customHeight="1" spans="1:11" x14ac:dyDescent="0.25">
      <c r="A14" t="s">
        <v>1873</v>
      </c>
      <c r="B14" t="s">
        <v>290</v>
      </c>
      <c r="C14" t="s">
        <v>1884</v>
      </c>
      <c r="D14" t="s">
        <v>1576</v>
      </c>
      <c r="E14">
        <v>180</v>
      </c>
      <c r="F14">
        <v>15</v>
      </c>
      <c r="G14">
        <v>0</v>
      </c>
      <c r="H14">
        <v>0</v>
      </c>
      <c r="I14">
        <v>0</v>
      </c>
      <c r="J14">
        <v>0</v>
      </c>
      <c r="K14">
        <v>180</v>
      </c>
    </row>
    <row r="15" ht="16.5" customHeight="1" spans="1:11" x14ac:dyDescent="0.25">
      <c r="A15" t="s">
        <v>1873</v>
      </c>
      <c r="B15" t="s">
        <v>290</v>
      </c>
      <c r="C15" t="s">
        <v>1884</v>
      </c>
      <c r="D15" t="s">
        <v>1576</v>
      </c>
      <c r="E15">
        <v>750</v>
      </c>
      <c r="F15">
        <v>60</v>
      </c>
      <c r="G15">
        <v>0</v>
      </c>
      <c r="H15">
        <v>0</v>
      </c>
      <c r="I15">
        <v>80</v>
      </c>
      <c r="J15">
        <v>60000</v>
      </c>
      <c r="K15">
        <v>250</v>
      </c>
    </row>
    <row r="16" ht="16.5" customHeight="1" spans="1:11" x14ac:dyDescent="0.25">
      <c r="A16" t="s">
        <v>1873</v>
      </c>
      <c r="B16" t="s">
        <v>291</v>
      </c>
      <c r="C16" t="s">
        <v>1885</v>
      </c>
      <c r="D16" t="s">
        <v>1576</v>
      </c>
      <c r="E16">
        <v>390</v>
      </c>
      <c r="F16">
        <v>30</v>
      </c>
      <c r="G16">
        <v>0</v>
      </c>
      <c r="H16">
        <v>0</v>
      </c>
      <c r="I16">
        <v>0</v>
      </c>
      <c r="J16">
        <v>0</v>
      </c>
      <c r="K16">
        <v>100</v>
      </c>
    </row>
    <row r="17" ht="16.5" customHeight="1" spans="1:11" x14ac:dyDescent="0.25">
      <c r="A17" t="s">
        <v>1873</v>
      </c>
      <c r="B17" t="s">
        <v>291</v>
      </c>
      <c r="C17" t="s">
        <v>1886</v>
      </c>
      <c r="D17" t="s">
        <v>1576</v>
      </c>
      <c r="E17">
        <v>920</v>
      </c>
      <c r="F17">
        <v>100</v>
      </c>
      <c r="G17">
        <v>0</v>
      </c>
      <c r="H17">
        <v>0</v>
      </c>
      <c r="I17">
        <v>150</v>
      </c>
      <c r="J17">
        <v>138000</v>
      </c>
      <c r="K17">
        <v>400</v>
      </c>
    </row>
    <row r="18" ht="16.5" customHeight="1" spans="1:11" x14ac:dyDescent="0.25">
      <c r="A18" s="12"/>
      <c r="B18" s="12"/>
      <c r="C18" s="12"/>
      <c r="D18" s="12"/>
      <c r="E18" s="14"/>
      <c r="F18" s="14"/>
      <c r="G18" s="14"/>
      <c r="H18" s="14"/>
      <c r="I18" s="16"/>
      <c r="J18" s="16"/>
      <c r="K18" s="14"/>
    </row>
    <row r="19" ht="16.5" customHeight="1" spans="1:11" x14ac:dyDescent="0.25">
      <c r="A19" s="12"/>
      <c r="B19" s="12"/>
      <c r="C19" s="12"/>
      <c r="D19" s="12"/>
      <c r="E19" s="14"/>
      <c r="F19" s="14"/>
      <c r="G19" s="14"/>
      <c r="H19" s="14"/>
      <c r="I19" s="16"/>
      <c r="J19" s="16"/>
      <c r="K19" s="14"/>
    </row>
    <row r="20" ht="16.5" customHeight="1" spans="1:11" x14ac:dyDescent="0.25">
      <c r="A20" s="12"/>
      <c r="B20" s="12"/>
      <c r="C20" s="12"/>
      <c r="D20" s="12"/>
      <c r="E20" s="14"/>
      <c r="F20" s="14"/>
      <c r="G20" s="14"/>
      <c r="H20" s="14"/>
      <c r="I20" s="16"/>
      <c r="J20" s="16"/>
      <c r="K20" s="14"/>
    </row>
    <row r="21" ht="16.5" customHeight="1" spans="1:11" x14ac:dyDescent="0.25">
      <c r="A21" s="12"/>
      <c r="B21" s="12"/>
      <c r="C21" s="12"/>
      <c r="D21" s="12"/>
      <c r="E21" s="14"/>
      <c r="F21" s="14"/>
      <c r="G21" s="14"/>
      <c r="H21" s="14"/>
      <c r="I21" s="16"/>
      <c r="J21" s="16"/>
      <c r="K21" s="14"/>
    </row>
    <row r="22" ht="16.5" customHeight="1" spans="1:11" x14ac:dyDescent="0.25">
      <c r="A22" s="12"/>
      <c r="B22" s="12"/>
      <c r="C22" s="12"/>
      <c r="D22" s="12"/>
      <c r="E22" s="14"/>
      <c r="F22" s="14"/>
      <c r="G22" s="14"/>
      <c r="H22" s="14"/>
      <c r="I22" s="16"/>
      <c r="J22" s="16"/>
      <c r="K22" s="14"/>
    </row>
    <row r="23" ht="16.5" customHeight="1" spans="1:11" x14ac:dyDescent="0.25">
      <c r="A23" s="12"/>
      <c r="B23" s="12"/>
      <c r="C23" s="12"/>
      <c r="D23" s="12"/>
      <c r="E23" s="14"/>
      <c r="F23" s="14"/>
      <c r="G23" s="14"/>
      <c r="H23" s="14"/>
      <c r="I23" s="16"/>
      <c r="J23" s="16"/>
      <c r="K23" s="14"/>
    </row>
    <row r="24" ht="16.5" customHeight="1" spans="1:11" x14ac:dyDescent="0.25">
      <c r="A24" s="12"/>
      <c r="B24" s="12"/>
      <c r="C24" s="12"/>
      <c r="D24" s="12"/>
      <c r="E24" s="14"/>
      <c r="F24" s="14"/>
      <c r="G24" s="14"/>
      <c r="H24" s="14"/>
      <c r="I24" s="16"/>
      <c r="J24" s="16"/>
      <c r="K24" s="14"/>
    </row>
    <row r="25" ht="16.5" customHeight="1" spans="1:11" x14ac:dyDescent="0.25">
      <c r="A25" s="12"/>
      <c r="B25" s="12"/>
      <c r="C25" s="12"/>
      <c r="D25" s="12"/>
      <c r="E25" s="14"/>
      <c r="F25" s="14"/>
      <c r="G25" s="14"/>
      <c r="H25" s="14"/>
      <c r="I25" s="16"/>
      <c r="J25" s="16"/>
      <c r="K25" s="14"/>
    </row>
    <row r="26" ht="16.5" customHeight="1" spans="1:11" x14ac:dyDescent="0.25">
      <c r="A26" s="12"/>
      <c r="B26" s="12"/>
      <c r="C26" s="12"/>
      <c r="D26" s="12"/>
      <c r="E26" s="14"/>
      <c r="F26" s="14"/>
      <c r="G26" s="14"/>
      <c r="H26" s="14"/>
      <c r="I26" s="16"/>
      <c r="J26" s="16"/>
      <c r="K26" s="14"/>
    </row>
    <row r="27" ht="16.5" customHeight="1" spans="1:11" x14ac:dyDescent="0.25">
      <c r="A27" s="12"/>
      <c r="B27" s="12"/>
      <c r="C27" s="12"/>
      <c r="D27" s="12"/>
      <c r="E27" s="14"/>
      <c r="F27" s="14"/>
      <c r="G27" s="14"/>
      <c r="H27" s="14"/>
      <c r="I27" s="16"/>
      <c r="J27" s="16"/>
      <c r="K27" s="14"/>
    </row>
    <row r="28" ht="16.5" customHeight="1" spans="1:11" x14ac:dyDescent="0.25">
      <c r="A28" s="12"/>
      <c r="B28" s="12"/>
      <c r="C28" s="12"/>
      <c r="D28" s="12"/>
      <c r="E28" s="14"/>
      <c r="F28" s="14"/>
      <c r="G28" s="14"/>
      <c r="H28" s="14"/>
      <c r="I28" s="16"/>
      <c r="J28" s="16"/>
      <c r="K28" s="14"/>
    </row>
    <row r="29" ht="16.5" customHeight="1" spans="1:11" x14ac:dyDescent="0.25">
      <c r="A29" s="12"/>
      <c r="B29" s="12"/>
      <c r="C29" s="12"/>
      <c r="D29" s="12"/>
      <c r="E29" s="14"/>
      <c r="F29" s="14"/>
      <c r="G29" s="14"/>
      <c r="H29" s="14"/>
      <c r="I29" s="16"/>
      <c r="J29" s="16"/>
      <c r="K29" s="14"/>
    </row>
    <row r="30" ht="16.5" customHeight="1" spans="1:11" x14ac:dyDescent="0.25">
      <c r="A30" s="12"/>
      <c r="B30" s="12"/>
      <c r="C30" s="12"/>
      <c r="D30" s="12"/>
      <c r="E30" s="14"/>
      <c r="F30" s="14"/>
      <c r="G30" s="14"/>
      <c r="H30" s="14"/>
      <c r="I30" s="16"/>
      <c r="J30" s="16"/>
      <c r="K30" s="14"/>
    </row>
    <row r="31" ht="16.5" customHeight="1" spans="1:11" x14ac:dyDescent="0.25">
      <c r="A31" s="12"/>
      <c r="B31" s="12"/>
      <c r="C31" s="12"/>
      <c r="D31" s="12"/>
      <c r="E31" s="14"/>
      <c r="F31" s="14"/>
      <c r="G31" s="14"/>
      <c r="H31" s="14"/>
      <c r="I31" s="16"/>
      <c r="J31" s="16"/>
      <c r="K31" s="14"/>
    </row>
    <row r="32" ht="16.5" customHeight="1" spans="1:11" x14ac:dyDescent="0.25">
      <c r="A32" s="12"/>
      <c r="B32" s="12"/>
      <c r="C32" s="12"/>
      <c r="D32" s="12"/>
      <c r="E32" s="14"/>
      <c r="F32" s="14"/>
      <c r="G32" s="14"/>
      <c r="H32" s="14"/>
      <c r="I32" s="16"/>
      <c r="J32" s="16"/>
      <c r="K32" s="14"/>
    </row>
    <row r="33" ht="16.5" customHeight="1" spans="1:11" x14ac:dyDescent="0.25">
      <c r="A33" s="12"/>
      <c r="B33" s="12"/>
      <c r="C33" s="12"/>
      <c r="D33" s="12"/>
      <c r="E33" s="14"/>
      <c r="F33" s="14"/>
      <c r="G33" s="14"/>
      <c r="H33" s="14"/>
      <c r="I33" s="16"/>
      <c r="J33" s="16"/>
      <c r="K33" s="14"/>
    </row>
    <row r="34" ht="16.5" customHeight="1" spans="1:11" x14ac:dyDescent="0.25">
      <c r="A34" s="12"/>
      <c r="B34" s="12"/>
      <c r="C34" s="12"/>
      <c r="D34" s="12"/>
      <c r="E34" s="14"/>
      <c r="F34" s="14"/>
      <c r="G34" s="14"/>
      <c r="H34" s="14"/>
      <c r="I34" s="16"/>
      <c r="J34" s="16"/>
      <c r="K34" s="14"/>
    </row>
    <row r="35" ht="16.5" customHeight="1" spans="1:11" x14ac:dyDescent="0.25">
      <c r="A35" s="12"/>
      <c r="B35" s="12"/>
      <c r="C35" s="12"/>
      <c r="D35" s="12"/>
      <c r="E35" s="14"/>
      <c r="F35" s="14"/>
      <c r="G35" s="14"/>
      <c r="H35" s="14"/>
      <c r="I35" s="16"/>
      <c r="J35" s="16"/>
      <c r="K35" s="14"/>
    </row>
    <row r="36" ht="16.5" customHeight="1" spans="1:11" x14ac:dyDescent="0.25">
      <c r="A36" s="12"/>
      <c r="B36" s="12"/>
      <c r="C36" s="12"/>
      <c r="D36" s="12"/>
      <c r="E36" s="14"/>
      <c r="F36" s="14"/>
      <c r="G36" s="14"/>
      <c r="H36" s="14"/>
      <c r="I36" s="16"/>
      <c r="J36" s="16"/>
      <c r="K36" s="14"/>
    </row>
    <row r="37" ht="16.5" customHeight="1" spans="1:11" x14ac:dyDescent="0.25">
      <c r="A37" s="12"/>
      <c r="B37" s="12"/>
      <c r="C37" s="12"/>
      <c r="D37" s="12"/>
      <c r="E37" s="14"/>
      <c r="F37" s="14"/>
      <c r="G37" s="14"/>
      <c r="H37" s="14"/>
      <c r="I37" s="16"/>
      <c r="J37" s="16"/>
      <c r="K37" s="14"/>
    </row>
    <row r="38" ht="16.5" customHeight="1" spans="1:11" x14ac:dyDescent="0.25">
      <c r="A38" s="12"/>
      <c r="B38" s="12"/>
      <c r="C38" s="12"/>
      <c r="D38" s="12"/>
      <c r="E38" s="14"/>
      <c r="F38" s="14"/>
      <c r="G38" s="14"/>
      <c r="H38" s="14"/>
      <c r="I38" s="16"/>
      <c r="J38" s="16"/>
      <c r="K38" s="14"/>
    </row>
    <row r="39" ht="16.5" customHeight="1" spans="1:11" x14ac:dyDescent="0.25">
      <c r="A39" s="12"/>
      <c r="B39" s="12"/>
      <c r="C39" s="12"/>
      <c r="D39" s="12"/>
      <c r="E39" s="14"/>
      <c r="F39" s="14"/>
      <c r="G39" s="14"/>
      <c r="H39" s="14"/>
      <c r="I39" s="16"/>
      <c r="J39" s="16"/>
      <c r="K39" s="14"/>
    </row>
    <row r="40" ht="16.5" customHeight="1" spans="1:11" x14ac:dyDescent="0.25">
      <c r="A40" s="12"/>
      <c r="B40" s="12"/>
      <c r="C40" s="12"/>
      <c r="D40" s="12"/>
      <c r="E40" s="14"/>
      <c r="F40" s="14"/>
      <c r="G40" s="14"/>
      <c r="H40" s="14"/>
      <c r="I40" s="16"/>
      <c r="J40" s="16"/>
      <c r="K40" s="14"/>
    </row>
    <row r="41" ht="16.5" customHeight="1" spans="1:11" x14ac:dyDescent="0.25">
      <c r="A41" s="12"/>
      <c r="B41" s="12"/>
      <c r="C41" s="12"/>
      <c r="D41" s="12"/>
      <c r="E41" s="14"/>
      <c r="F41" s="14"/>
      <c r="G41" s="14"/>
      <c r="H41" s="14"/>
      <c r="I41" s="16"/>
      <c r="J41" s="16"/>
      <c r="K41" s="14"/>
    </row>
    <row r="42" ht="16.5" customHeight="1" spans="1:11" x14ac:dyDescent="0.25">
      <c r="A42" s="12"/>
      <c r="B42" s="12"/>
      <c r="C42" s="12"/>
      <c r="D42" s="12"/>
      <c r="E42" s="14"/>
      <c r="F42" s="14"/>
      <c r="G42" s="14"/>
      <c r="H42" s="14"/>
      <c r="I42" s="16"/>
      <c r="J42" s="16"/>
      <c r="K42" s="14"/>
    </row>
    <row r="43" ht="16.5" customHeight="1" spans="1:11" x14ac:dyDescent="0.25">
      <c r="A43" s="12"/>
      <c r="B43" s="12"/>
      <c r="C43" s="12"/>
      <c r="D43" s="12"/>
      <c r="E43" s="14"/>
      <c r="F43" s="14"/>
      <c r="G43" s="14"/>
      <c r="H43" s="14"/>
      <c r="I43" s="16"/>
      <c r="J43" s="16"/>
      <c r="K43" s="14"/>
    </row>
    <row r="44" ht="16.5" customHeight="1" spans="1:11" x14ac:dyDescent="0.25">
      <c r="A44" s="12"/>
      <c r="B44" s="12"/>
      <c r="C44" s="12"/>
      <c r="D44" s="12"/>
      <c r="E44" s="14"/>
      <c r="F44" s="14"/>
      <c r="G44" s="14"/>
      <c r="H44" s="14"/>
      <c r="I44" s="16"/>
      <c r="J44" s="16"/>
      <c r="K44" s="14"/>
    </row>
    <row r="45" ht="16.5" customHeight="1" spans="1:11" x14ac:dyDescent="0.25">
      <c r="A45" s="12"/>
      <c r="B45" s="12"/>
      <c r="C45" s="12"/>
      <c r="D45" s="12"/>
      <c r="E45" s="14"/>
      <c r="F45" s="14"/>
      <c r="G45" s="14"/>
      <c r="H45" s="14"/>
      <c r="I45" s="16"/>
      <c r="J45" s="16"/>
      <c r="K45" s="14"/>
    </row>
    <row r="46" ht="16.5" customHeight="1" spans="1:11" x14ac:dyDescent="0.25">
      <c r="A46" s="12"/>
      <c r="B46" s="12"/>
      <c r="C46" s="12"/>
      <c r="D46" s="12"/>
      <c r="E46" s="14"/>
      <c r="F46" s="14"/>
      <c r="G46" s="14"/>
      <c r="H46" s="14"/>
      <c r="I46" s="16"/>
      <c r="J46" s="16"/>
      <c r="K46" s="14"/>
    </row>
    <row r="47" ht="16.5" customHeight="1" spans="1:11" x14ac:dyDescent="0.25">
      <c r="A47" s="12"/>
      <c r="B47" s="12"/>
      <c r="C47" s="12"/>
      <c r="D47" s="12"/>
      <c r="E47" s="14"/>
      <c r="F47" s="14"/>
      <c r="G47" s="14"/>
      <c r="H47" s="14"/>
      <c r="I47" s="16"/>
      <c r="J47" s="16"/>
      <c r="K47" s="14"/>
    </row>
    <row r="48" ht="16.5" customHeight="1" spans="1:11" x14ac:dyDescent="0.25">
      <c r="A48" s="12"/>
      <c r="B48" s="12"/>
      <c r="C48" s="12"/>
      <c r="D48" s="12"/>
      <c r="E48" s="14"/>
      <c r="F48" s="14"/>
      <c r="G48" s="14"/>
      <c r="H48" s="14"/>
      <c r="I48" s="16"/>
      <c r="J48" s="16"/>
      <c r="K48" s="14"/>
    </row>
    <row r="49" ht="16.5" customHeight="1" spans="1:11" x14ac:dyDescent="0.25">
      <c r="A49" s="12"/>
      <c r="B49" s="12"/>
      <c r="C49" s="12"/>
      <c r="D49" s="12"/>
      <c r="E49" s="14"/>
      <c r="F49" s="14"/>
      <c r="G49" s="14"/>
      <c r="H49" s="14"/>
      <c r="I49" s="16"/>
      <c r="J49" s="16"/>
      <c r="K49" s="14"/>
    </row>
    <row r="50" ht="16.5" customHeight="1" spans="1:11" x14ac:dyDescent="0.25">
      <c r="A50" s="12"/>
      <c r="B50" s="12"/>
      <c r="C50" s="12"/>
      <c r="D50" s="12"/>
      <c r="E50" s="14"/>
      <c r="F50" s="14"/>
      <c r="G50" s="14"/>
      <c r="H50" s="14"/>
      <c r="I50" s="16"/>
      <c r="J50" s="16"/>
      <c r="K50" s="14"/>
    </row>
    <row r="51" ht="16.5" customHeight="1" spans="1:11" x14ac:dyDescent="0.25">
      <c r="A51" s="12"/>
      <c r="B51" s="12"/>
      <c r="C51" s="12"/>
      <c r="D51" s="12"/>
      <c r="E51" s="14"/>
      <c r="F51" s="14"/>
      <c r="G51" s="14"/>
      <c r="H51" s="14"/>
      <c r="I51" s="16"/>
      <c r="J51" s="16"/>
      <c r="K51" s="14"/>
    </row>
    <row r="52" ht="16.5" customHeight="1" spans="1:11" x14ac:dyDescent="0.25">
      <c r="A52" s="12"/>
      <c r="B52" s="12"/>
      <c r="C52" s="12"/>
      <c r="D52" s="12"/>
      <c r="E52" s="14"/>
      <c r="F52" s="14"/>
      <c r="G52" s="14"/>
      <c r="H52" s="14"/>
      <c r="I52" s="16"/>
      <c r="J52" s="16"/>
      <c r="K52" s="14"/>
    </row>
    <row r="53" ht="16.5" customHeight="1" spans="1:11" x14ac:dyDescent="0.25">
      <c r="A53" s="12"/>
      <c r="B53" s="12"/>
      <c r="C53" s="12"/>
      <c r="D53" s="12"/>
      <c r="E53" s="14"/>
      <c r="F53" s="14"/>
      <c r="G53" s="14"/>
      <c r="H53" s="14"/>
      <c r="I53" s="16"/>
      <c r="J53" s="16"/>
      <c r="K53" s="14"/>
    </row>
    <row r="54" ht="16.5" customHeight="1" spans="1:11" x14ac:dyDescent="0.25">
      <c r="A54" s="12"/>
      <c r="B54" s="12"/>
      <c r="C54" s="12"/>
      <c r="D54" s="12"/>
      <c r="E54" s="14"/>
      <c r="F54" s="14"/>
      <c r="G54" s="14"/>
      <c r="H54" s="14"/>
      <c r="I54" s="16"/>
      <c r="J54" s="16"/>
      <c r="K54" s="14"/>
    </row>
    <row r="55" ht="16.5" customHeight="1" spans="1:11" x14ac:dyDescent="0.25">
      <c r="A55" s="12"/>
      <c r="B55" s="12"/>
      <c r="C55" s="12"/>
      <c r="D55" s="12"/>
      <c r="E55" s="14"/>
      <c r="F55" s="14"/>
      <c r="G55" s="14"/>
      <c r="H55" s="14"/>
      <c r="I55" s="16"/>
      <c r="J55" s="16"/>
      <c r="K55" s="14"/>
    </row>
    <row r="56" ht="16.5" customHeight="1" spans="1:11" x14ac:dyDescent="0.25">
      <c r="A56" s="12"/>
      <c r="B56" s="12"/>
      <c r="C56" s="12"/>
      <c r="D56" s="12"/>
      <c r="E56" s="14"/>
      <c r="F56" s="14"/>
      <c r="G56" s="14"/>
      <c r="H56" s="14"/>
      <c r="I56" s="16"/>
      <c r="J56" s="16"/>
      <c r="K56" s="14"/>
    </row>
    <row r="57" ht="16.5" customHeight="1" spans="1:11" x14ac:dyDescent="0.25">
      <c r="A57" s="12"/>
      <c r="B57" s="12"/>
      <c r="C57" s="12"/>
      <c r="D57" s="12"/>
      <c r="E57" s="14"/>
      <c r="F57" s="14"/>
      <c r="G57" s="14"/>
      <c r="H57" s="14"/>
      <c r="I57" s="16"/>
      <c r="J57" s="16"/>
      <c r="K57" s="14"/>
    </row>
    <row r="58" ht="16.5" customHeight="1" spans="1:11" x14ac:dyDescent="0.25">
      <c r="A58" s="12"/>
      <c r="B58" s="12"/>
      <c r="C58" s="12"/>
      <c r="D58" s="12"/>
      <c r="E58" s="14"/>
      <c r="F58" s="14"/>
      <c r="G58" s="14"/>
      <c r="H58" s="14"/>
      <c r="I58" s="16"/>
      <c r="J58" s="16"/>
      <c r="K58" s="14"/>
    </row>
    <row r="59" ht="16.5" customHeight="1" spans="1:11" x14ac:dyDescent="0.25">
      <c r="A59" s="12"/>
      <c r="B59" s="12"/>
      <c r="C59" s="12"/>
      <c r="D59" s="12"/>
      <c r="E59" s="14"/>
      <c r="F59" s="14"/>
      <c r="G59" s="14"/>
      <c r="H59" s="14"/>
      <c r="I59" s="16"/>
      <c r="J59" s="16"/>
      <c r="K59" s="14"/>
    </row>
    <row r="60" ht="16.5" customHeight="1" spans="1:11" x14ac:dyDescent="0.25">
      <c r="A60" s="12"/>
      <c r="B60" s="12"/>
      <c r="C60" s="12"/>
      <c r="D60" s="12"/>
      <c r="E60" s="14"/>
      <c r="F60" s="14"/>
      <c r="G60" s="14"/>
      <c r="H60" s="14"/>
      <c r="I60" s="16"/>
      <c r="J60" s="16"/>
      <c r="K60" s="14"/>
    </row>
    <row r="61" ht="16.5" customHeight="1" spans="1:11" x14ac:dyDescent="0.25">
      <c r="A61" s="12"/>
      <c r="B61" s="12"/>
      <c r="C61" s="12"/>
      <c r="D61" s="12"/>
      <c r="E61" s="14"/>
      <c r="F61" s="14"/>
      <c r="G61" s="14"/>
      <c r="H61" s="14"/>
      <c r="I61" s="16"/>
      <c r="J61" s="16"/>
      <c r="K61" s="14"/>
    </row>
    <row r="62" ht="16.5" customHeight="1" spans="1:11" x14ac:dyDescent="0.25">
      <c r="A62" s="12"/>
      <c r="B62" s="12"/>
      <c r="C62" s="12"/>
      <c r="D62" s="12"/>
      <c r="E62" s="14"/>
      <c r="F62" s="14"/>
      <c r="G62" s="14"/>
      <c r="H62" s="14"/>
      <c r="I62" s="16"/>
      <c r="J62" s="16"/>
      <c r="K62" s="14"/>
    </row>
    <row r="63" ht="16.5" customHeight="1" spans="1:11" x14ac:dyDescent="0.25">
      <c r="A63" s="12"/>
      <c r="B63" s="12"/>
      <c r="C63" s="12"/>
      <c r="D63" s="12"/>
      <c r="E63" s="14"/>
      <c r="F63" s="14"/>
      <c r="G63" s="14"/>
      <c r="H63" s="14"/>
      <c r="I63" s="16"/>
      <c r="J63" s="16"/>
      <c r="K63" s="14"/>
    </row>
    <row r="64" ht="16.5" customHeight="1" spans="1:11" x14ac:dyDescent="0.25">
      <c r="A64" s="12"/>
      <c r="B64" s="12"/>
      <c r="C64" s="12"/>
      <c r="D64" s="12"/>
      <c r="E64" s="14"/>
      <c r="F64" s="14"/>
      <c r="G64" s="14"/>
      <c r="H64" s="14"/>
      <c r="I64" s="16"/>
      <c r="J64" s="16"/>
      <c r="K64" s="14"/>
    </row>
    <row r="65" ht="16.5" customHeight="1" spans="1:11" x14ac:dyDescent="0.25">
      <c r="A65" s="12"/>
      <c r="B65" s="12"/>
      <c r="C65" s="12"/>
      <c r="D65" s="12"/>
      <c r="E65" s="14"/>
      <c r="F65" s="14"/>
      <c r="G65" s="14"/>
      <c r="H65" s="14"/>
      <c r="I65" s="16"/>
      <c r="J65" s="16"/>
      <c r="K65" s="14"/>
    </row>
    <row r="66" ht="16.5" customHeight="1" spans="1:11" x14ac:dyDescent="0.25">
      <c r="A66" s="12"/>
      <c r="B66" s="12"/>
      <c r="C66" s="12"/>
      <c r="D66" s="12"/>
      <c r="E66" s="14"/>
      <c r="F66" s="14"/>
      <c r="G66" s="14"/>
      <c r="H66" s="14"/>
      <c r="I66" s="16"/>
      <c r="J66" s="16"/>
      <c r="K66" s="14"/>
    </row>
    <row r="67" ht="16.5" customHeight="1" spans="1:11" x14ac:dyDescent="0.25">
      <c r="A67" s="12"/>
      <c r="B67" s="12"/>
      <c r="C67" s="12"/>
      <c r="D67" s="12"/>
      <c r="E67" s="14"/>
      <c r="F67" s="14"/>
      <c r="G67" s="14"/>
      <c r="H67" s="14"/>
      <c r="I67" s="16"/>
      <c r="J67" s="16"/>
      <c r="K67" s="14"/>
    </row>
    <row r="68" ht="16.5" customHeight="1" spans="1:11" x14ac:dyDescent="0.25">
      <c r="A68" s="12"/>
      <c r="B68" s="12"/>
      <c r="C68" s="12"/>
      <c r="D68" s="12"/>
      <c r="E68" s="14"/>
      <c r="F68" s="14"/>
      <c r="G68" s="14"/>
      <c r="H68" s="14"/>
      <c r="I68" s="16"/>
      <c r="J68" s="16"/>
      <c r="K68" s="14"/>
    </row>
    <row r="69" ht="16.5" customHeight="1" spans="1:11" x14ac:dyDescent="0.25">
      <c r="A69" s="12"/>
      <c r="B69" s="12"/>
      <c r="C69" s="12"/>
      <c r="D69" s="12"/>
      <c r="E69" s="14"/>
      <c r="F69" s="14"/>
      <c r="G69" s="14"/>
      <c r="H69" s="14"/>
      <c r="I69" s="16"/>
      <c r="J69" s="16"/>
      <c r="K69" s="14"/>
    </row>
    <row r="70" ht="16.5" customHeight="1" spans="1:11" x14ac:dyDescent="0.25">
      <c r="A70" s="12"/>
      <c r="B70" s="12"/>
      <c r="C70" s="12"/>
      <c r="D70" s="12"/>
      <c r="E70" s="14"/>
      <c r="F70" s="14"/>
      <c r="G70" s="14"/>
      <c r="H70" s="14"/>
      <c r="I70" s="16"/>
      <c r="J70" s="16"/>
      <c r="K70" s="14"/>
    </row>
    <row r="71" ht="16.5" customHeight="1" spans="1:11" x14ac:dyDescent="0.25">
      <c r="A71" s="12"/>
      <c r="B71" s="12"/>
      <c r="C71" s="12"/>
      <c r="D71" s="12"/>
      <c r="E71" s="14"/>
      <c r="F71" s="14"/>
      <c r="G71" s="14"/>
      <c r="H71" s="14"/>
      <c r="I71" s="16"/>
      <c r="J71" s="16"/>
      <c r="K71" s="14"/>
    </row>
    <row r="72" ht="16.5" customHeight="1" spans="1:11" x14ac:dyDescent="0.25">
      <c r="A72" s="12"/>
      <c r="B72" s="12"/>
      <c r="C72" s="12"/>
      <c r="D72" s="12"/>
      <c r="E72" s="14"/>
      <c r="F72" s="14"/>
      <c r="G72" s="14"/>
      <c r="H72" s="14"/>
      <c r="I72" s="16"/>
      <c r="J72" s="16"/>
      <c r="K72" s="14"/>
    </row>
    <row r="73" ht="16.5" customHeight="1" spans="1:11" x14ac:dyDescent="0.25">
      <c r="A73" s="12"/>
      <c r="B73" s="12"/>
      <c r="C73" s="12"/>
      <c r="D73" s="12"/>
      <c r="E73" s="14"/>
      <c r="F73" s="14"/>
      <c r="G73" s="14"/>
      <c r="H73" s="14"/>
      <c r="I73" s="16"/>
      <c r="J73" s="16"/>
      <c r="K73" s="14"/>
    </row>
    <row r="74" ht="16.5" customHeight="1" spans="1:11" x14ac:dyDescent="0.25">
      <c r="A74" s="12"/>
      <c r="B74" s="12"/>
      <c r="C74" s="12"/>
      <c r="D74" s="12"/>
      <c r="E74" s="14"/>
      <c r="F74" s="14"/>
      <c r="G74" s="14"/>
      <c r="H74" s="14"/>
      <c r="I74" s="16"/>
      <c r="J74" s="16"/>
      <c r="K74" s="14"/>
    </row>
    <row r="75" ht="16.5" customHeight="1" spans="1:11" x14ac:dyDescent="0.25">
      <c r="A75" s="12"/>
      <c r="B75" s="12"/>
      <c r="C75" s="12"/>
      <c r="D75" s="12"/>
      <c r="E75" s="14"/>
      <c r="F75" s="14"/>
      <c r="G75" s="14"/>
      <c r="H75" s="14"/>
      <c r="I75" s="16"/>
      <c r="J75" s="16"/>
      <c r="K75" s="14"/>
    </row>
    <row r="76" ht="16.5" customHeight="1" spans="1:11" x14ac:dyDescent="0.25">
      <c r="A76" s="12"/>
      <c r="B76" s="12"/>
      <c r="C76" s="12"/>
      <c r="D76" s="12"/>
      <c r="E76" s="14"/>
      <c r="F76" s="14"/>
      <c r="G76" s="14"/>
      <c r="H76" s="14"/>
      <c r="I76" s="16"/>
      <c r="J76" s="16"/>
      <c r="K76" s="14"/>
    </row>
    <row r="77" ht="16.5" customHeight="1" spans="1:11" x14ac:dyDescent="0.25">
      <c r="A77" s="12"/>
      <c r="B77" s="12"/>
      <c r="C77" s="12"/>
      <c r="D77" s="12"/>
      <c r="E77" s="14"/>
      <c r="F77" s="14"/>
      <c r="G77" s="14"/>
      <c r="H77" s="14"/>
      <c r="I77" s="16"/>
      <c r="J77" s="16"/>
      <c r="K77" s="14"/>
    </row>
    <row r="78" ht="16.5" customHeight="1" spans="1:11" x14ac:dyDescent="0.25">
      <c r="A78" s="12"/>
      <c r="B78" s="12"/>
      <c r="C78" s="12"/>
      <c r="D78" s="12"/>
      <c r="E78" s="14"/>
      <c r="F78" s="14"/>
      <c r="G78" s="14"/>
      <c r="H78" s="14"/>
      <c r="I78" s="16"/>
      <c r="J78" s="16"/>
      <c r="K78" s="14"/>
    </row>
    <row r="79" ht="16.5" customHeight="1" spans="1:11" x14ac:dyDescent="0.25">
      <c r="A79" s="12"/>
      <c r="B79" s="12"/>
      <c r="C79" s="12"/>
      <c r="D79" s="12"/>
      <c r="E79" s="14"/>
      <c r="F79" s="14"/>
      <c r="G79" s="14"/>
      <c r="H79" s="14"/>
      <c r="I79" s="16"/>
      <c r="J79" s="16"/>
      <c r="K79" s="14"/>
    </row>
    <row r="80" ht="16.5" customHeight="1" spans="1:11" x14ac:dyDescent="0.25">
      <c r="A80" s="12"/>
      <c r="B80" s="12"/>
      <c r="C80" s="12"/>
      <c r="D80" s="12"/>
      <c r="E80" s="14"/>
      <c r="F80" s="14"/>
      <c r="G80" s="14"/>
      <c r="H80" s="14"/>
      <c r="I80" s="16"/>
      <c r="J80" s="16"/>
      <c r="K80" s="14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1534</v>
      </c>
      <c r="B1" t="s">
        <v>1535</v>
      </c>
      <c r="D1" t="s">
        <v>1536</v>
      </c>
      <c r="L1" t="s">
        <v>1537</v>
      </c>
    </row>
    <row r="2" ht="26.25" customHeight="1" spans="1:6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</row>
    <row r="3" ht="26.25" customHeight="1" spans="1:4" x14ac:dyDescent="0.25">
      <c r="A3" t="s">
        <v>1544</v>
      </c>
      <c r="B3" t="s">
        <v>1535</v>
      </c>
      <c r="D3" t="s">
        <v>1536</v>
      </c>
    </row>
    <row r="4" ht="16.5" customHeight="1" spans="1:1" x14ac:dyDescent="0.25">
      <c r="A4" t="s">
        <v>1887</v>
      </c>
    </row>
    <row r="5" ht="16.5" customHeight="1" spans="16:20" x14ac:dyDescent="0.25">
      <c r="P5" t="s">
        <v>346</v>
      </c>
      <c r="Q5" t="s">
        <v>346</v>
      </c>
      <c r="R5" t="s">
        <v>346</v>
      </c>
      <c r="S5" t="s">
        <v>346</v>
      </c>
      <c r="T5" t="s">
        <v>346</v>
      </c>
    </row>
    <row r="6" ht="16.5" customHeight="1" spans="1:20" x14ac:dyDescent="0.25">
      <c r="A6" s="12" t="s">
        <v>1888</v>
      </c>
      <c r="B6" s="12" t="s">
        <v>221</v>
      </c>
      <c r="C6" s="12" t="s">
        <v>1889</v>
      </c>
      <c r="D6" s="12" t="s">
        <v>1890</v>
      </c>
      <c r="E6" s="12" t="s">
        <v>1891</v>
      </c>
      <c r="F6" s="12" t="s">
        <v>1892</v>
      </c>
      <c r="G6" s="12" t="s">
        <v>1550</v>
      </c>
      <c r="H6" s="12" t="s">
        <v>67</v>
      </c>
      <c r="I6" s="12" t="s">
        <v>1551</v>
      </c>
      <c r="J6" s="12" t="s">
        <v>277</v>
      </c>
      <c r="K6" s="12" t="s">
        <v>336</v>
      </c>
      <c r="L6" s="12" t="s">
        <v>1555</v>
      </c>
      <c r="M6" s="12" t="s">
        <v>1893</v>
      </c>
      <c r="N6" s="12" t="s">
        <v>1894</v>
      </c>
      <c r="O6" s="12" t="s">
        <v>18</v>
      </c>
      <c r="P6" s="12" t="s">
        <v>1560</v>
      </c>
      <c r="Q6" s="12" t="s">
        <v>1895</v>
      </c>
      <c r="R6" s="12" t="s">
        <v>1896</v>
      </c>
      <c r="S6" s="12" t="s">
        <v>1897</v>
      </c>
      <c r="T6" s="12" t="s">
        <v>1898</v>
      </c>
    </row>
    <row r="7" ht="16.5" customHeight="1" spans="1:20" x14ac:dyDescent="0.25">
      <c r="A7" t="s">
        <v>345</v>
      </c>
      <c r="B7" t="s">
        <v>1566</v>
      </c>
      <c r="C7" t="s">
        <v>1899</v>
      </c>
      <c r="D7" s="13">
        <v>46244</v>
      </c>
      <c r="E7" t="s">
        <v>1900</v>
      </c>
      <c r="F7" t="s">
        <v>1901</v>
      </c>
      <c r="G7" t="s">
        <v>1902</v>
      </c>
      <c r="H7" t="s">
        <v>1572</v>
      </c>
      <c r="I7" t="s">
        <v>255</v>
      </c>
      <c r="J7" t="s">
        <v>1903</v>
      </c>
      <c r="K7" t="s">
        <v>1904</v>
      </c>
      <c r="L7" t="s">
        <v>1576</v>
      </c>
      <c r="M7" t="s">
        <v>1873</v>
      </c>
      <c r="N7" t="s">
        <v>1905</v>
      </c>
      <c r="O7" t="s">
        <v>1602</v>
      </c>
      <c r="P7">
        <v>1</v>
      </c>
      <c r="Q7">
        <v>48500</v>
      </c>
      <c r="R7">
        <v>0</v>
      </c>
      <c r="S7">
        <v>0</v>
      </c>
      <c r="T7">
        <v>0</v>
      </c>
    </row>
    <row r="8" ht="16.5" customHeight="1" spans="1:20" x14ac:dyDescent="0.25">
      <c r="A8" t="s">
        <v>345</v>
      </c>
      <c r="B8" t="s">
        <v>1566</v>
      </c>
      <c r="C8" t="s">
        <v>1906</v>
      </c>
      <c r="D8" s="13">
        <v>46246</v>
      </c>
      <c r="E8" t="s">
        <v>1907</v>
      </c>
      <c r="F8" t="s">
        <v>1908</v>
      </c>
      <c r="G8" t="s">
        <v>1902</v>
      </c>
      <c r="H8" t="s">
        <v>1572</v>
      </c>
      <c r="I8" t="s">
        <v>255</v>
      </c>
      <c r="J8" t="s">
        <v>1909</v>
      </c>
      <c r="K8" t="s">
        <v>1910</v>
      </c>
      <c r="L8" t="s">
        <v>1576</v>
      </c>
      <c r="M8" t="s">
        <v>1873</v>
      </c>
      <c r="N8" t="s">
        <v>1911</v>
      </c>
      <c r="O8" t="s">
        <v>1575</v>
      </c>
      <c r="P8">
        <v>1</v>
      </c>
      <c r="Q8">
        <v>62100</v>
      </c>
      <c r="R8">
        <v>0</v>
      </c>
      <c r="S8">
        <v>0</v>
      </c>
      <c r="T8">
        <v>0</v>
      </c>
    </row>
    <row r="9" ht="16.5" customHeight="1" spans="1:20" x14ac:dyDescent="0.25">
      <c r="A9" t="s">
        <v>345</v>
      </c>
      <c r="B9" t="s">
        <v>1566</v>
      </c>
      <c r="C9" t="s">
        <v>1912</v>
      </c>
      <c r="D9" s="13">
        <v>46249</v>
      </c>
      <c r="E9" t="s">
        <v>1913</v>
      </c>
      <c r="F9" t="s">
        <v>1914</v>
      </c>
      <c r="G9" t="s">
        <v>1902</v>
      </c>
      <c r="H9" t="s">
        <v>1572</v>
      </c>
      <c r="I9" t="s">
        <v>255</v>
      </c>
      <c r="J9" t="s">
        <v>1915</v>
      </c>
      <c r="K9" t="s">
        <v>1916</v>
      </c>
      <c r="L9" t="s">
        <v>1576</v>
      </c>
      <c r="M9" t="s">
        <v>1873</v>
      </c>
      <c r="N9" t="s">
        <v>1917</v>
      </c>
      <c r="O9" t="s">
        <v>1591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4"/>
      <c r="Q10" s="9"/>
      <c r="R10" s="16"/>
      <c r="S10" s="9"/>
      <c r="T10" s="17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4"/>
      <c r="Q11" s="9"/>
      <c r="R11" s="16"/>
      <c r="S11" s="9"/>
      <c r="T11" s="17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4"/>
      <c r="Q12" s="9"/>
      <c r="R12" s="16"/>
      <c r="S12" s="9"/>
      <c r="T12" s="17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4"/>
      <c r="Q13" s="9"/>
      <c r="R13" s="16"/>
      <c r="S13" s="9"/>
      <c r="T13" s="17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4"/>
      <c r="Q14" s="9"/>
      <c r="R14" s="16"/>
      <c r="S14" s="9"/>
      <c r="T14" s="17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4"/>
      <c r="Q15" s="9"/>
      <c r="R15" s="16"/>
      <c r="S15" s="9"/>
      <c r="T15" s="17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4"/>
      <c r="Q16" s="9"/>
      <c r="R16" s="16"/>
      <c r="S16" s="9"/>
      <c r="T16" s="17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4"/>
      <c r="Q17" s="9"/>
      <c r="R17" s="16"/>
      <c r="S17" s="9"/>
      <c r="T17" s="17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4"/>
      <c r="Q18" s="9"/>
      <c r="R18" s="16"/>
      <c r="S18" s="9"/>
      <c r="T18" s="17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4"/>
      <c r="Q19" s="9"/>
      <c r="R19" s="16"/>
      <c r="S19" s="9"/>
      <c r="T19" s="17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4"/>
      <c r="Q20" s="9"/>
      <c r="R20" s="16"/>
      <c r="S20" s="9"/>
      <c r="T20" s="17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4"/>
      <c r="Q21" s="9"/>
      <c r="R21" s="16"/>
      <c r="S21" s="9"/>
      <c r="T21" s="17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4"/>
      <c r="Q22" s="9"/>
      <c r="R22" s="16"/>
      <c r="S22" s="9"/>
      <c r="T22" s="17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4"/>
      <c r="Q23" s="9"/>
      <c r="R23" s="16"/>
      <c r="S23" s="9"/>
      <c r="T23" s="17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4"/>
      <c r="Q24" s="9"/>
      <c r="R24" s="16"/>
      <c r="S24" s="9"/>
      <c r="T24" s="17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4"/>
      <c r="Q25" s="9"/>
      <c r="R25" s="16"/>
      <c r="S25" s="9"/>
      <c r="T25" s="17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4"/>
      <c r="Q26" s="9"/>
      <c r="R26" s="16"/>
      <c r="S26" s="9"/>
      <c r="T26" s="17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4"/>
      <c r="Q27" s="9"/>
      <c r="R27" s="16"/>
      <c r="S27" s="9"/>
      <c r="T27" s="17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4"/>
      <c r="Q28" s="9"/>
      <c r="R28" s="16"/>
      <c r="S28" s="9"/>
      <c r="T28" s="17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4"/>
      <c r="Q29" s="9"/>
      <c r="R29" s="16"/>
      <c r="S29" s="9"/>
      <c r="T29" s="17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4"/>
      <c r="Q30" s="9"/>
      <c r="R30" s="16"/>
      <c r="S30" s="9"/>
      <c r="T30" s="17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4"/>
      <c r="Q31" s="9"/>
      <c r="R31" s="16"/>
      <c r="S31" s="9"/>
      <c r="T31" s="17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4"/>
      <c r="Q32" s="9"/>
      <c r="R32" s="16"/>
      <c r="S32" s="9"/>
      <c r="T32" s="17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4"/>
      <c r="Q33" s="9"/>
      <c r="R33" s="16"/>
      <c r="S33" s="9"/>
      <c r="T33" s="17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4"/>
      <c r="Q34" s="9"/>
      <c r="R34" s="16"/>
      <c r="S34" s="9"/>
      <c r="T34" s="17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4"/>
      <c r="Q35" s="9"/>
      <c r="R35" s="16"/>
      <c r="S35" s="9"/>
      <c r="T35" s="17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4"/>
      <c r="Q36" s="9"/>
      <c r="R36" s="16"/>
      <c r="S36" s="9"/>
      <c r="T36" s="17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4"/>
      <c r="Q37" s="9"/>
      <c r="R37" s="16"/>
      <c r="S37" s="9"/>
      <c r="T37" s="17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4"/>
      <c r="Q38" s="9"/>
      <c r="R38" s="16"/>
      <c r="S38" s="9"/>
      <c r="T38" s="17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4"/>
      <c r="Q39" s="9"/>
      <c r="R39" s="16"/>
      <c r="S39" s="9"/>
      <c r="T39" s="17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4"/>
      <c r="Q40" s="9"/>
      <c r="R40" s="16"/>
      <c r="S40" s="9"/>
      <c r="T40" s="17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4"/>
      <c r="Q41" s="9"/>
      <c r="R41" s="16"/>
      <c r="S41" s="9"/>
      <c r="T41" s="17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4"/>
      <c r="Q42" s="9"/>
      <c r="R42" s="16"/>
      <c r="S42" s="9"/>
      <c r="T42" s="17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4"/>
      <c r="Q43" s="9"/>
      <c r="R43" s="16"/>
      <c r="S43" s="9"/>
      <c r="T43" s="17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4"/>
      <c r="Q44" s="9"/>
      <c r="R44" s="16"/>
      <c r="S44" s="9"/>
      <c r="T44" s="17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4"/>
      <c r="Q45" s="9"/>
      <c r="R45" s="16"/>
      <c r="S45" s="9"/>
      <c r="T45" s="17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4"/>
      <c r="Q46" s="9"/>
      <c r="R46" s="16"/>
      <c r="S46" s="9"/>
      <c r="T46" s="17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4"/>
      <c r="Q47" s="9"/>
      <c r="R47" s="16"/>
      <c r="S47" s="9"/>
      <c r="T47" s="17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4"/>
      <c r="Q48" s="9"/>
      <c r="R48" s="16"/>
      <c r="S48" s="9"/>
      <c r="T48" s="17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4"/>
      <c r="Q49" s="9"/>
      <c r="R49" s="16"/>
      <c r="S49" s="9"/>
      <c r="T49" s="17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4"/>
      <c r="Q50" s="9"/>
      <c r="R50" s="16"/>
      <c r="S50" s="9"/>
      <c r="T50" s="17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4"/>
      <c r="Q51" s="9"/>
      <c r="R51" s="16"/>
      <c r="S51" s="9"/>
      <c r="T51" s="17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4"/>
      <c r="Q52" s="9"/>
      <c r="R52" s="16"/>
      <c r="S52" s="9"/>
      <c r="T52" s="17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4"/>
      <c r="Q53" s="9"/>
      <c r="R53" s="16"/>
      <c r="S53" s="9"/>
      <c r="T53" s="17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4"/>
      <c r="Q54" s="9"/>
      <c r="R54" s="16"/>
      <c r="S54" s="9"/>
      <c r="T54" s="17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4"/>
      <c r="Q55" s="9"/>
      <c r="R55" s="16"/>
      <c r="S55" s="9"/>
      <c r="T55" s="17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4"/>
      <c r="Q56" s="9"/>
      <c r="R56" s="16"/>
      <c r="S56" s="9"/>
      <c r="T56" s="17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4"/>
      <c r="Q57" s="9"/>
      <c r="R57" s="16"/>
      <c r="S57" s="9"/>
      <c r="T57" s="17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4"/>
      <c r="Q58" s="9"/>
      <c r="R58" s="16"/>
      <c r="S58" s="9"/>
      <c r="T58" s="17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4"/>
      <c r="Q59" s="9"/>
      <c r="R59" s="16"/>
      <c r="S59" s="9"/>
      <c r="T59" s="17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4"/>
      <c r="Q60" s="9"/>
      <c r="R60" s="16"/>
      <c r="S60" s="9"/>
      <c r="T60" s="17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4"/>
      <c r="Q61" s="9"/>
      <c r="R61" s="16"/>
      <c r="S61" s="9"/>
      <c r="T61" s="17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4"/>
      <c r="Q62" s="9"/>
      <c r="R62" s="16"/>
      <c r="S62" s="9"/>
      <c r="T62" s="17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4"/>
      <c r="Q63" s="9"/>
      <c r="R63" s="16"/>
      <c r="S63" s="9"/>
      <c r="T63" s="17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4"/>
      <c r="Q64" s="9"/>
      <c r="R64" s="16"/>
      <c r="S64" s="9"/>
      <c r="T64" s="17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4"/>
      <c r="Q65" s="9"/>
      <c r="R65" s="16"/>
      <c r="S65" s="9"/>
      <c r="T65" s="17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4"/>
      <c r="Q66" s="9"/>
      <c r="R66" s="16"/>
      <c r="S66" s="9"/>
      <c r="T66" s="17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4"/>
      <c r="Q67" s="9"/>
      <c r="R67" s="16"/>
      <c r="S67" s="9"/>
      <c r="T67" s="17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4"/>
      <c r="Q68" s="9"/>
      <c r="R68" s="16"/>
      <c r="S68" s="9"/>
      <c r="T68" s="17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4"/>
      <c r="Q69" s="9"/>
      <c r="R69" s="16"/>
      <c r="S69" s="9"/>
      <c r="T69" s="17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4"/>
      <c r="Q70" s="9"/>
      <c r="R70" s="16"/>
      <c r="S70" s="9"/>
      <c r="T70" s="17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4"/>
      <c r="Q71" s="9"/>
      <c r="R71" s="16"/>
      <c r="S71" s="9"/>
      <c r="T71" s="17"/>
    </row>
    <row r="72" ht="16.5" customHeight="1" spans="3:20" x14ac:dyDescent="0.25">
      <c r="C72" t="s">
        <v>1918</v>
      </c>
      <c r="E72" t="s">
        <v>1919</v>
      </c>
      <c r="O72" t="s">
        <v>1920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1921</v>
      </c>
      <c r="E73" t="s">
        <v>1922</v>
      </c>
      <c r="O73" t="s">
        <v>1920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1923</v>
      </c>
      <c r="E74" t="s">
        <v>1924</v>
      </c>
      <c r="O74" t="s">
        <v>1925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1923</v>
      </c>
      <c r="E75" t="s">
        <v>1926</v>
      </c>
      <c r="O75" t="s">
        <v>1920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1923</v>
      </c>
      <c r="E76" t="s">
        <v>1927</v>
      </c>
      <c r="O76" t="s">
        <v>1920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1923</v>
      </c>
      <c r="E77" t="s">
        <v>1928</v>
      </c>
      <c r="O77" t="s">
        <v>1925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1929</v>
      </c>
      <c r="E78" t="s">
        <v>1930</v>
      </c>
      <c r="O78" t="s">
        <v>1931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1923</v>
      </c>
      <c r="E79" t="s">
        <v>1932</v>
      </c>
      <c r="O79" t="s">
        <v>1925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1923</v>
      </c>
      <c r="E80" t="s">
        <v>1933</v>
      </c>
      <c r="O80" t="s">
        <v>1934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1935</v>
      </c>
      <c r="E81" t="s">
        <v>1936</v>
      </c>
      <c r="O81" t="s">
        <v>1937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1935</v>
      </c>
      <c r="E82" t="s">
        <v>1938</v>
      </c>
      <c r="O82" t="s">
        <v>1937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1918</v>
      </c>
      <c r="E83" t="s">
        <v>1939</v>
      </c>
      <c r="O83" t="s">
        <v>1920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1918</v>
      </c>
      <c r="E84" t="s">
        <v>1940</v>
      </c>
      <c r="O84" t="s">
        <v>1920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1918</v>
      </c>
      <c r="E85" t="s">
        <v>1941</v>
      </c>
      <c r="O85" t="s">
        <v>1925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1923</v>
      </c>
      <c r="E86" t="s">
        <v>1942</v>
      </c>
      <c r="O86" t="s">
        <v>1943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1923</v>
      </c>
      <c r="E87" t="s">
        <v>1944</v>
      </c>
      <c r="O87" t="s">
        <v>1931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1923</v>
      </c>
      <c r="E88" t="s">
        <v>1945</v>
      </c>
      <c r="O88" t="s">
        <v>1931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1923</v>
      </c>
      <c r="E89" t="s">
        <v>1946</v>
      </c>
      <c r="O89" t="s">
        <v>1931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1923</v>
      </c>
      <c r="E90" t="s">
        <v>1947</v>
      </c>
      <c r="O90" t="s">
        <v>1931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1948</v>
      </c>
      <c r="E91" t="s">
        <v>1949</v>
      </c>
      <c r="O91" t="s">
        <v>1931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1948</v>
      </c>
      <c r="E92" t="s">
        <v>1950</v>
      </c>
      <c r="O92" t="s">
        <v>1920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1923</v>
      </c>
      <c r="E93" t="s">
        <v>1951</v>
      </c>
      <c r="O93" t="s">
        <v>1925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1923</v>
      </c>
      <c r="E94" t="s">
        <v>1952</v>
      </c>
      <c r="O94" t="s">
        <v>1931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1923</v>
      </c>
      <c r="E95" t="s">
        <v>1953</v>
      </c>
      <c r="O95" t="s">
        <v>1937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1923</v>
      </c>
      <c r="E96" t="s">
        <v>1954</v>
      </c>
      <c r="O96" t="s">
        <v>1937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1948</v>
      </c>
      <c r="E97" t="s">
        <v>1955</v>
      </c>
      <c r="O97" t="s">
        <v>1920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1948</v>
      </c>
      <c r="E98" t="s">
        <v>1956</v>
      </c>
      <c r="O98" t="s">
        <v>1920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1948</v>
      </c>
      <c r="E99" t="s">
        <v>1957</v>
      </c>
      <c r="O99" t="s">
        <v>1920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1948</v>
      </c>
      <c r="E100" t="s">
        <v>1958</v>
      </c>
      <c r="O100" t="s">
        <v>1920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1948</v>
      </c>
      <c r="E101" t="s">
        <v>1959</v>
      </c>
      <c r="O101" t="s">
        <v>1920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1948</v>
      </c>
      <c r="E102" t="s">
        <v>1960</v>
      </c>
      <c r="O102" t="s">
        <v>1920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1961</v>
      </c>
    </row>
    <row r="2" ht="16.5" customHeight="1" spans="1:1" x14ac:dyDescent="0.25">
      <c r="A2" t="s">
        <v>1962</v>
      </c>
    </row>
    <row r="3" ht="16.5" customHeight="1" x14ac:dyDescent="0.25"/>
    <row r="4" ht="16.5" customHeight="1" spans="1:14" x14ac:dyDescent="0.25">
      <c r="A4" t="s">
        <v>1963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229</v>
      </c>
      <c r="N4" t="s">
        <v>1964</v>
      </c>
    </row>
    <row r="5" ht="16.5" customHeight="1" spans="1:14" x14ac:dyDescent="0.25">
      <c r="A5" t="s">
        <v>1965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1966</v>
      </c>
    </row>
    <row r="6" ht="16.5" customHeight="1" spans="1:14" x14ac:dyDescent="0.25">
      <c r="A6" t="s">
        <v>1967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1968</v>
      </c>
    </row>
    <row r="7" ht="16.5" customHeight="1" spans="1:14" x14ac:dyDescent="0.25">
      <c r="A7" t="s">
        <v>1969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1970</v>
      </c>
    </row>
    <row r="8" ht="16.5" customHeight="1" spans="1:14" x14ac:dyDescent="0.25">
      <c r="A8" t="s">
        <v>1971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1972</v>
      </c>
    </row>
    <row r="9" ht="16.5" customHeight="1" spans="1:13" x14ac:dyDescent="0.25">
      <c r="A9" t="s">
        <v>1973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1974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229</v>
      </c>
      <c r="N11" t="s">
        <v>1964</v>
      </c>
    </row>
    <row r="12" ht="16.5" customHeight="1" spans="1:14" x14ac:dyDescent="0.25">
      <c r="A12" t="s">
        <v>1975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1976</v>
      </c>
    </row>
    <row r="13" ht="16.5" customHeight="1" spans="1:14" x14ac:dyDescent="0.25">
      <c r="A13" t="s">
        <v>1977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1978</v>
      </c>
    </row>
    <row r="14" ht="16.5" customHeight="1" spans="1:14" x14ac:dyDescent="0.25">
      <c r="A14" t="s">
        <v>1979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1980</v>
      </c>
    </row>
    <row r="15" ht="16.5" customHeight="1" spans="1:14" x14ac:dyDescent="0.25">
      <c r="A15" t="s">
        <v>1981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1982</v>
      </c>
    </row>
    <row r="16" ht="16.5" customHeight="1" spans="1:14" x14ac:dyDescent="0.25">
      <c r="A16" t="s">
        <v>1983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1984</v>
      </c>
    </row>
    <row r="17" ht="16.5" customHeight="1" spans="1:13" x14ac:dyDescent="0.25">
      <c r="A17" t="s">
        <v>1985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1986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1987</v>
      </c>
      <c r="L1" t="s">
        <v>1537</v>
      </c>
    </row>
    <row r="2" ht="26.25" customHeight="1" spans="1:6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</row>
    <row r="3" ht="16.5" customHeight="1" x14ac:dyDescent="0.25"/>
    <row r="4" ht="26.25" customHeight="1" spans="1:5" x14ac:dyDescent="0.25">
      <c r="A4" t="s">
        <v>1988</v>
      </c>
      <c r="B4" t="s">
        <v>18</v>
      </c>
      <c r="C4" t="s">
        <v>1989</v>
      </c>
      <c r="D4" t="s">
        <v>1990</v>
      </c>
      <c r="E4" t="s">
        <v>1991</v>
      </c>
    </row>
    <row r="5" ht="16.5" customHeight="1" x14ac:dyDescent="0.25"/>
    <row r="6" ht="21.75" customHeight="1" spans="1:5" x14ac:dyDescent="0.25">
      <c r="A6" t="s">
        <v>1992</v>
      </c>
      <c r="B6" t="s">
        <v>1993</v>
      </c>
      <c r="C6" t="s">
        <v>1535</v>
      </c>
      <c r="D6" t="s">
        <v>1994</v>
      </c>
      <c r="E6" t="s">
        <v>1995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1996</v>
      </c>
      <c r="B102" t="s">
        <v>1997</v>
      </c>
      <c r="C102" t="s">
        <v>1535</v>
      </c>
      <c r="D102" t="s">
        <v>1998</v>
      </c>
      <c r="E102" t="s">
        <v>1999</v>
      </c>
    </row>
    <row r="103" spans="1:5" x14ac:dyDescent="0.25">
      <c r="A103" t="s">
        <v>2000</v>
      </c>
      <c r="B103" t="s">
        <v>1997</v>
      </c>
      <c r="C103" t="s">
        <v>1535</v>
      </c>
      <c r="D103" t="s">
        <v>2001</v>
      </c>
      <c r="E103" t="s">
        <v>2002</v>
      </c>
    </row>
    <row r="104" spans="1:5" x14ac:dyDescent="0.25">
      <c r="A104" t="s">
        <v>2003</v>
      </c>
      <c r="B104" t="s">
        <v>1997</v>
      </c>
      <c r="C104" t="s">
        <v>1535</v>
      </c>
      <c r="D104" t="s">
        <v>2004</v>
      </c>
      <c r="E104" t="s">
        <v>2005</v>
      </c>
    </row>
    <row r="105" spans="1:5" x14ac:dyDescent="0.25">
      <c r="A105" t="s">
        <v>2006</v>
      </c>
      <c r="B105" t="s">
        <v>1997</v>
      </c>
      <c r="C105" t="s">
        <v>1535</v>
      </c>
      <c r="D105" t="s">
        <v>2007</v>
      </c>
      <c r="E105" t="s">
        <v>2008</v>
      </c>
    </row>
    <row r="106" spans="1:5" x14ac:dyDescent="0.25">
      <c r="A106" t="s">
        <v>2009</v>
      </c>
      <c r="B106" t="s">
        <v>1997</v>
      </c>
      <c r="C106" t="s">
        <v>1535</v>
      </c>
      <c r="D106" t="s">
        <v>2010</v>
      </c>
      <c r="E106" t="s">
        <v>2011</v>
      </c>
    </row>
    <row r="107" spans="1:5" x14ac:dyDescent="0.25">
      <c r="A107" t="s">
        <v>2012</v>
      </c>
      <c r="B107" t="s">
        <v>1997</v>
      </c>
      <c r="C107" t="s">
        <v>1535</v>
      </c>
      <c r="D107" t="s">
        <v>2013</v>
      </c>
      <c r="E107" t="s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