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4" name="📋 Cover &amp; Index" state="visible" r:id="rId4"/>
    <sheet sheetId="12" name="KPI Dashboard" state="visible" r:id="rId5"/>
    <sheet sheetId="13" name="Weekly Order Tracker" state="visible" r:id="rId6"/>
    <sheet sheetId="5" name="Sales Trend Analysis" state="visible" r:id="rId7"/>
    <sheet sheetId="6" name="Product Margin Analysis" state="visible" r:id="rId8"/>
    <sheet sheetId="7" name="COGS &amp; Profitability by Channel" state="visible" r:id="rId9"/>
    <sheet sheetId="8" name="Inventory &amp; MOS Analysis" state="visible" r:id="rId10"/>
    <sheet sheetId="9" name="Inventory Movements" state="visible" r:id="rId11"/>
    <sheet sheetId="11" name="Profitability Dashboard" state="visible" r:id="rId12"/>
    <sheet sheetId="10" name="Sales Dashboard" state="visible" r:id="rId13"/>
    <sheet sheetId="1" name="Sales Transactions Raw Data" state="visible" r:id="rId14"/>
    <sheet sheetId="2" name="Inventory On Hand Raw Data" state="visible" r:id="rId15"/>
    <sheet sheetId="3" name="Purchase Transactions Raw data" state="visible" r:id="rId16"/>
    <sheet sheetId="4" name="Cost Inputs" state="visible" r:id="rId17"/>
  </sheets>
  <calcPr calcId="171027"/>
</workbook>
</file>

<file path=xl/sharedStrings.xml><?xml version="1.0" encoding="utf-8"?>
<sst xmlns="http://schemas.openxmlformats.org/spreadsheetml/2006/main" count="5107" uniqueCount="788">
  <si>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</si>
  <si>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</si>
  <si>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</si>
  <si>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</si>
  <si>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</si>
  <si>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</si>
  <si>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</si>
  <si>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</si>
  <si>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</si>
  <si>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</si>
  <si>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</si>
  <si>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</si>
  <si>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</si>
  <si>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</si>
  <si>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</si>
  <si>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</si>
  <si>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</si>
  <si>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</si>
  <si>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</si>
  <si>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</si>
  <si>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</si>
  <si>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</si>
  <si>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</si>
  <si>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</si>
  <si>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</si>
  <si>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</si>
  <si>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</si>
  <si>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</si>
  <si>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</si>
  <si>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</si>
  <si>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</si>
  <si>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</si>
  <si>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</si>
  <si>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</si>
  <si>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</si>
  <si>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</si>
  <si>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</si>
  <si>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</si>
  <si>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</si>
  <si>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</si>
  <si>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</si>
  <si>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</si>
  <si>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</si>
  <si>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</si>
  <si>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</si>
  <si>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</si>
  <si>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</si>
  <si>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</si>
  <si>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</si>
  <si>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</si>
  <si>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</si>
  <si>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</si>
  <si>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</si>
  <si>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</si>
  <si>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</si>
  <si>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</si>
  <si>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</si>
  <si>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</si>
  <si>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</si>
  <si>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</si>
  <si>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</si>
  <si>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</si>
  <si>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</si>
  <si>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</si>
  <si>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</si>
  <si>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</si>
  <si>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</si>
  <si>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</si>
  <si>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</si>
  <si>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</si>
  <si>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</si>
  <si>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</si>
  <si>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</si>
  <si>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</si>
  <si>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</si>
  <si>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</si>
  <si>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</si>
  <si>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</si>
  <si>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</si>
  <si>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</si>
  <si>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</si>
  <si>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</si>
  <si>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</si>
  <si>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</si>
  <si>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</si>
  <si>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</si>
  <si>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</si>
  <si>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</si>
  <si>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</si>
  <si>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</si>
  <si>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</si>
  <si>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</si>
  <si>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</si>
  <si>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</si>
  <si>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</si>
  <si>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</si>
  <si>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</si>
  <si>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</si>
  <si>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</si>
  <si>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</si>
  <si>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</si>
  <si>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</si>
  <si>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</si>
  <si>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</si>
  <si>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</si>
  <si>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</si>
  <si>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</si>
  <si>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</si>
  <si>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</si>
  <si>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</si>
  <si>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</si>
  <si>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</si>
  <si>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</si>
  <si>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</si>
  <si>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</si>
  <si>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</si>
  <si>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</si>
  <si>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</si>
  <si>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</si>
  <si>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</si>
  <si>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</si>
  <si>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</si>
  <si>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</si>
  <si>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</si>
  <si>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</si>
  <si>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</si>
  <si>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</si>
  <si>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</si>
  <si>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</si>
  <si>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</si>
  <si>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</si>
  <si>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</si>
  <si>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</si>
  <si>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</si>
  <si>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</si>
  <si>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</si>
  <si>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</si>
  <si>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</si>
  <si>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</si>
  <si>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</si>
  <si>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</si>
  <si>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</si>
  <si>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</si>
  <si>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</si>
  <si>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</si>
  <si>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</si>
  <si>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</si>
  <si>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</si>
  <si>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</si>
  <si>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</si>
  <si>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</si>
  <si>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</si>
  <si>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</si>
  <si>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</si>
  <si>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</si>
  <si>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</si>
  <si>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</si>
  <si>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Amazon FBA</t>
  </si>
  <si>
    <t>Ola-Mate-VP1-16oz-12pk</t>
  </si>
  <si>
    <t>16oz Variety 12pk</t>
  </si>
  <si>
    <t>Case</t>
  </si>
  <si>
    <t>Founders</t>
  </si>
  <si>
    <t>NJ Warehouse</t>
  </si>
  <si>
    <t>Ola-Mate-BC-16oz-12PK</t>
  </si>
  <si>
    <t>16oz Berry Coconut 12pk</t>
  </si>
  <si>
    <t>Ola-Mate-GG-16oz-12pk</t>
  </si>
  <si>
    <t>16oz Ginger Peach 12pk</t>
  </si>
  <si>
    <t>Ola-Mate-R-16oz-12pk</t>
  </si>
  <si>
    <t>16oz Mint Lime 12pk</t>
  </si>
  <si>
    <t>16oz Original Mate 12pk</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</si>
  <si>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</si>
  <si>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</si>
  <si>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</si>
  <si>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</si>
  <si>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</si>
  <si>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</si>
  <si>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</si>
  <si>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</si>
  <si>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2027</t>
  </si>
  <si>
    <t>2027-08</t>
  </si>
  <si>
    <t>Pacific Beverage Bottlers</t>
  </si>
  <si>
    <t>2027-08-01</t>
  </si>
  <si>
    <t>August</t>
  </si>
  <si>
    <t>INV-August</t>
  </si>
  <si>
    <t>VNC Brand</t>
  </si>
  <si>
    <t>General Goods</t>
  </si>
  <si>
    <t>Finished Goods</t>
  </si>
  <si>
    <t>SKU-2026</t>
  </si>
  <si>
    <t>Cin7 Raw Material (August)</t>
  </si>
  <si>
    <t>each</t>
  </si>
  <si>
    <t>Main Warehouse</t>
  </si>
  <si>
    <t>BATCH-2026</t>
  </si>
  <si>
    <t>INV-PB-101</t>
  </si>
  <si>
    <t>INV-PB-102</t>
  </si>
  <si>
    <t>Sales Trend Analysis — Monthly by Channel</t>
  </si>
  <si>
    <t>REVENUE BY CHANNEL ($)</t>
  </si>
  <si>
    <t>Total</t>
  </si>
  <si>
    <t>Amazon (Seller Central)</t>
  </si>
  <si>
    <t>Amazon Retail / Vendor</t>
  </si>
  <si>
    <t>Shopify Web (D2C)</t>
  </si>
  <si>
    <t>Shopify POS (In-store)</t>
  </si>
  <si>
    <t>Shopify Admin (Samples/Manual)</t>
  </si>
  <si>
    <t>Subscriptions (contract)</t>
  </si>
  <si>
    <t>Subscriptions (checkout)</t>
  </si>
  <si>
    <t>Wholesale / Distrib (296827748353)</t>
  </si>
  <si>
    <t>Faire (Wholesale Mkt)</t>
  </si>
  <si>
    <t>TikTok Shop</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</si>
  <si>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</si>
  <si>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</si>
  <si>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</si>
  <si>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</si>
  <si>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</si>
  <si>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</si>
  <si>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</si>
  <si>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</si>
  <si>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</si>
  <si>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</si>
  <si>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</si>
  <si>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</si>
  <si>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Revenue</t>
  </si>
  <si>
    <t>GM%</t>
  </si>
  <si>
    <t>Avg Sell Price</t>
  </si>
  <si>
    <t>Avg COGS/Unit</t>
  </si>
  <si>
    <t>16oz Raspberry 12pk</t>
  </si>
  <si>
    <t>16oz Grapefruit Ginger 12pk</t>
  </si>
  <si>
    <t>16oz Starter 4pk</t>
  </si>
  <si>
    <t>1can (BC/GG/R) - loose</t>
  </si>
  <si>
    <t>Powder Blends (new)</t>
  </si>
  <si>
    <t>TOTAL PRODUCTS</t>
  </si>
  <si>
    <t>BY CATEGORY</t>
  </si>
  <si>
    <t>Revenue %</t>
  </si>
  <si>
    <t>Service (Shipping/Discounts/POS)</t>
  </si>
  <si>
    <t>GRAND TOTAL</t>
  </si>
  <si>
    <t>COGS &amp; Profitability by Product × Sales Channel</t>
  </si>
  <si>
    <t>Finished Goods only | All time periods combined</t>
  </si>
  <si>
    <t>REVENUE BY CHANNEL × PRODUCT</t>
  </si>
  <si>
    <t>Amazon</t>
  </si>
  <si>
    <t>Amazon Retail</t>
  </si>
  <si>
    <t>Shopify Web</t>
  </si>
  <si>
    <t>Shopify POS</t>
  </si>
  <si>
    <t>Shopify Admin</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</si>
  <si>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</si>
  <si>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</si>
  <si>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</si>
  <si>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</si>
  <si>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</si>
  <si>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</si>
  <si>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</si>
  <si>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</si>
  <si>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</si>
  <si>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</si>
  <si>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</si>
  <si>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</si>
  <si>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</si>
  <si>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</si>
  <si>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</si>
  <si>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</si>
  <si>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</si>
  <si>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NJ Whs</t>
  </si>
  <si>
    <t>NY Whs</t>
  </si>
  <si>
    <t>NOBL</t>
  </si>
  <si>
    <t>Total Stock</t>
  </si>
  <si>
    <t>Avg Mo Sales (3mo)</t>
  </si>
  <si>
    <t>MOS</t>
  </si>
  <si>
    <t>Stock Alert</t>
  </si>
  <si>
    <t>Ola-Mate-SP1-16oz-4pk</t>
  </si>
  <si>
    <t>Ola-Mate-BC-16oz-1can</t>
  </si>
  <si>
    <t>Berry Coconut 1can</t>
  </si>
  <si>
    <t>Ola-Mate-GG-16oz-1can</t>
  </si>
  <si>
    <t>Grapefruit Ginger 1can</t>
  </si>
  <si>
    <t>Ola-Mate-R-16oz-1can</t>
  </si>
  <si>
    <t>Raspberry 1can</t>
  </si>
  <si>
    <t>STOCK ALERT SUMMARY</t>
  </si>
  <si>
    <t>Alert Level</t>
  </si>
  <si>
    <t>Count</t>
  </si>
  <si>
    <t>SKUs</t>
  </si>
  <si>
    <t>Action Required</t>
  </si>
  <si>
    <t>🔴 CRITICAL (&lt; 1 month)</t>
  </si>
  <si>
    <t>Order immediately!</t>
  </si>
  <si>
    <t>🟡 LOW (1–2 months)</t>
  </si>
  <si>
    <t>Plan reorder soon</t>
  </si>
  <si>
    <t>🟢 HEALTHY (2–6 months)</t>
  </si>
  <si>
    <t>Monitor only</t>
  </si>
  <si>
    <t>🔵 OVERSTOCK (&gt; 6 months)</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</si>
  <si>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</si>
  <si>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</si>
  <si>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</si>
  <si>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</si>
  <si>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</si>
  <si>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</si>
  <si>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</si>
  <si>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</si>
  <si>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September</t>
  </si>
  <si>
    <t>October</t>
  </si>
  <si>
    <t>November</t>
  </si>
  <si>
    <t>Units Purchased</t>
  </si>
  <si>
    <t>Net Movement</t>
  </si>
  <si>
    <t>TOTAL UNITS SOLD — ALL SKUs</t>
  </si>
  <si>
    <t>TOTAL</t>
  </si>
  <si>
    <t>Profitability Dashboard — Net Contribution by Channel</t>
  </si>
  <si>
    <t>Revenue → COGS → Gross Profit → Ad Spend (Cost Inputs) → Fulfillment → Net Contribution</t>
  </si>
  <si>
    <t>P&amp;L SUMMARY (All Periods)</t>
  </si>
  <si>
    <t>January</t>
  </si>
  <si>
    <t>SO-2026-89000</t>
  </si>
  <si>
    <t>2026-08-11</t>
  </si>
  <si>
    <t>INV-45000</t>
  </si>
  <si>
    <t>OlaMate</t>
  </si>
  <si>
    <t>Core Line</t>
  </si>
  <si>
    <t>Client Corp 0</t>
  </si>
  <si>
    <t>Invoiced</t>
  </si>
  <si>
    <t>Case 12pk</t>
  </si>
  <si>
    <t>Fulfilled</t>
  </si>
  <si>
    <t>B2B</t>
  </si>
  <si>
    <t>VNC Sales Rep</t>
  </si>
  <si>
    <t>Amazon.com</t>
  </si>
  <si>
    <t>amazon-us</t>
  </si>
  <si>
    <t>SO-2026-89001</t>
  </si>
  <si>
    <t>2026-08-12</t>
  </si>
  <si>
    <t>INV-45001</t>
  </si>
  <si>
    <t>Client Corp 1</t>
  </si>
  <si>
    <t>Wholesale</t>
  </si>
  <si>
    <t>Shopify web</t>
  </si>
  <si>
    <t>SO-2026-89002</t>
  </si>
  <si>
    <t>2026-08-13</t>
  </si>
  <si>
    <t>INV-45002</t>
  </si>
  <si>
    <t>Ola-Mate-GP-16oz-12PK</t>
  </si>
  <si>
    <t>Client Corp 2</t>
  </si>
  <si>
    <t>Retail</t>
  </si>
  <si>
    <t>amazon</t>
  </si>
  <si>
    <t>SO-2026-89003</t>
  </si>
  <si>
    <t>2026-08-14</t>
  </si>
  <si>
    <t>INV-45003</t>
  </si>
  <si>
    <t>Client Corp 3</t>
  </si>
  <si>
    <t>tiktok</t>
  </si>
  <si>
    <t>SO-2026-89004</t>
  </si>
  <si>
    <t>2026-08-15</t>
  </si>
  <si>
    <t>INV-45004</t>
  </si>
  <si>
    <t>Client Corp 4</t>
  </si>
  <si>
    <t>subscription_contract</t>
  </si>
  <si>
    <t>February</t>
  </si>
  <si>
    <t>SO-2026-89005</t>
  </si>
  <si>
    <t>2026-08-16</t>
  </si>
  <si>
    <t>INV-45005</t>
  </si>
  <si>
    <t>Client Corp 5</t>
  </si>
  <si>
    <t>SO-2026-89006</t>
  </si>
  <si>
    <t>2026-08-17</t>
  </si>
  <si>
    <t>INV-45006</t>
  </si>
  <si>
    <t>Client Corp 6</t>
  </si>
  <si>
    <t>SO-2026-89007</t>
  </si>
  <si>
    <t>2026-08-18</t>
  </si>
  <si>
    <t>INV-45007</t>
  </si>
  <si>
    <t>Client Corp 7</t>
  </si>
  <si>
    <t>SO-2026-89008</t>
  </si>
  <si>
    <t>2026-08-19</t>
  </si>
  <si>
    <t>INV-45008</t>
  </si>
  <si>
    <t>Client Corp 8</t>
  </si>
  <si>
    <t>SO-2026-89009</t>
  </si>
  <si>
    <t>2026-08-20</t>
  </si>
  <si>
    <t>INV-45009</t>
  </si>
  <si>
    <t>Client Corp 9</t>
  </si>
  <si>
    <t>SO-2026-89010</t>
  </si>
  <si>
    <t>2026-08-21</t>
  </si>
  <si>
    <t>INV-45010</t>
  </si>
  <si>
    <t>Client Corp 10</t>
  </si>
  <si>
    <t>SO-2026-89011</t>
  </si>
  <si>
    <t>2026-08-22</t>
  </si>
  <si>
    <t>INV-45011</t>
  </si>
  <si>
    <t>Client Corp 11</t>
  </si>
  <si>
    <t>SO-2026-89012</t>
  </si>
  <si>
    <t>2026-08-23</t>
  </si>
  <si>
    <t>INV-45012</t>
  </si>
  <si>
    <t>Client Corp 12</t>
  </si>
  <si>
    <t>SO-2026-89013</t>
  </si>
  <si>
    <t>2026-08-24</t>
  </si>
  <si>
    <t>INV-45013</t>
  </si>
  <si>
    <t>Client Corp 13</t>
  </si>
  <si>
    <t>SO-2026-89014</t>
  </si>
  <si>
    <t>2026-08-25</t>
  </si>
  <si>
    <t>INV-45014</t>
  </si>
  <si>
    <t>Client Corp 14</t>
  </si>
  <si>
    <t>April</t>
  </si>
  <si>
    <t>SO-2026-89015</t>
  </si>
  <si>
    <t>INV-45015</t>
  </si>
  <si>
    <t>Client Corp 15</t>
  </si>
  <si>
    <t>SO-2026-89016</t>
  </si>
  <si>
    <t>INV-45016</t>
  </si>
  <si>
    <t>Client Corp 16</t>
  </si>
  <si>
    <t>SO-2026-89017</t>
  </si>
  <si>
    <t>INV-45017</t>
  </si>
  <si>
    <t>Client Corp 17</t>
  </si>
  <si>
    <t>SO-2026-89018</t>
  </si>
  <si>
    <t>INV-45018</t>
  </si>
  <si>
    <t>Client Corp 18</t>
  </si>
  <si>
    <t>SO-2026-89019</t>
  </si>
  <si>
    <t>INV-45019</t>
  </si>
  <si>
    <t>Client Corp 19</t>
  </si>
  <si>
    <t>May</t>
  </si>
  <si>
    <t>SO-2026-89020</t>
  </si>
  <si>
    <t>INV-45020</t>
  </si>
  <si>
    <t>Client Corp 20</t>
  </si>
  <si>
    <t>SO-2026-89021</t>
  </si>
  <si>
    <t>INV-45021</t>
  </si>
  <si>
    <t>Client Corp 21</t>
  </si>
  <si>
    <t>SO-2026-89022</t>
  </si>
  <si>
    <t>INV-45022</t>
  </si>
  <si>
    <t>Client Corp 22</t>
  </si>
  <si>
    <t>SO-2026-89023</t>
  </si>
  <si>
    <t>INV-45023</t>
  </si>
  <si>
    <t>Client Corp 23</t>
  </si>
  <si>
    <t>SO-2026-89024</t>
  </si>
  <si>
    <t>INV-45024</t>
  </si>
  <si>
    <t>Client Corp 24</t>
  </si>
  <si>
    <t>June</t>
  </si>
  <si>
    <t>SO-2026-89025</t>
  </si>
  <si>
    <t>INV-45025</t>
  </si>
  <si>
    <t>Client Corp 25</t>
  </si>
  <si>
    <t>SO-2026-89026</t>
  </si>
  <si>
    <t>INV-45026</t>
  </si>
  <si>
    <t>Client Corp 26</t>
  </si>
  <si>
    <t>SO-2026-89027</t>
  </si>
  <si>
    <t>INV-45027</t>
  </si>
  <si>
    <t>Client Corp 27</t>
  </si>
  <si>
    <t>SO-2026-89028</t>
  </si>
  <si>
    <t>INV-45028</t>
  </si>
  <si>
    <t>Client Corp 28</t>
  </si>
  <si>
    <t>SO-2026-89029</t>
  </si>
  <si>
    <t>INV-45029</t>
  </si>
  <si>
    <t>Client Corp 29</t>
  </si>
  <si>
    <t>SO-2026-89030</t>
  </si>
  <si>
    <t>INV-45030</t>
  </si>
  <si>
    <t>Client Corp 30</t>
  </si>
  <si>
    <t>SO-2026-89031</t>
  </si>
  <si>
    <t>INV-45031</t>
  </si>
  <si>
    <t>Client Corp 31</t>
  </si>
  <si>
    <t>SO-2026-89032</t>
  </si>
  <si>
    <t>INV-45032</t>
  </si>
  <si>
    <t>Client Corp 32</t>
  </si>
  <si>
    <t>SO-2026-89033</t>
  </si>
  <si>
    <t>INV-45033</t>
  </si>
  <si>
    <t>Client Corp 33</t>
  </si>
  <si>
    <t>SO-2026-89034</t>
  </si>
  <si>
    <t>INV-45034</t>
  </si>
  <si>
    <t>Client Corp 34</t>
  </si>
  <si>
    <t>SO-2026-89035</t>
  </si>
  <si>
    <t>INV-45035</t>
  </si>
  <si>
    <t>Client Corp 35</t>
  </si>
  <si>
    <t>SO-2026-89036</t>
  </si>
  <si>
    <t>INV-45036</t>
  </si>
  <si>
    <t>Client Corp 36</t>
  </si>
  <si>
    <t>SO-2026-89037</t>
  </si>
  <si>
    <t>INV-45037</t>
  </si>
  <si>
    <t>Client Corp 37</t>
  </si>
  <si>
    <t>SO-2026-89038</t>
  </si>
  <si>
    <t>INV-45038</t>
  </si>
  <si>
    <t>Client Corp 38</t>
  </si>
  <si>
    <t>SO-2026-89039</t>
  </si>
  <si>
    <t>INV-45039</t>
  </si>
  <si>
    <t>Client Corp 39</t>
  </si>
  <si>
    <t>SO-2026-89040</t>
  </si>
  <si>
    <t>INV-45040</t>
  </si>
  <si>
    <t>Client Corp 40</t>
  </si>
  <si>
    <t>SO-2026-89041</t>
  </si>
  <si>
    <t>INV-45041</t>
  </si>
  <si>
    <t>Client Corp 41</t>
  </si>
  <si>
    <t>SO-2026-89042</t>
  </si>
  <si>
    <t>INV-45042</t>
  </si>
  <si>
    <t>Client Corp 42</t>
  </si>
  <si>
    <t>SO-2026-89043</t>
  </si>
  <si>
    <t>INV-45043</t>
  </si>
  <si>
    <t>Client Corp 43</t>
  </si>
  <si>
    <t>SO-2026-89044</t>
  </si>
  <si>
    <t>INV-45044</t>
  </si>
  <si>
    <t>Client Corp 44</t>
  </si>
  <si>
    <t>SO-2026-89045</t>
  </si>
  <si>
    <t>INV-45045</t>
  </si>
  <si>
    <t>Client Corp 45</t>
  </si>
  <si>
    <t>SO-2026-89046</t>
  </si>
  <si>
    <t>INV-45046</t>
  </si>
  <si>
    <t>Client Corp 46</t>
  </si>
  <si>
    <t>SO-2026-89047</t>
  </si>
  <si>
    <t>INV-45047</t>
  </si>
  <si>
    <t>Client Corp 47</t>
  </si>
  <si>
    <t>SO-2026-89048</t>
  </si>
  <si>
    <t>INV-45048</t>
  </si>
  <si>
    <t>Client Corp 48</t>
  </si>
  <si>
    <t>SO-2026-89049</t>
  </si>
  <si>
    <t>INV-45049</t>
  </si>
  <si>
    <t>Client Corp 49</t>
  </si>
  <si>
    <t>SO-2026-89050</t>
  </si>
  <si>
    <t>INV-45050</t>
  </si>
  <si>
    <t>Client Corp 50</t>
  </si>
  <si>
    <t>SO-2026-89051</t>
  </si>
  <si>
    <t>INV-45051</t>
  </si>
  <si>
    <t>Client Corp 51</t>
  </si>
  <si>
    <t>SO-2026-89052</t>
  </si>
  <si>
    <t>INV-45052</t>
  </si>
  <si>
    <t>Client Corp 52</t>
  </si>
  <si>
    <t>SO-2026-89053</t>
  </si>
  <si>
    <t>INV-45053</t>
  </si>
  <si>
    <t>Client Corp 53</t>
  </si>
  <si>
    <t>SO-2026-89054</t>
  </si>
  <si>
    <t>INV-45054</t>
  </si>
  <si>
    <t>Client Corp 54</t>
  </si>
  <si>
    <t>December</t>
  </si>
  <si>
    <t>SO-2026-89055</t>
  </si>
  <si>
    <t>INV-45055</t>
  </si>
  <si>
    <t>Client Corp 55</t>
  </si>
  <si>
    <t>SO-2026-89056</t>
  </si>
  <si>
    <t>INV-45056</t>
  </si>
  <si>
    <t>Client Corp 56</t>
  </si>
  <si>
    <t>SO-2026-89057</t>
  </si>
  <si>
    <t>INV-45057</t>
  </si>
  <si>
    <t>Client Corp 57</t>
  </si>
  <si>
    <t>SO-2026-89058</t>
  </si>
  <si>
    <t>INV-45058</t>
  </si>
  <si>
    <t>Client Corp 58</t>
  </si>
  <si>
    <t>SO-2026-89059</t>
  </si>
  <si>
    <t>INV-45059</t>
  </si>
  <si>
    <t>Client Corp 59</t>
  </si>
  <si>
    <t>SO-2026-89060</t>
  </si>
  <si>
    <t>INV-45060</t>
  </si>
  <si>
    <t>Client Corp 60</t>
  </si>
  <si>
    <t>SO-2026-89061</t>
  </si>
  <si>
    <t>INV-45061</t>
  </si>
  <si>
    <t>Client Corp 61</t>
  </si>
  <si>
    <t>SO-2026-89062</t>
  </si>
  <si>
    <t>INV-45062</t>
  </si>
  <si>
    <t>Client Corp 62</t>
  </si>
  <si>
    <t>SO-2026-89063</t>
  </si>
  <si>
    <t>INV-45063</t>
  </si>
  <si>
    <t>Client Corp 63</t>
  </si>
  <si>
    <t>SO-2026-89064</t>
  </si>
  <si>
    <t>INV-45064</t>
  </si>
  <si>
    <t>Client Corp 64</t>
  </si>
  <si>
    <t>SO-2026-89065</t>
  </si>
  <si>
    <t>INV-45065</t>
  </si>
  <si>
    <t>Client Corp 65</t>
  </si>
  <si>
    <t>SO-2026-89066</t>
  </si>
  <si>
    <t>INV-45066</t>
  </si>
  <si>
    <t>Client Corp 66</t>
  </si>
  <si>
    <t>SO-2026-89067</t>
  </si>
  <si>
    <t>INV-45067</t>
  </si>
  <si>
    <t>Client Corp 67</t>
  </si>
  <si>
    <t>SO-2026-89068</t>
  </si>
  <si>
    <t>INV-45068</t>
  </si>
  <si>
    <t>Client Corp 68</t>
  </si>
  <si>
    <t>SO-2026-89069</t>
  </si>
  <si>
    <t>INV-45069</t>
  </si>
  <si>
    <t>Client Corp 69</t>
  </si>
  <si>
    <t>SO-2026-89070</t>
  </si>
  <si>
    <t>INV-45070</t>
  </si>
  <si>
    <t>Client Corp 70</t>
  </si>
  <si>
    <t>SO-2026-89071</t>
  </si>
  <si>
    <t>INV-45071</t>
  </si>
  <si>
    <t>Client Corp 71</t>
  </si>
  <si>
    <t>SO-2026-89072</t>
  </si>
  <si>
    <t>INV-45072</t>
  </si>
  <si>
    <t>Client Corp 72</t>
  </si>
  <si>
    <t>SO-2026-89073</t>
  </si>
  <si>
    <t>INV-45073</t>
  </si>
  <si>
    <t>Client Corp 73</t>
  </si>
  <si>
    <t>SO-2026-89074</t>
  </si>
  <si>
    <t>INV-45074</t>
  </si>
  <si>
    <t>Client Corp 74</t>
  </si>
  <si>
    <t>SO-2026-89075</t>
  </si>
  <si>
    <t>INV-45075</t>
  </si>
  <si>
    <t>Client Corp 75</t>
  </si>
  <si>
    <t>SO-2026-89076</t>
  </si>
  <si>
    <t>INV-45076</t>
  </si>
  <si>
    <t>Client Corp 76</t>
  </si>
  <si>
    <t>SO-2026-89077</t>
  </si>
  <si>
    <t>INV-45077</t>
  </si>
  <si>
    <t>Client Corp 77</t>
  </si>
  <si>
    <t>SO-2026-89078</t>
  </si>
  <si>
    <t>INV-45078</t>
  </si>
  <si>
    <t>Client Corp 78</t>
  </si>
  <si>
    <t>SO-2026-89079</t>
  </si>
  <si>
    <t>INV-45079</t>
  </si>
  <si>
    <t>Client Corp 79</t>
  </si>
  <si>
    <t>SO-2026-89080</t>
  </si>
  <si>
    <t>INV-45080</t>
  </si>
  <si>
    <t>Client Corp 80</t>
  </si>
  <si>
    <t>SO-2026-89081</t>
  </si>
  <si>
    <t>INV-45081</t>
  </si>
  <si>
    <t>Client Corp 81</t>
  </si>
  <si>
    <t>SO-2026-89082</t>
  </si>
  <si>
    <t>INV-45082</t>
  </si>
  <si>
    <t>Client Corp 82</t>
  </si>
  <si>
    <t>SO-2026-89083</t>
  </si>
  <si>
    <t>INV-45083</t>
  </si>
  <si>
    <t>Client Corp 83</t>
  </si>
  <si>
    <t>SO-2026-89084</t>
  </si>
  <si>
    <t>INV-45084</t>
  </si>
  <si>
    <t>Client Corp 84</t>
  </si>
  <si>
    <t>SO-2026-89085</t>
  </si>
  <si>
    <t>INV-45085</t>
  </si>
  <si>
    <t>Client Corp 85</t>
  </si>
  <si>
    <t>SO-2026-89086</t>
  </si>
  <si>
    <t>INV-45086</t>
  </si>
  <si>
    <t>Client Corp 86</t>
  </si>
  <si>
    <t>SO-2026-89087</t>
  </si>
  <si>
    <t>INV-45087</t>
  </si>
  <si>
    <t>Client Corp 87</t>
  </si>
  <si>
    <t>SO-2026-89088</t>
  </si>
  <si>
    <t>INV-45088</t>
  </si>
  <si>
    <t>Client Corp 88</t>
  </si>
  <si>
    <t>SO-2026-89089</t>
  </si>
  <si>
    <t>INV-45089</t>
  </si>
  <si>
    <t>Client Corp 89</t>
  </si>
  <si>
    <t>SO-2026-89090</t>
  </si>
  <si>
    <t>INV-45090</t>
  </si>
  <si>
    <t>Client Corp 90</t>
  </si>
  <si>
    <t>SO-2026-89091</t>
  </si>
  <si>
    <t>INV-45091</t>
  </si>
  <si>
    <t>Client Corp 91</t>
  </si>
  <si>
    <t>SO-2026-89092</t>
  </si>
  <si>
    <t>INV-45092</t>
  </si>
  <si>
    <t>Client Corp 92</t>
  </si>
  <si>
    <t>SO-2026-89093</t>
  </si>
  <si>
    <t>INV-45093</t>
  </si>
  <si>
    <t>Client Corp 93</t>
  </si>
  <si>
    <t>SO-2026-89094</t>
  </si>
  <si>
    <t>INV-45094</t>
  </si>
  <si>
    <t>Client Corp 94</t>
  </si>
  <si>
    <t>SO-2026-89095</t>
  </si>
  <si>
    <t>INV-45095</t>
  </si>
  <si>
    <t>Client Corp 95</t>
  </si>
  <si>
    <t>SO-2026-89096</t>
  </si>
  <si>
    <t>INV-45096</t>
  </si>
  <si>
    <t>Client Corp 96</t>
  </si>
  <si>
    <t>SO-2026-89097</t>
  </si>
  <si>
    <t>INV-45097</t>
  </si>
  <si>
    <t>Client Corp 97</t>
  </si>
  <si>
    <t>SO-2026-89098</t>
  </si>
  <si>
    <t>INV-45098</t>
  </si>
  <si>
    <t>Client Corp 98</t>
  </si>
  <si>
    <t>SO-2026-89099</t>
  </si>
  <si>
    <t>INV-45099</t>
  </si>
  <si>
    <t>Client Corp 99</t>
  </si>
  <si>
    <t>SO-2026-89100</t>
  </si>
  <si>
    <t>INV-45100</t>
  </si>
  <si>
    <t>Client Corp 100</t>
  </si>
  <si>
    <t>SO-2026-89101</t>
  </si>
  <si>
    <t>INV-45101</t>
  </si>
  <si>
    <t>Client Corp 101</t>
  </si>
  <si>
    <t>SO-2026-89102</t>
  </si>
  <si>
    <t>INV-45102</t>
  </si>
  <si>
    <t>Client Corp 102</t>
  </si>
  <si>
    <t>SO-2026-89103</t>
  </si>
  <si>
    <t>INV-45103</t>
  </si>
  <si>
    <t>Client Corp 103</t>
  </si>
  <si>
    <t>SO-2026-89104</t>
  </si>
  <si>
    <t>INV-45104</t>
  </si>
  <si>
    <t>Client Corp 104</t>
  </si>
  <si>
    <t>SO-2026-89105</t>
  </si>
  <si>
    <t>INV-45105</t>
  </si>
  <si>
    <t>Client Corp 105</t>
  </si>
  <si>
    <t>SO-2026-89106</t>
  </si>
  <si>
    <t>INV-45106</t>
  </si>
  <si>
    <t>Client Corp 106</t>
  </si>
  <si>
    <t>SO-2026-89107</t>
  </si>
  <si>
    <t>INV-45107</t>
  </si>
  <si>
    <t>Client Corp 107</t>
  </si>
  <si>
    <t>SO-2026-89108</t>
  </si>
  <si>
    <t>INV-45108</t>
  </si>
  <si>
    <t>Client Corp 108</t>
  </si>
  <si>
    <t>SO-2026-89109</t>
  </si>
  <si>
    <t>INV-45109</t>
  </si>
  <si>
    <t>Client Corp 109</t>
  </si>
  <si>
    <t>SO-2026-89110</t>
  </si>
  <si>
    <t>INV-45110</t>
  </si>
  <si>
    <t>Client Corp 110</t>
  </si>
  <si>
    <t>SO-2026-89111</t>
  </si>
  <si>
    <t>INV-45111</t>
  </si>
  <si>
    <t>Client Corp 111</t>
  </si>
  <si>
    <t>SO-2026-89112</t>
  </si>
  <si>
    <t>INV-45112</t>
  </si>
  <si>
    <t>Client Corp 112</t>
  </si>
  <si>
    <t>SO-2026-89113</t>
  </si>
  <si>
    <t>INV-45113</t>
  </si>
  <si>
    <t>Client Corp 113</t>
  </si>
  <si>
    <t>SO-2026-89114</t>
  </si>
  <si>
    <t>INV-45114</t>
  </si>
  <si>
    <t>Client Corp 114</t>
  </si>
  <si>
    <t>SO-2026-89115</t>
  </si>
  <si>
    <t>INV-45115</t>
  </si>
  <si>
    <t>Client Corp 115</t>
  </si>
  <si>
    <t>SO-2026-89116</t>
  </si>
  <si>
    <t>INV-45116</t>
  </si>
  <si>
    <t>Client Corp 116</t>
  </si>
  <si>
    <t>SO-2026-89117</t>
  </si>
  <si>
    <t>INV-45117</t>
  </si>
  <si>
    <t>Client Corp 117</t>
  </si>
  <si>
    <t>SO-2026-89118</t>
  </si>
  <si>
    <t>INV-45118</t>
  </si>
  <si>
    <t>Client Corp 118</t>
  </si>
  <si>
    <t>SO-2026-89119</t>
  </si>
  <si>
    <t>INV-45119</t>
  </si>
  <si>
    <t>Client Corp 119</t>
  </si>
  <si>
    <t>Sales Dashboard — OlaMate Revenue Overview</t>
  </si>
  <si>
    <t>Finished Goods only | Data from Sales Transactions Raw Data</t>
  </si>
  <si>
    <t>CHART DATA 1: Revenue by Channel (All Periods)</t>
  </si>
  <si>
    <t>Channel</t>
  </si>
  <si>
    <t>Subscriptions</t>
  </si>
  <si>
    <t>CHART DATA 2: Monthly Revenue Trend</t>
  </si>
  <si>
    <t>Month</t>
  </si>
  <si>
    <t>CHART DATA 3: Revenue by Product</t>
  </si>
  <si>
    <t>Product</t>
  </si>
  <si>
    <t>Loose Cans</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</si>
  <si>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</si>
  <si>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</si>
  <si>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</si>
  <si>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</si>
  <si>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</si>
  <si>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</si>
  <si>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</si>
  <si>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</si>
  <si>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</si>
  <si>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</si>
  <si>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</si>
  <si>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</si>
  <si>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Grand Total</t>
  </si>
  <si>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</si>
  <si>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</si>
  <si>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</si>
  <si>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</si>
  <si>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</si>
  <si>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</si>
  <si>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</si>
  <si>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</si>
  <si>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</si>
  <si>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</si>
  <si>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</si>
  <si>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</si>
  <si>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</si>
  <si>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</si>
  <si>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</si>
  <si>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</si>
  <si>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</si>
  <si>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</si>
  <si>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</si>
  <si>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</si>
  <si>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Products Stock Level Report</t>
  </si>
  <si>
    <t>Quantity on hand</t>
  </si>
  <si>
    <t>Allocated</t>
  </si>
  <si>
    <t>On order</t>
  </si>
  <si>
    <t>In transit</t>
  </si>
  <si>
    <t>Unit cost</t>
  </si>
  <si>
    <t>Stock on hand</t>
  </si>
  <si>
    <t>Available</t>
  </si>
  <si>
    <r>
      <rPr>
        <b/>
        <family val="2"/>
        <sz val="9"/>
        <rFont val="Arial"/>
      </rPr>
      <t>Currency: Base Currency</t>
    </r>
  </si>
  <si>
    <t>Year</t>
  </si>
  <si>
    <t>Supplier</t>
  </si>
  <si>
    <t>Expiry date</t>
  </si>
  <si>
    <t>PO #</t>
  </si>
  <si>
    <t>Invoice #</t>
  </si>
  <si>
    <t>Location</t>
  </si>
  <si>
    <t>Batch #</t>
  </si>
  <si>
    <t>Main cost</t>
  </si>
  <si>
    <t>Additional cost</t>
  </si>
  <si>
    <t>Journal cost</t>
  </si>
  <si>
    <t>Tax</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</si>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</sst>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164" formatCode="&quot;$&quot;#,##0"/>
    <numFmt numFmtId="165" formatCode="0.0%"/>
    <numFmt numFmtId="166" formatCode="dd-mmm-yyyy"/>
    <numFmt numFmtId="167" formatCode="#,##0.0000000;(#,##0.0000000);#,##0.0000000;@"/>
    <numFmt numFmtId="168" formatCode="_(&quot;$&quot;* #,##0.00_);_(&quot;$&quot;* (#,##0.00);_(&quot;$&quot;* &quot;-&quot;??_);_(@_)"/>
    <numFmt numFmtId="169" formatCode="&quot;$&quot;#,##0.00"/>
    <numFmt numFmtId="170" formatCode="#,##0.0"/>
    <numFmt numFmtId="171" formatCode="0.0"/>
  </numFmts>
  <fonts count="32"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rgb="FF94A3B8"/>
      <sz val="8"/>
      <name val="Segoe UI"/>
    </font>
    <font>
      <color rgb="FF000000"/>
      <sz val="8"/>
      <name val="Segoe UI"/>
    </font>
    <font>
      <b/>
      <color rgb="FF1F4E79"/>
      <sz val="14"/>
      <name val="Segoe UI"/>
    </font>
    <font>
      <b/>
      <i/>
      <color rgb="FF808080"/>
      <sz val="11"/>
      <name val="Segoe UI"/>
    </font>
    <font>
      <color rgb="FF808080"/>
      <sz val="11"/>
      <name val="Segoe UI"/>
    </font>
    <font>
      <b/>
      <i/>
      <color theme="1"/>
      <sz val="11"/>
      <name val="Segoe UI"/>
    </font>
    <font>
      <color rgb="FFFFFFFF"/>
      <sz val="11"/>
      <name val="Segoe UI"/>
    </font>
    <font>
      <i/>
      <color rgb="FF808080"/>
      <sz val="9"/>
      <name val="Segoe UI"/>
    </font>
    <font>
      <color rgb="FFCBD5E1"/>
      <sz val="9"/>
      <name val="Segoe UI"/>
    </font>
    <font>
      <b/>
      <color rgb="FF475569"/>
      <sz val="8"/>
      <name val="Segoe UI"/>
    </font>
    <font>
      <b/>
      <color rgb="FF0F172A"/>
      <sz val="9"/>
      <name val="Segoe UI"/>
    </font>
    <font>
      <b/>
      <color rgb="FFB91C1C"/>
      <sz val="9"/>
      <name val="Segoe UI"/>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s>
  <fills count="25">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0F172A"/>
        <bgColor indexed="64"/>
      </patternFill>
    </fill>
    <fill>
      <patternFill patternType="solid">
        <fgColor rgb="FF1E293B"/>
        <bgColor indexed="64"/>
      </patternFill>
    </fill>
    <fill>
      <patternFill patternType="solid">
        <fgColor rgb="FFFFFFFF"/>
      </patternFill>
    </fill>
    <fill>
      <patternFill patternType="solid">
        <fgColor rgb="FFD6E4F0"/>
        <bgColor indexed="64"/>
      </patternFill>
    </fill>
    <fill>
      <patternFill patternType="solid">
        <fgColor rgb="FFC55A11"/>
        <bgColor indexed="64"/>
      </patternFill>
    </fill>
    <fill>
      <patternFill patternType="solid">
        <fgColor rgb="FFF9F0EB"/>
        <bgColor indexed="64"/>
      </patternFill>
    </fill>
    <fill>
      <patternFill patternType="solid">
        <fgColor rgb="FFDDEEFF"/>
        <bgColor indexed="64"/>
      </patternFill>
    </fill>
    <fill>
      <patternFill patternType="solid">
        <fgColor rgb="FFFBE4D5"/>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s>
  <borders count="8">
    <border>
      <left/>
      <right/>
      <top/>
      <bottom/>
      <diagonal/>
    </border>
    <border>
      <left style="thin">
        <color rgb="FFA0A0A0"/>
      </left>
      <right style="thin">
        <color rgb="FFA0A0A0"/>
      </right>
      <top style="thin">
        <color rgb="FFA0A0A0"/>
      </top>
      <bottom style="thin">
        <color rgb="FFA0A0A0"/>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s>
  <cellStyleXfs count="1">
    <xf numFmtId="0" fontId="0" fillId="0" borderId="0"/>
  </cellStyleXfs>
  <cellXfs count="135">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0" fontId="15" fillId="14" borderId="0" xfId="0" applyFont="1" applyFill="1" applyAlignment="1">
      <alignment horizontal="right" vertical="center"/>
    </xf>
    <xf numFmtId="0" fontId="1" fillId="15" borderId="0" xfId="0" applyFont="1" applyFill="1"/>
    <xf numFmtId="4" fontId="16" fillId="16" borderId="1" xfId="0" applyNumberFormat="1" applyFont="1" applyFill="1" applyBorder="1" applyAlignment="1">
      <alignment horizontal="right" vertical="center" readingOrder="1"/>
    </xf>
    <xf numFmtId="0" fontId="17" fillId="0" borderId="0" xfId="0" applyFont="1"/>
    <xf numFmtId="0" fontId="10" fillId="0" borderId="0" xfId="0" applyFont="1"/>
    <xf numFmtId="166" fontId="10" fillId="6" borderId="0" xfId="0" applyNumberFormat="1" applyFont="1" applyFill="1"/>
    <xf numFmtId="0" fontId="6" fillId="14" borderId="0" xfId="0" applyFont="1" applyFill="1" applyAlignment="1">
      <alignment horizontal="center" vertical="center" wrapText="1"/>
    </xf>
    <xf numFmtId="167" fontId="16" fillId="16" borderId="1" xfId="0" applyNumberFormat="1" applyFont="1" applyFill="1" applyBorder="1" applyAlignment="1">
      <alignment horizontal="right" vertical="center" readingOrder="1"/>
    </xf>
    <xf numFmtId="14" fontId="0" fillId="0" borderId="0" xfId="0" applyNumberFormat="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0" fillId="9" borderId="0" xfId="0" applyFont="1" applyFill="1"/>
    <xf numFmtId="164" fontId="10" fillId="17" borderId="0" xfId="0" applyNumberFormat="1" applyFont="1" applyFill="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5" borderId="0" xfId="0" applyNumberFormat="1" applyFont="1" applyFill="1"/>
    <xf numFmtId="165" fontId="1" fillId="4" borderId="0" xfId="0" applyNumberFormat="1" applyFont="1" applyFill="1"/>
    <xf numFmtId="3" fontId="1" fillId="0" borderId="0" xfId="0" applyNumberFormat="1" applyFont="1"/>
    <xf numFmtId="169" fontId="1" fillId="0" borderId="0" xfId="0" applyNumberFormat="1" applyFont="1"/>
    <xf numFmtId="0" fontId="10" fillId="17" borderId="0" xfId="0" applyFont="1" applyFill="1"/>
    <xf numFmtId="3" fontId="10" fillId="17" borderId="0" xfId="0" applyNumberFormat="1" applyFont="1" applyFill="1"/>
    <xf numFmtId="165" fontId="10" fillId="17" borderId="0" xfId="0" applyNumberFormat="1" applyFont="1" applyFill="1"/>
    <xf numFmtId="169" fontId="10" fillId="17" borderId="0" xfId="0" applyNumberFormat="1" applyFont="1" applyFill="1"/>
    <xf numFmtId="9" fontId="10" fillId="17" borderId="0" xfId="0" applyNumberFormat="1" applyFont="1" applyFill="1" applyAlignment="1">
      <alignment horizontal="center"/>
    </xf>
    <xf numFmtId="164" fontId="1" fillId="9" borderId="0" xfId="0" applyNumberFormat="1" applyFont="1" applyFill="1"/>
    <xf numFmtId="164" fontId="10" fillId="9" borderId="0" xfId="0" applyNumberFormat="1" applyFont="1" applyFill="1"/>
    <xf numFmtId="164" fontId="1" fillId="10" borderId="0" xfId="0" applyNumberFormat="1" applyFont="1" applyFill="1"/>
    <xf numFmtId="164" fontId="10" fillId="10" borderId="0" xfId="0" applyNumberFormat="1" applyFont="1" applyFill="1"/>
    <xf numFmtId="0" fontId="6" fillId="18" borderId="0" xfId="0" applyFont="1" applyFill="1"/>
    <xf numFmtId="0" fontId="1" fillId="19" borderId="0" xfId="0" applyFont="1" applyFill="1"/>
    <xf numFmtId="164" fontId="1" fillId="19" borderId="0" xfId="0" applyNumberFormat="1" applyFont="1" applyFill="1"/>
    <xf numFmtId="164" fontId="10" fillId="19" borderId="0" xfId="0" applyNumberFormat="1" applyFont="1" applyFill="1"/>
    <xf numFmtId="0" fontId="10" fillId="11" borderId="0" xfId="0" applyFont="1" applyFill="1"/>
    <xf numFmtId="0" fontId="1" fillId="17" borderId="0" xfId="0" applyFont="1" applyFill="1"/>
    <xf numFmtId="170" fontId="1" fillId="9" borderId="0" xfId="0" applyNumberFormat="1" applyFont="1" applyFill="1"/>
    <xf numFmtId="170" fontId="10" fillId="9" borderId="0" xfId="0" applyNumberFormat="1" applyFont="1" applyFill="1"/>
    <xf numFmtId="171" fontId="1" fillId="9" borderId="0" xfId="0" applyNumberFormat="1" applyFont="1" applyFill="1"/>
    <xf numFmtId="0" fontId="10" fillId="9" borderId="0" xfId="0" applyFont="1" applyFill="1" applyAlignment="1">
      <alignment horizontal="center"/>
    </xf>
    <xf numFmtId="170" fontId="1" fillId="10" borderId="0" xfId="0" applyNumberFormat="1" applyFont="1" applyFill="1"/>
    <xf numFmtId="170" fontId="10" fillId="10" borderId="0" xfId="0" applyNumberFormat="1" applyFont="1" applyFill="1"/>
    <xf numFmtId="171"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20" borderId="0" xfId="0" applyFont="1" applyFill="1"/>
    <xf numFmtId="0" fontId="22" fillId="0" borderId="0" xfId="0" applyFont="1"/>
    <xf numFmtId="0" fontId="1" fillId="21" borderId="0" xfId="0" applyFont="1" applyFill="1"/>
    <xf numFmtId="3" fontId="1" fillId="21" borderId="0" xfId="0" applyNumberFormat="1" applyFont="1" applyFill="1"/>
    <xf numFmtId="3" fontId="1" fillId="5" borderId="0" xfId="0" applyNumberFormat="1" applyFont="1" applyFill="1"/>
    <xf numFmtId="3" fontId="1" fillId="17" borderId="0" xfId="0" applyNumberFormat="1" applyFont="1" applyFill="1"/>
    <xf numFmtId="164" fontId="10" fillId="4" borderId="0" xfId="0" applyNumberFormat="1" applyFont="1" applyFill="1"/>
    <xf numFmtId="164" fontId="1" fillId="11" borderId="0" xfId="0" applyNumberFormat="1" applyFont="1" applyFill="1"/>
    <xf numFmtId="0" fontId="23" fillId="15" borderId="0" xfId="0" applyFont="1" applyFill="1" applyAlignment="1">
      <alignment horizontal="center" vertical="center"/>
    </xf>
    <xf numFmtId="0" fontId="24" fillId="22" borderId="0" xfId="0" applyFont="1" applyFill="1" applyAlignment="1">
      <alignment horizontal="left" vertical="center"/>
    </xf>
    <xf numFmtId="16" fontId="1" fillId="10" borderId="0" xfId="0" applyNumberFormat="1" applyFont="1" applyFill="1"/>
    <xf numFmtId="16" fontId="1" fillId="9" borderId="0" xfId="0" applyNumberFormat="1" applyFont="1" applyFill="1"/>
    <xf numFmtId="0" fontId="6" fillId="14" borderId="0" xfId="0" applyFont="1" applyFill="1" applyAlignment="1">
      <alignment vertical="center"/>
    </xf>
    <xf numFmtId="0" fontId="25" fillId="9" borderId="2" xfId="0" applyFont="1" applyFill="1" applyBorder="1" applyAlignment="1">
      <alignment vertical="center"/>
    </xf>
    <xf numFmtId="0" fontId="1" fillId="22" borderId="0" xfId="0" applyFont="1" applyFill="1"/>
    <xf numFmtId="0" fontId="26" fillId="23" borderId="3" xfId="0" applyFont="1" applyFill="1" applyBorder="1" applyAlignment="1">
      <alignment vertical="center"/>
    </xf>
    <xf numFmtId="0" fontId="16" fillId="24" borderId="1" xfId="0" applyFont="1" applyFill="1" applyBorder="1" applyAlignment="1">
      <alignment horizontal="left" vertical="center" readingOrder="1"/>
    </xf>
    <xf numFmtId="49" fontId="16" fillId="24" borderId="1" xfId="0" applyNumberFormat="1" applyFont="1" applyFill="1" applyBorder="1" applyAlignment="1">
      <alignment horizontal="left" vertical="center" readingOrder="1"/>
    </xf>
    <xf numFmtId="0" fontId="6" fillId="14" borderId="0" xfId="0" applyFont="1" applyFill="1" applyAlignment="1">
      <alignment horizontal="left" vertical="center" wrapText="1" indent="2"/>
    </xf>
    <xf numFmtId="0" fontId="23" fillId="15" borderId="1" xfId="0" applyFont="1" applyFill="1" applyBorder="1" applyAlignment="1">
      <alignment horizontal="center" vertical="center" readingOrder="1"/>
    </xf>
    <xf numFmtId="0" fontId="16" fillId="15" borderId="1" xfId="0" applyFont="1" applyFill="1" applyBorder="1" applyAlignment="1">
      <alignment horizontal="left" vertical="center" readingOrder="1"/>
    </xf>
    <xf numFmtId="49" fontId="24" fillId="22" borderId="4" xfId="0" applyNumberFormat="1" applyFont="1" applyFill="1" applyBorder="1" applyAlignment="1">
      <alignment horizontal="left" vertical="center" readingOrder="1"/>
    </xf>
    <xf numFmtId="49" fontId="25" fillId="9" borderId="2" xfId="0" applyNumberFormat="1" applyFont="1" applyFill="1" applyBorder="1" applyAlignment="1">
      <alignment horizontal="left" vertical="center" readingOrder="1"/>
    </xf>
    <xf numFmtId="49" fontId="16" fillId="22" borderId="5" xfId="0" applyNumberFormat="1" applyFont="1" applyFill="1" applyBorder="1" applyAlignment="1">
      <alignment horizontal="left" vertical="center" readingOrder="1"/>
    </xf>
    <xf numFmtId="49" fontId="26" fillId="23" borderId="3" xfId="0" applyNumberFormat="1" applyFont="1" applyFill="1" applyBorder="1" applyAlignment="1">
      <alignment horizontal="left" vertical="center" readingOrder="1"/>
    </xf>
    <xf numFmtId="49" fontId="16" fillId="22" borderId="6" xfId="0" applyNumberFormat="1" applyFont="1" applyFill="1" applyBorder="1" applyAlignment="1">
      <alignment horizontal="left" vertical="center" readingOrder="1"/>
    </xf>
    <xf numFmtId="49" fontId="16" fillId="22" borderId="1" xfId="0" applyNumberFormat="1" applyFont="1" applyFill="1" applyBorder="1" applyAlignment="1">
      <alignment horizontal="left" vertical="center" readingOrder="1"/>
    </xf>
    <xf numFmtId="49" fontId="16" fillId="24" borderId="7" xfId="0" applyNumberFormat="1" applyFont="1" applyFill="1" applyBorder="1" applyAlignment="1">
      <alignment horizontal="left" vertical="center" readingOrder="1"/>
    </xf>
    <xf numFmtId="16" fontId="27" fillId="2" borderId="0" xfId="0" applyNumberFormat="1" applyFont="1" applyFill="1" applyAlignment="1">
      <alignment horizontal="center"/>
    </xf>
    <xf numFmtId="0" fontId="27" fillId="2" borderId="0" xfId="0" applyFont="1" applyFill="1" applyAlignment="1">
      <alignment horizontal="center"/>
    </xf>
    <xf numFmtId="0" fontId="27" fillId="2" borderId="0" xfId="0" applyFont="1" applyFill="1"/>
    <xf numFmtId="0" fontId="28" fillId="0" borderId="0" xfId="0" applyFont="1"/>
    <xf numFmtId="164" fontId="28" fillId="6" borderId="0" xfId="0" applyNumberFormat="1" applyFont="1" applyFill="1"/>
    <xf numFmtId="0" fontId="29" fillId="0" borderId="0" xfId="0" applyFont="1"/>
    <xf numFmtId="0" fontId="30" fillId="17" borderId="0" xfId="0" applyFont="1" applyFill="1"/>
    <xf numFmtId="0" fontId="31" fillId="2" borderId="0" xfId="0" applyFont="1" applyFill="1"/>
    <xf numFmtId="164" fontId="6" fillId="3" borderId="0" xfId="0" applyNumberFormat="1"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3.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1.xml"/><Relationship Id="rId13" Type="http://schemas.openxmlformats.org/officeDocument/2006/relationships/worksheet" Target="worksheets/sheet10.xml"/><Relationship Id="rId14" Type="http://schemas.openxmlformats.org/officeDocument/2006/relationships/worksheet" Target="worksheets/sheet1.xml"/><Relationship Id="rId15" Type="http://schemas.openxmlformats.org/officeDocument/2006/relationships/worksheet" Target="worksheets/sheet2.xml"/><Relationship Id="rId16" Type="http://schemas.openxmlformats.org/officeDocument/2006/relationships/worksheet" Target="worksheets/sheet3.xml"/><Relationship Id="rId1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A126"/>
  <sheetViews>
    <sheetView workbookViewId="0" showGridLines="0" zoomScale="100" zoomScaleNormal="100">
      <pane ySplit="3" topLeftCell="A4" activePane="bottomLeft" state="frozen"/>
      <selection pane="bottomLeft" activeCell="D5" sqref="D5"/>
    </sheetView>
  </sheetViews>
  <sheetFormatPr defaultRowHeight="15" outlineLevelRow="0" outlineLevelCol="0" x14ac:dyDescent="0.25"/>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10" t="s">
        <v>709</v>
      </c>
      <c r="B1" s="49" t="s">
        <v>710</v>
      </c>
      <c r="C1" s="49"/>
      <c r="D1" s="49" t="s">
        <v>711</v>
      </c>
      <c r="E1" s="49"/>
      <c r="F1" s="49"/>
      <c r="G1" s="49"/>
      <c r="H1" s="110"/>
      <c r="I1" s="110"/>
      <c r="J1" s="110"/>
      <c r="K1" s="110"/>
      <c r="L1" s="43" t="s">
        <v>712</v>
      </c>
      <c r="M1" s="2"/>
      <c r="N1" s="2"/>
      <c r="O1" s="2"/>
      <c r="P1" s="2"/>
      <c r="Q1" s="2"/>
      <c r="R1" s="2"/>
      <c r="S1" s="2"/>
      <c r="T1" s="2"/>
      <c r="U1" s="2"/>
      <c r="V1" s="2"/>
      <c r="W1" s="2"/>
      <c r="X1" s="2"/>
      <c r="Y1" s="2"/>
      <c r="Z1" s="2"/>
    </row>
    <row r="2" ht="26.25" customHeight="1" spans="1:26" x14ac:dyDescent="0.25">
      <c r="A2" s="106" t="s">
        <v>713</v>
      </c>
      <c r="B2" s="106" t="s">
        <v>714</v>
      </c>
      <c r="C2" s="106" t="s">
        <v>715</v>
      </c>
      <c r="D2" s="106" t="s">
        <v>716</v>
      </c>
      <c r="E2" s="106" t="s">
        <v>717</v>
      </c>
      <c r="F2" s="106" t="s">
        <v>718</v>
      </c>
      <c r="G2" s="44"/>
      <c r="H2" s="44"/>
      <c r="I2" s="44"/>
      <c r="J2" s="44"/>
      <c r="K2" s="44"/>
      <c r="L2" s="44"/>
      <c r="M2" s="2"/>
      <c r="N2" s="2"/>
      <c r="O2" s="2"/>
      <c r="P2" s="2"/>
      <c r="Q2" s="2"/>
      <c r="R2" s="2"/>
      <c r="S2" s="2"/>
      <c r="T2" s="2"/>
      <c r="U2" s="2"/>
      <c r="V2" s="2"/>
      <c r="W2" s="2"/>
      <c r="X2" s="2"/>
      <c r="Y2" s="2"/>
      <c r="Z2" s="2"/>
    </row>
    <row r="3" ht="26.25" customHeight="1" spans="1:26" x14ac:dyDescent="0.25">
      <c r="A3" s="107" t="s">
        <v>719</v>
      </c>
      <c r="B3" s="111" t="s">
        <v>710</v>
      </c>
      <c r="C3" s="112"/>
      <c r="D3" s="113"/>
      <c r="E3" s="112"/>
      <c r="F3" s="112"/>
      <c r="G3" s="112"/>
      <c r="H3" s="112"/>
      <c r="I3" s="112"/>
      <c r="J3" s="112"/>
      <c r="K3" s="112"/>
      <c r="L3" s="112"/>
      <c r="M3" s="2"/>
      <c r="N3" s="2"/>
      <c r="O3" s="2"/>
      <c r="P3" s="2"/>
      <c r="Q3" s="2"/>
      <c r="R3" s="2"/>
      <c r="S3" s="2"/>
      <c r="T3" s="2"/>
      <c r="U3" s="2"/>
      <c r="V3" s="2"/>
      <c r="W3" s="2"/>
      <c r="X3" s="2"/>
      <c r="Y3" s="2"/>
      <c r="Z3" s="2"/>
    </row>
    <row r="4" ht="16.5" customHeight="1" spans="1:26" x14ac:dyDescent="0.25">
      <c r="A4" s="2" t="s">
        <v>720</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14" t="s">
        <v>721</v>
      </c>
      <c r="U5" s="114" t="s">
        <v>721</v>
      </c>
      <c r="V5" s="114" t="s">
        <v>721</v>
      </c>
      <c r="W5" s="114" t="s">
        <v>721</v>
      </c>
      <c r="X5" s="114" t="s">
        <v>721</v>
      </c>
      <c r="Y5" s="114" t="s">
        <v>721</v>
      </c>
      <c r="Z5" s="114" t="s">
        <v>721</v>
      </c>
    </row>
    <row r="6" spans="1:26" x14ac:dyDescent="0.25">
      <c r="A6" s="115" t="s">
        <v>705</v>
      </c>
      <c r="B6" s="115" t="s">
        <v>722</v>
      </c>
      <c r="C6" s="115" t="s">
        <v>723</v>
      </c>
      <c r="D6" s="115" t="s">
        <v>724</v>
      </c>
      <c r="E6" s="115" t="s">
        <v>725</v>
      </c>
      <c r="F6" s="115" t="s">
        <v>256</v>
      </c>
      <c r="G6" s="115" t="s">
        <v>707</v>
      </c>
      <c r="H6" s="115" t="s">
        <v>726</v>
      </c>
      <c r="I6" s="115" t="s">
        <v>67</v>
      </c>
      <c r="J6" s="115" t="s">
        <v>727</v>
      </c>
      <c r="K6" s="115" t="s">
        <v>728</v>
      </c>
      <c r="L6" s="115" t="s">
        <v>729</v>
      </c>
      <c r="M6" s="115" t="s">
        <v>730</v>
      </c>
      <c r="N6" s="115" t="s">
        <v>731</v>
      </c>
      <c r="O6" s="115" t="s">
        <v>732</v>
      </c>
      <c r="P6" s="115" t="s">
        <v>733</v>
      </c>
      <c r="Q6" s="115" t="s">
        <v>734</v>
      </c>
      <c r="R6" s="115" t="s">
        <v>735</v>
      </c>
      <c r="S6" s="115" t="s">
        <v>736</v>
      </c>
      <c r="T6" s="115" t="s">
        <v>737</v>
      </c>
      <c r="U6" s="115" t="s">
        <v>738</v>
      </c>
      <c r="V6" s="115" t="s">
        <v>177</v>
      </c>
      <c r="W6" s="115" t="s">
        <v>739</v>
      </c>
      <c r="X6" s="115" t="s">
        <v>740</v>
      </c>
      <c r="Y6" s="115" t="s">
        <v>741</v>
      </c>
      <c r="Z6" s="115" t="s">
        <v>741</v>
      </c>
    </row>
    <row r="7" spans="1:27" x14ac:dyDescent="0.25">
      <c r="B7">
        <v>2025</v>
      </c>
      <c r="C7" t="s">
        <v>302</v>
      </c>
      <c r="D7" t="s">
        <v>303</v>
      </c>
      <c r="E7" t="s">
        <v>304</v>
      </c>
      <c r="F7" t="s">
        <v>305</v>
      </c>
      <c r="G7" t="s">
        <v>158</v>
      </c>
      <c r="H7" t="s">
        <v>158</v>
      </c>
      <c r="I7" t="s">
        <v>306</v>
      </c>
      <c r="J7" t="s">
        <v>186</v>
      </c>
      <c r="K7" t="s">
        <v>186</v>
      </c>
      <c r="L7" t="s">
        <v>307</v>
      </c>
      <c r="M7" t="s">
        <v>308</v>
      </c>
      <c r="N7" t="s">
        <v>309</v>
      </c>
      <c r="O7" t="s">
        <v>310</v>
      </c>
      <c r="P7" t="s">
        <v>311</v>
      </c>
      <c r="Q7" t="s">
        <v>312</v>
      </c>
      <c r="R7" t="s">
        <v>313</v>
      </c>
      <c r="S7" t="s">
        <v>314</v>
      </c>
      <c r="T7" t="s">
        <v>315</v>
      </c>
      <c r="U7">
        <v>50</v>
      </c>
      <c r="V7">
        <v>1900</v>
      </c>
      <c r="W7">
        <v>1900</v>
      </c>
      <c r="X7">
        <v>925</v>
      </c>
      <c r="Y7">
        <v>0</v>
      </c>
      <c r="Z7">
        <v>975</v>
      </c>
      <c r="AA7">
        <v>975</v>
      </c>
    </row>
    <row r="8" spans="1:27" x14ac:dyDescent="0.25">
      <c r="B8">
        <v>2025</v>
      </c>
      <c r="C8" t="s">
        <v>302</v>
      </c>
      <c r="D8" t="s">
        <v>316</v>
      </c>
      <c r="E8" t="s">
        <v>317</v>
      </c>
      <c r="F8" t="s">
        <v>318</v>
      </c>
      <c r="G8" t="s">
        <v>163</v>
      </c>
      <c r="H8" t="s">
        <v>163</v>
      </c>
      <c r="I8" t="s">
        <v>306</v>
      </c>
      <c r="J8" t="s">
        <v>186</v>
      </c>
      <c r="K8" t="s">
        <v>186</v>
      </c>
      <c r="L8" t="s">
        <v>307</v>
      </c>
      <c r="M8" t="s">
        <v>319</v>
      </c>
      <c r="N8" t="s">
        <v>309</v>
      </c>
      <c r="O8" t="s">
        <v>310</v>
      </c>
      <c r="P8" t="s">
        <v>311</v>
      </c>
      <c r="Q8" t="s">
        <v>312</v>
      </c>
      <c r="R8" t="s">
        <v>313</v>
      </c>
      <c r="S8" t="s">
        <v>320</v>
      </c>
      <c r="T8" t="s">
        <v>321</v>
      </c>
      <c r="U8">
        <v>61</v>
      </c>
      <c r="V8">
        <v>2196</v>
      </c>
      <c r="W8">
        <v>2196</v>
      </c>
      <c r="X8">
        <v>1049.2</v>
      </c>
      <c r="Y8">
        <v>0</v>
      </c>
      <c r="Z8">
        <v>1146.8</v>
      </c>
      <c r="AA8">
        <v>1146.8</v>
      </c>
    </row>
    <row r="9" spans="1:27" x14ac:dyDescent="0.25">
      <c r="B9">
        <v>2025</v>
      </c>
      <c r="C9" t="s">
        <v>302</v>
      </c>
      <c r="D9" t="s">
        <v>322</v>
      </c>
      <c r="E9" t="s">
        <v>323</v>
      </c>
      <c r="F9" t="s">
        <v>324</v>
      </c>
      <c r="G9" t="s">
        <v>325</v>
      </c>
      <c r="H9" t="s">
        <v>325</v>
      </c>
      <c r="I9" t="s">
        <v>306</v>
      </c>
      <c r="J9" t="s">
        <v>186</v>
      </c>
      <c r="K9" t="s">
        <v>186</v>
      </c>
      <c r="L9" t="s">
        <v>307</v>
      </c>
      <c r="M9" t="s">
        <v>326</v>
      </c>
      <c r="N9" t="s">
        <v>309</v>
      </c>
      <c r="O9" t="s">
        <v>310</v>
      </c>
      <c r="P9" t="s">
        <v>311</v>
      </c>
      <c r="Q9" t="s">
        <v>312</v>
      </c>
      <c r="R9" t="s">
        <v>313</v>
      </c>
      <c r="S9" t="s">
        <v>327</v>
      </c>
      <c r="T9" t="s">
        <v>328</v>
      </c>
      <c r="U9">
        <v>72</v>
      </c>
      <c r="V9">
        <v>2592</v>
      </c>
      <c r="W9">
        <v>2592</v>
      </c>
      <c r="X9">
        <v>1260</v>
      </c>
      <c r="Y9">
        <v>0</v>
      </c>
      <c r="Z9">
        <v>1332</v>
      </c>
      <c r="AA9">
        <v>1332</v>
      </c>
    </row>
    <row r="10" spans="1:27" x14ac:dyDescent="0.25">
      <c r="B10">
        <v>2025</v>
      </c>
      <c r="C10" t="s">
        <v>302</v>
      </c>
      <c r="D10" t="s">
        <v>329</v>
      </c>
      <c r="E10" t="s">
        <v>330</v>
      </c>
      <c r="F10" t="s">
        <v>331</v>
      </c>
      <c r="G10" t="s">
        <v>167</v>
      </c>
      <c r="H10" t="s">
        <v>167</v>
      </c>
      <c r="I10" t="s">
        <v>306</v>
      </c>
      <c r="J10" t="s">
        <v>186</v>
      </c>
      <c r="K10" t="s">
        <v>186</v>
      </c>
      <c r="L10" t="s">
        <v>307</v>
      </c>
      <c r="M10" t="s">
        <v>332</v>
      </c>
      <c r="N10" t="s">
        <v>309</v>
      </c>
      <c r="O10" t="s">
        <v>310</v>
      </c>
      <c r="P10" t="s">
        <v>311</v>
      </c>
      <c r="Q10" t="s">
        <v>312</v>
      </c>
      <c r="R10" t="s">
        <v>313</v>
      </c>
      <c r="S10" t="s">
        <v>314</v>
      </c>
      <c r="T10" t="s">
        <v>333</v>
      </c>
      <c r="U10">
        <v>83</v>
      </c>
      <c r="V10">
        <v>2905</v>
      </c>
      <c r="W10">
        <v>2905</v>
      </c>
      <c r="X10">
        <v>1394.4</v>
      </c>
      <c r="Y10">
        <v>0</v>
      </c>
      <c r="Z10">
        <v>1510.6</v>
      </c>
      <c r="AA10">
        <v>1510.6</v>
      </c>
    </row>
    <row r="11" spans="1:27" x14ac:dyDescent="0.25">
      <c r="B11">
        <v>2025</v>
      </c>
      <c r="C11" t="s">
        <v>302</v>
      </c>
      <c r="D11" t="s">
        <v>334</v>
      </c>
      <c r="E11" t="s">
        <v>335</v>
      </c>
      <c r="F11" t="s">
        <v>336</v>
      </c>
      <c r="G11" t="s">
        <v>165</v>
      </c>
      <c r="H11" t="s">
        <v>165</v>
      </c>
      <c r="I11" t="s">
        <v>306</v>
      </c>
      <c r="J11" t="s">
        <v>186</v>
      </c>
      <c r="K11" t="s">
        <v>186</v>
      </c>
      <c r="L11" t="s">
        <v>307</v>
      </c>
      <c r="M11" t="s">
        <v>337</v>
      </c>
      <c r="N11" t="s">
        <v>309</v>
      </c>
      <c r="O11" t="s">
        <v>310</v>
      </c>
      <c r="P11" t="s">
        <v>311</v>
      </c>
      <c r="Q11" t="s">
        <v>312</v>
      </c>
      <c r="R11" t="s">
        <v>313</v>
      </c>
      <c r="S11" t="s">
        <v>320</v>
      </c>
      <c r="T11" t="s">
        <v>338</v>
      </c>
      <c r="U11">
        <v>94</v>
      </c>
      <c r="V11">
        <v>3196</v>
      </c>
      <c r="W11">
        <v>3196</v>
      </c>
      <c r="X11">
        <v>1551</v>
      </c>
      <c r="Y11">
        <v>0</v>
      </c>
      <c r="Z11">
        <v>1645</v>
      </c>
      <c r="AA11">
        <v>1645</v>
      </c>
    </row>
    <row r="12" spans="1:27" x14ac:dyDescent="0.25">
      <c r="B12">
        <v>2025</v>
      </c>
      <c r="C12" t="s">
        <v>339</v>
      </c>
      <c r="D12" t="s">
        <v>340</v>
      </c>
      <c r="E12" t="s">
        <v>341</v>
      </c>
      <c r="F12" t="s">
        <v>342</v>
      </c>
      <c r="G12" t="s">
        <v>158</v>
      </c>
      <c r="H12" t="s">
        <v>158</v>
      </c>
      <c r="I12" t="s">
        <v>306</v>
      </c>
      <c r="J12" t="s">
        <v>186</v>
      </c>
      <c r="K12" t="s">
        <v>186</v>
      </c>
      <c r="L12" t="s">
        <v>307</v>
      </c>
      <c r="M12" t="s">
        <v>343</v>
      </c>
      <c r="N12" t="s">
        <v>309</v>
      </c>
      <c r="O12" t="s">
        <v>310</v>
      </c>
      <c r="P12" t="s">
        <v>311</v>
      </c>
      <c r="Q12" t="s">
        <v>312</v>
      </c>
      <c r="R12" t="s">
        <v>313</v>
      </c>
      <c r="S12" t="s">
        <v>314</v>
      </c>
      <c r="T12" t="s">
        <v>315</v>
      </c>
      <c r="U12">
        <v>50</v>
      </c>
      <c r="V12">
        <v>1900</v>
      </c>
      <c r="W12">
        <v>1900</v>
      </c>
      <c r="X12">
        <v>925</v>
      </c>
      <c r="Y12">
        <v>0</v>
      </c>
      <c r="Z12">
        <v>975</v>
      </c>
      <c r="AA12">
        <v>975</v>
      </c>
    </row>
    <row r="13" spans="1:27" x14ac:dyDescent="0.25">
      <c r="B13">
        <v>2025</v>
      </c>
      <c r="C13" t="s">
        <v>339</v>
      </c>
      <c r="D13" t="s">
        <v>344</v>
      </c>
      <c r="E13" t="s">
        <v>345</v>
      </c>
      <c r="F13" t="s">
        <v>346</v>
      </c>
      <c r="G13" t="s">
        <v>163</v>
      </c>
      <c r="H13" t="s">
        <v>163</v>
      </c>
      <c r="I13" t="s">
        <v>306</v>
      </c>
      <c r="J13" t="s">
        <v>186</v>
      </c>
      <c r="K13" t="s">
        <v>186</v>
      </c>
      <c r="L13" t="s">
        <v>307</v>
      </c>
      <c r="M13" t="s">
        <v>347</v>
      </c>
      <c r="N13" t="s">
        <v>309</v>
      </c>
      <c r="O13" t="s">
        <v>310</v>
      </c>
      <c r="P13" t="s">
        <v>311</v>
      </c>
      <c r="Q13" t="s">
        <v>312</v>
      </c>
      <c r="R13" t="s">
        <v>313</v>
      </c>
      <c r="S13" t="s">
        <v>320</v>
      </c>
      <c r="T13" t="s">
        <v>321</v>
      </c>
      <c r="U13">
        <v>61</v>
      </c>
      <c r="V13">
        <v>2196</v>
      </c>
      <c r="W13">
        <v>2196</v>
      </c>
      <c r="X13">
        <v>1049.2</v>
      </c>
      <c r="Y13">
        <v>0</v>
      </c>
      <c r="Z13">
        <v>1146.8</v>
      </c>
      <c r="AA13">
        <v>1146.8</v>
      </c>
    </row>
    <row r="14" spans="1:27" x14ac:dyDescent="0.25">
      <c r="B14">
        <v>2025</v>
      </c>
      <c r="C14" t="s">
        <v>339</v>
      </c>
      <c r="D14" t="s">
        <v>348</v>
      </c>
      <c r="E14" t="s">
        <v>349</v>
      </c>
      <c r="F14" t="s">
        <v>350</v>
      </c>
      <c r="G14" t="s">
        <v>325</v>
      </c>
      <c r="H14" t="s">
        <v>325</v>
      </c>
      <c r="I14" t="s">
        <v>306</v>
      </c>
      <c r="J14" t="s">
        <v>186</v>
      </c>
      <c r="K14" t="s">
        <v>186</v>
      </c>
      <c r="L14" t="s">
        <v>307</v>
      </c>
      <c r="M14" t="s">
        <v>351</v>
      </c>
      <c r="N14" t="s">
        <v>309</v>
      </c>
      <c r="O14" t="s">
        <v>310</v>
      </c>
      <c r="P14" t="s">
        <v>311</v>
      </c>
      <c r="Q14" t="s">
        <v>312</v>
      </c>
      <c r="R14" t="s">
        <v>313</v>
      </c>
      <c r="S14" t="s">
        <v>327</v>
      </c>
      <c r="T14" t="s">
        <v>328</v>
      </c>
      <c r="U14">
        <v>72</v>
      </c>
      <c r="V14">
        <v>2592</v>
      </c>
      <c r="W14">
        <v>2592</v>
      </c>
      <c r="X14">
        <v>1260</v>
      </c>
      <c r="Y14">
        <v>0</v>
      </c>
      <c r="Z14">
        <v>1332</v>
      </c>
      <c r="AA14">
        <v>1332</v>
      </c>
    </row>
    <row r="15" spans="1:27" x14ac:dyDescent="0.25">
      <c r="B15">
        <v>2025</v>
      </c>
      <c r="C15" t="s">
        <v>339</v>
      </c>
      <c r="D15" t="s">
        <v>352</v>
      </c>
      <c r="E15" t="s">
        <v>353</v>
      </c>
      <c r="F15" t="s">
        <v>354</v>
      </c>
      <c r="G15" t="s">
        <v>167</v>
      </c>
      <c r="H15" t="s">
        <v>167</v>
      </c>
      <c r="I15" t="s">
        <v>306</v>
      </c>
      <c r="J15" t="s">
        <v>186</v>
      </c>
      <c r="K15" t="s">
        <v>186</v>
      </c>
      <c r="L15" t="s">
        <v>307</v>
      </c>
      <c r="M15" t="s">
        <v>355</v>
      </c>
      <c r="N15" t="s">
        <v>309</v>
      </c>
      <c r="O15" t="s">
        <v>310</v>
      </c>
      <c r="P15" t="s">
        <v>311</v>
      </c>
      <c r="Q15" t="s">
        <v>312</v>
      </c>
      <c r="R15" t="s">
        <v>313</v>
      </c>
      <c r="S15" t="s">
        <v>314</v>
      </c>
      <c r="T15" t="s">
        <v>333</v>
      </c>
      <c r="U15">
        <v>83</v>
      </c>
      <c r="V15">
        <v>2905</v>
      </c>
      <c r="W15">
        <v>2905</v>
      </c>
      <c r="X15">
        <v>1394.4</v>
      </c>
      <c r="Y15">
        <v>0</v>
      </c>
      <c r="Z15">
        <v>1510.6</v>
      </c>
      <c r="AA15">
        <v>1510.6</v>
      </c>
    </row>
    <row r="16" spans="1:27" x14ac:dyDescent="0.25">
      <c r="B16">
        <v>2025</v>
      </c>
      <c r="C16" t="s">
        <v>339</v>
      </c>
      <c r="D16" t="s">
        <v>356</v>
      </c>
      <c r="E16" t="s">
        <v>357</v>
      </c>
      <c r="F16" t="s">
        <v>358</v>
      </c>
      <c r="G16" t="s">
        <v>165</v>
      </c>
      <c r="H16" t="s">
        <v>165</v>
      </c>
      <c r="I16" t="s">
        <v>306</v>
      </c>
      <c r="J16" t="s">
        <v>186</v>
      </c>
      <c r="K16" t="s">
        <v>186</v>
      </c>
      <c r="L16" t="s">
        <v>307</v>
      </c>
      <c r="M16" t="s">
        <v>359</v>
      </c>
      <c r="N16" t="s">
        <v>309</v>
      </c>
      <c r="O16" t="s">
        <v>310</v>
      </c>
      <c r="P16" t="s">
        <v>311</v>
      </c>
      <c r="Q16" t="s">
        <v>312</v>
      </c>
      <c r="R16" t="s">
        <v>313</v>
      </c>
      <c r="S16" t="s">
        <v>320</v>
      </c>
      <c r="T16" t="s">
        <v>338</v>
      </c>
      <c r="U16">
        <v>94</v>
      </c>
      <c r="V16">
        <v>3196</v>
      </c>
      <c r="W16">
        <v>3196</v>
      </c>
      <c r="X16">
        <v>1551</v>
      </c>
      <c r="Y16">
        <v>0</v>
      </c>
      <c r="Z16">
        <v>1645</v>
      </c>
      <c r="AA16">
        <v>1645</v>
      </c>
    </row>
    <row r="17" spans="1:27" x14ac:dyDescent="0.25">
      <c r="B17">
        <v>2025</v>
      </c>
      <c r="C17" t="s">
        <v>290</v>
      </c>
      <c r="D17" t="s">
        <v>360</v>
      </c>
      <c r="E17" t="s">
        <v>361</v>
      </c>
      <c r="F17" t="s">
        <v>362</v>
      </c>
      <c r="G17" t="s">
        <v>158</v>
      </c>
      <c r="H17" t="s">
        <v>158</v>
      </c>
      <c r="I17" t="s">
        <v>306</v>
      </c>
      <c r="J17" t="s">
        <v>186</v>
      </c>
      <c r="K17" t="s">
        <v>186</v>
      </c>
      <c r="L17" t="s">
        <v>307</v>
      </c>
      <c r="M17" t="s">
        <v>363</v>
      </c>
      <c r="N17" t="s">
        <v>309</v>
      </c>
      <c r="O17" t="s">
        <v>310</v>
      </c>
      <c r="P17" t="s">
        <v>311</v>
      </c>
      <c r="Q17" t="s">
        <v>312</v>
      </c>
      <c r="R17" t="s">
        <v>313</v>
      </c>
      <c r="S17" t="s">
        <v>314</v>
      </c>
      <c r="T17" t="s">
        <v>315</v>
      </c>
      <c r="U17">
        <v>50</v>
      </c>
      <c r="V17">
        <v>1900</v>
      </c>
      <c r="W17">
        <v>1900</v>
      </c>
      <c r="X17">
        <v>925</v>
      </c>
      <c r="Y17">
        <v>0</v>
      </c>
      <c r="Z17">
        <v>975</v>
      </c>
      <c r="AA17">
        <v>975</v>
      </c>
    </row>
    <row r="18" spans="1:27" x14ac:dyDescent="0.25">
      <c r="B18">
        <v>2025</v>
      </c>
      <c r="C18" t="s">
        <v>290</v>
      </c>
      <c r="D18" t="s">
        <v>364</v>
      </c>
      <c r="E18" t="s">
        <v>365</v>
      </c>
      <c r="F18" t="s">
        <v>366</v>
      </c>
      <c r="G18" t="s">
        <v>163</v>
      </c>
      <c r="H18" t="s">
        <v>163</v>
      </c>
      <c r="I18" t="s">
        <v>306</v>
      </c>
      <c r="J18" t="s">
        <v>186</v>
      </c>
      <c r="K18" t="s">
        <v>186</v>
      </c>
      <c r="L18" t="s">
        <v>307</v>
      </c>
      <c r="M18" t="s">
        <v>367</v>
      </c>
      <c r="N18" t="s">
        <v>309</v>
      </c>
      <c r="O18" t="s">
        <v>310</v>
      </c>
      <c r="P18" t="s">
        <v>311</v>
      </c>
      <c r="Q18" t="s">
        <v>312</v>
      </c>
      <c r="R18" t="s">
        <v>313</v>
      </c>
      <c r="S18" t="s">
        <v>320</v>
      </c>
      <c r="T18" t="s">
        <v>321</v>
      </c>
      <c r="U18">
        <v>61</v>
      </c>
      <c r="V18">
        <v>2196</v>
      </c>
      <c r="W18">
        <v>2196</v>
      </c>
      <c r="X18">
        <v>1049.2</v>
      </c>
      <c r="Y18">
        <v>0</v>
      </c>
      <c r="Z18">
        <v>1146.8</v>
      </c>
      <c r="AA18">
        <v>1146.8</v>
      </c>
    </row>
    <row r="19" spans="1:27" x14ac:dyDescent="0.25">
      <c r="B19">
        <v>2025</v>
      </c>
      <c r="C19" t="s">
        <v>290</v>
      </c>
      <c r="D19" t="s">
        <v>368</v>
      </c>
      <c r="E19" t="s">
        <v>369</v>
      </c>
      <c r="F19" t="s">
        <v>370</v>
      </c>
      <c r="G19" t="s">
        <v>325</v>
      </c>
      <c r="H19" t="s">
        <v>325</v>
      </c>
      <c r="I19" t="s">
        <v>306</v>
      </c>
      <c r="J19" t="s">
        <v>186</v>
      </c>
      <c r="K19" t="s">
        <v>186</v>
      </c>
      <c r="L19" t="s">
        <v>307</v>
      </c>
      <c r="M19" t="s">
        <v>371</v>
      </c>
      <c r="N19" t="s">
        <v>309</v>
      </c>
      <c r="O19" t="s">
        <v>310</v>
      </c>
      <c r="P19" t="s">
        <v>311</v>
      </c>
      <c r="Q19" t="s">
        <v>312</v>
      </c>
      <c r="R19" t="s">
        <v>313</v>
      </c>
      <c r="S19" t="s">
        <v>327</v>
      </c>
      <c r="T19" t="s">
        <v>328</v>
      </c>
      <c r="U19">
        <v>72</v>
      </c>
      <c r="V19">
        <v>2592</v>
      </c>
      <c r="W19">
        <v>2592</v>
      </c>
      <c r="X19">
        <v>1260</v>
      </c>
      <c r="Y19">
        <v>0</v>
      </c>
      <c r="Z19">
        <v>1332</v>
      </c>
      <c r="AA19">
        <v>1332</v>
      </c>
    </row>
    <row r="20" spans="1:27" x14ac:dyDescent="0.25">
      <c r="B20">
        <v>2025</v>
      </c>
      <c r="C20" t="s">
        <v>290</v>
      </c>
      <c r="D20" t="s">
        <v>372</v>
      </c>
      <c r="E20" t="s">
        <v>373</v>
      </c>
      <c r="F20" t="s">
        <v>374</v>
      </c>
      <c r="G20" t="s">
        <v>167</v>
      </c>
      <c r="H20" t="s">
        <v>167</v>
      </c>
      <c r="I20" t="s">
        <v>306</v>
      </c>
      <c r="J20" t="s">
        <v>186</v>
      </c>
      <c r="K20" t="s">
        <v>186</v>
      </c>
      <c r="L20" t="s">
        <v>307</v>
      </c>
      <c r="M20" t="s">
        <v>375</v>
      </c>
      <c r="N20" t="s">
        <v>309</v>
      </c>
      <c r="O20" t="s">
        <v>310</v>
      </c>
      <c r="P20" t="s">
        <v>311</v>
      </c>
      <c r="Q20" t="s">
        <v>312</v>
      </c>
      <c r="R20" t="s">
        <v>313</v>
      </c>
      <c r="S20" t="s">
        <v>314</v>
      </c>
      <c r="T20" t="s">
        <v>333</v>
      </c>
      <c r="U20">
        <v>83</v>
      </c>
      <c r="V20">
        <v>2905</v>
      </c>
      <c r="W20">
        <v>2905</v>
      </c>
      <c r="X20">
        <v>1394.4</v>
      </c>
      <c r="Y20">
        <v>0</v>
      </c>
      <c r="Z20">
        <v>1510.6</v>
      </c>
      <c r="AA20">
        <v>1510.6</v>
      </c>
    </row>
    <row r="21" spans="1:27" x14ac:dyDescent="0.25">
      <c r="B21">
        <v>2025</v>
      </c>
      <c r="C21" t="s">
        <v>290</v>
      </c>
      <c r="D21" t="s">
        <v>376</v>
      </c>
      <c r="E21" t="s">
        <v>377</v>
      </c>
      <c r="F21" t="s">
        <v>378</v>
      </c>
      <c r="G21" t="s">
        <v>165</v>
      </c>
      <c r="H21" t="s">
        <v>165</v>
      </c>
      <c r="I21" t="s">
        <v>306</v>
      </c>
      <c r="J21" t="s">
        <v>186</v>
      </c>
      <c r="K21" t="s">
        <v>186</v>
      </c>
      <c r="L21" t="s">
        <v>307</v>
      </c>
      <c r="M21" t="s">
        <v>379</v>
      </c>
      <c r="N21" t="s">
        <v>309</v>
      </c>
      <c r="O21" t="s">
        <v>310</v>
      </c>
      <c r="P21" t="s">
        <v>311</v>
      </c>
      <c r="Q21" t="s">
        <v>312</v>
      </c>
      <c r="R21" t="s">
        <v>313</v>
      </c>
      <c r="S21" t="s">
        <v>320</v>
      </c>
      <c r="T21" t="s">
        <v>338</v>
      </c>
      <c r="U21">
        <v>94</v>
      </c>
      <c r="V21">
        <v>3196</v>
      </c>
      <c r="W21">
        <v>3196</v>
      </c>
      <c r="X21">
        <v>1551</v>
      </c>
      <c r="Y21">
        <v>0</v>
      </c>
      <c r="Z21">
        <v>1645</v>
      </c>
      <c r="AA21">
        <v>1645</v>
      </c>
    </row>
    <row r="22" spans="1:27" x14ac:dyDescent="0.25">
      <c r="B22">
        <v>2025</v>
      </c>
      <c r="C22" t="s">
        <v>380</v>
      </c>
      <c r="D22" t="s">
        <v>381</v>
      </c>
      <c r="E22" t="s">
        <v>304</v>
      </c>
      <c r="F22" t="s">
        <v>382</v>
      </c>
      <c r="G22" t="s">
        <v>158</v>
      </c>
      <c r="H22" t="s">
        <v>158</v>
      </c>
      <c r="I22" t="s">
        <v>306</v>
      </c>
      <c r="J22" t="s">
        <v>186</v>
      </c>
      <c r="K22" t="s">
        <v>186</v>
      </c>
      <c r="L22" t="s">
        <v>307</v>
      </c>
      <c r="M22" t="s">
        <v>383</v>
      </c>
      <c r="N22" t="s">
        <v>309</v>
      </c>
      <c r="O22" t="s">
        <v>310</v>
      </c>
      <c r="P22" t="s">
        <v>311</v>
      </c>
      <c r="Q22" t="s">
        <v>312</v>
      </c>
      <c r="R22" t="s">
        <v>313</v>
      </c>
      <c r="S22" t="s">
        <v>314</v>
      </c>
      <c r="T22" t="s">
        <v>315</v>
      </c>
      <c r="U22">
        <v>50</v>
      </c>
      <c r="V22">
        <v>1900</v>
      </c>
      <c r="W22">
        <v>1900</v>
      </c>
      <c r="X22">
        <v>925</v>
      </c>
      <c r="Y22">
        <v>0</v>
      </c>
      <c r="Z22">
        <v>975</v>
      </c>
      <c r="AA22">
        <v>975</v>
      </c>
    </row>
    <row r="23" spans="1:27" x14ac:dyDescent="0.25">
      <c r="B23">
        <v>2025</v>
      </c>
      <c r="C23" t="s">
        <v>380</v>
      </c>
      <c r="D23" t="s">
        <v>384</v>
      </c>
      <c r="E23" t="s">
        <v>317</v>
      </c>
      <c r="F23" t="s">
        <v>385</v>
      </c>
      <c r="G23" t="s">
        <v>163</v>
      </c>
      <c r="H23" t="s">
        <v>163</v>
      </c>
      <c r="I23" t="s">
        <v>306</v>
      </c>
      <c r="J23" t="s">
        <v>186</v>
      </c>
      <c r="K23" t="s">
        <v>186</v>
      </c>
      <c r="L23" t="s">
        <v>307</v>
      </c>
      <c r="M23" t="s">
        <v>386</v>
      </c>
      <c r="N23" t="s">
        <v>309</v>
      </c>
      <c r="O23" t="s">
        <v>310</v>
      </c>
      <c r="P23" t="s">
        <v>311</v>
      </c>
      <c r="Q23" t="s">
        <v>312</v>
      </c>
      <c r="R23" t="s">
        <v>313</v>
      </c>
      <c r="S23" t="s">
        <v>320</v>
      </c>
      <c r="T23" t="s">
        <v>321</v>
      </c>
      <c r="U23">
        <v>61</v>
      </c>
      <c r="V23">
        <v>2196</v>
      </c>
      <c r="W23">
        <v>2196</v>
      </c>
      <c r="X23">
        <v>1049.2</v>
      </c>
      <c r="Y23">
        <v>0</v>
      </c>
      <c r="Z23">
        <v>1146.8</v>
      </c>
      <c r="AA23">
        <v>1146.8</v>
      </c>
    </row>
    <row r="24" spans="1:27" x14ac:dyDescent="0.25">
      <c r="B24">
        <v>2025</v>
      </c>
      <c r="C24" t="s">
        <v>380</v>
      </c>
      <c r="D24" t="s">
        <v>387</v>
      </c>
      <c r="E24" t="s">
        <v>323</v>
      </c>
      <c r="F24" t="s">
        <v>388</v>
      </c>
      <c r="G24" t="s">
        <v>325</v>
      </c>
      <c r="H24" t="s">
        <v>325</v>
      </c>
      <c r="I24" t="s">
        <v>306</v>
      </c>
      <c r="J24" t="s">
        <v>186</v>
      </c>
      <c r="K24" t="s">
        <v>186</v>
      </c>
      <c r="L24" t="s">
        <v>307</v>
      </c>
      <c r="M24" t="s">
        <v>389</v>
      </c>
      <c r="N24" t="s">
        <v>309</v>
      </c>
      <c r="O24" t="s">
        <v>310</v>
      </c>
      <c r="P24" t="s">
        <v>311</v>
      </c>
      <c r="Q24" t="s">
        <v>312</v>
      </c>
      <c r="R24" t="s">
        <v>313</v>
      </c>
      <c r="S24" t="s">
        <v>327</v>
      </c>
      <c r="T24" t="s">
        <v>328</v>
      </c>
      <c r="U24">
        <v>72</v>
      </c>
      <c r="V24">
        <v>2592</v>
      </c>
      <c r="W24">
        <v>2592</v>
      </c>
      <c r="X24">
        <v>1260</v>
      </c>
      <c r="Y24">
        <v>0</v>
      </c>
      <c r="Z24">
        <v>1332</v>
      </c>
      <c r="AA24">
        <v>1332</v>
      </c>
    </row>
    <row r="25" spans="1:27" x14ac:dyDescent="0.25">
      <c r="B25">
        <v>2025</v>
      </c>
      <c r="C25" t="s">
        <v>380</v>
      </c>
      <c r="D25" t="s">
        <v>390</v>
      </c>
      <c r="E25" t="s">
        <v>330</v>
      </c>
      <c r="F25" t="s">
        <v>391</v>
      </c>
      <c r="G25" t="s">
        <v>167</v>
      </c>
      <c r="H25" t="s">
        <v>167</v>
      </c>
      <c r="I25" t="s">
        <v>306</v>
      </c>
      <c r="J25" t="s">
        <v>186</v>
      </c>
      <c r="K25" t="s">
        <v>186</v>
      </c>
      <c r="L25" t="s">
        <v>307</v>
      </c>
      <c r="M25" t="s">
        <v>392</v>
      </c>
      <c r="N25" t="s">
        <v>309</v>
      </c>
      <c r="O25" t="s">
        <v>310</v>
      </c>
      <c r="P25" t="s">
        <v>311</v>
      </c>
      <c r="Q25" t="s">
        <v>312</v>
      </c>
      <c r="R25" t="s">
        <v>313</v>
      </c>
      <c r="S25" t="s">
        <v>314</v>
      </c>
      <c r="T25" t="s">
        <v>333</v>
      </c>
      <c r="U25">
        <v>83</v>
      </c>
      <c r="V25">
        <v>2905</v>
      </c>
      <c r="W25">
        <v>2905</v>
      </c>
      <c r="X25">
        <v>1394.4</v>
      </c>
      <c r="Y25">
        <v>0</v>
      </c>
      <c r="Z25">
        <v>1510.6</v>
      </c>
      <c r="AA25">
        <v>1510.6</v>
      </c>
    </row>
    <row r="26" spans="1:27" x14ac:dyDescent="0.25">
      <c r="B26">
        <v>2025</v>
      </c>
      <c r="C26" t="s">
        <v>380</v>
      </c>
      <c r="D26" t="s">
        <v>393</v>
      </c>
      <c r="E26" t="s">
        <v>335</v>
      </c>
      <c r="F26" t="s">
        <v>394</v>
      </c>
      <c r="G26" t="s">
        <v>165</v>
      </c>
      <c r="H26" t="s">
        <v>165</v>
      </c>
      <c r="I26" t="s">
        <v>306</v>
      </c>
      <c r="J26" t="s">
        <v>186</v>
      </c>
      <c r="K26" t="s">
        <v>186</v>
      </c>
      <c r="L26" t="s">
        <v>307</v>
      </c>
      <c r="M26" t="s">
        <v>395</v>
      </c>
      <c r="N26" t="s">
        <v>309</v>
      </c>
      <c r="O26" t="s">
        <v>310</v>
      </c>
      <c r="P26" t="s">
        <v>311</v>
      </c>
      <c r="Q26" t="s">
        <v>312</v>
      </c>
      <c r="R26" t="s">
        <v>313</v>
      </c>
      <c r="S26" t="s">
        <v>320</v>
      </c>
      <c r="T26" t="s">
        <v>338</v>
      </c>
      <c r="U26">
        <v>94</v>
      </c>
      <c r="V26">
        <v>3196</v>
      </c>
      <c r="W26">
        <v>3196</v>
      </c>
      <c r="X26">
        <v>1551</v>
      </c>
      <c r="Y26">
        <v>0</v>
      </c>
      <c r="Z26">
        <v>1645</v>
      </c>
      <c r="AA26">
        <v>1645</v>
      </c>
    </row>
    <row r="27" spans="1:27" x14ac:dyDescent="0.25">
      <c r="B27">
        <v>2025</v>
      </c>
      <c r="C27" t="s">
        <v>396</v>
      </c>
      <c r="D27" t="s">
        <v>397</v>
      </c>
      <c r="E27" t="s">
        <v>341</v>
      </c>
      <c r="F27" t="s">
        <v>398</v>
      </c>
      <c r="G27" t="s">
        <v>158</v>
      </c>
      <c r="H27" t="s">
        <v>158</v>
      </c>
      <c r="I27" t="s">
        <v>306</v>
      </c>
      <c r="J27" t="s">
        <v>186</v>
      </c>
      <c r="K27" t="s">
        <v>186</v>
      </c>
      <c r="L27" t="s">
        <v>307</v>
      </c>
      <c r="M27" t="s">
        <v>399</v>
      </c>
      <c r="N27" t="s">
        <v>309</v>
      </c>
      <c r="O27" t="s">
        <v>310</v>
      </c>
      <c r="P27" t="s">
        <v>311</v>
      </c>
      <c r="Q27" t="s">
        <v>312</v>
      </c>
      <c r="R27" t="s">
        <v>313</v>
      </c>
      <c r="S27" t="s">
        <v>314</v>
      </c>
      <c r="T27" t="s">
        <v>315</v>
      </c>
      <c r="U27">
        <v>50</v>
      </c>
      <c r="V27">
        <v>1900</v>
      </c>
      <c r="W27">
        <v>1900</v>
      </c>
      <c r="X27">
        <v>925</v>
      </c>
      <c r="Y27">
        <v>0</v>
      </c>
      <c r="Z27">
        <v>975</v>
      </c>
      <c r="AA27">
        <v>975</v>
      </c>
    </row>
    <row r="28" spans="1:27" x14ac:dyDescent="0.25">
      <c r="B28">
        <v>2025</v>
      </c>
      <c r="C28" t="s">
        <v>396</v>
      </c>
      <c r="D28" t="s">
        <v>400</v>
      </c>
      <c r="E28" t="s">
        <v>345</v>
      </c>
      <c r="F28" t="s">
        <v>401</v>
      </c>
      <c r="G28" t="s">
        <v>163</v>
      </c>
      <c r="H28" t="s">
        <v>163</v>
      </c>
      <c r="I28" t="s">
        <v>306</v>
      </c>
      <c r="J28" t="s">
        <v>186</v>
      </c>
      <c r="K28" t="s">
        <v>186</v>
      </c>
      <c r="L28" t="s">
        <v>307</v>
      </c>
      <c r="M28" t="s">
        <v>402</v>
      </c>
      <c r="N28" t="s">
        <v>309</v>
      </c>
      <c r="O28" t="s">
        <v>310</v>
      </c>
      <c r="P28" t="s">
        <v>311</v>
      </c>
      <c r="Q28" t="s">
        <v>312</v>
      </c>
      <c r="R28" t="s">
        <v>313</v>
      </c>
      <c r="S28" t="s">
        <v>320</v>
      </c>
      <c r="T28" t="s">
        <v>321</v>
      </c>
      <c r="U28">
        <v>61</v>
      </c>
      <c r="V28">
        <v>2196</v>
      </c>
      <c r="W28">
        <v>2196</v>
      </c>
      <c r="X28">
        <v>1049.2</v>
      </c>
      <c r="Y28">
        <v>0</v>
      </c>
      <c r="Z28">
        <v>1146.8</v>
      </c>
      <c r="AA28">
        <v>1146.8</v>
      </c>
    </row>
    <row r="29" spans="1:27" x14ac:dyDescent="0.25">
      <c r="B29">
        <v>2025</v>
      </c>
      <c r="C29" t="s">
        <v>396</v>
      </c>
      <c r="D29" t="s">
        <v>403</v>
      </c>
      <c r="E29" t="s">
        <v>349</v>
      </c>
      <c r="F29" t="s">
        <v>404</v>
      </c>
      <c r="G29" t="s">
        <v>325</v>
      </c>
      <c r="H29" t="s">
        <v>325</v>
      </c>
      <c r="I29" t="s">
        <v>306</v>
      </c>
      <c r="J29" t="s">
        <v>186</v>
      </c>
      <c r="K29" t="s">
        <v>186</v>
      </c>
      <c r="L29" t="s">
        <v>307</v>
      </c>
      <c r="M29" t="s">
        <v>405</v>
      </c>
      <c r="N29" t="s">
        <v>309</v>
      </c>
      <c r="O29" t="s">
        <v>310</v>
      </c>
      <c r="P29" t="s">
        <v>311</v>
      </c>
      <c r="Q29" t="s">
        <v>312</v>
      </c>
      <c r="R29" t="s">
        <v>313</v>
      </c>
      <c r="S29" t="s">
        <v>327</v>
      </c>
      <c r="T29" t="s">
        <v>328</v>
      </c>
      <c r="U29">
        <v>72</v>
      </c>
      <c r="V29">
        <v>2592</v>
      </c>
      <c r="W29">
        <v>2592</v>
      </c>
      <c r="X29">
        <v>1260</v>
      </c>
      <c r="Y29">
        <v>0</v>
      </c>
      <c r="Z29">
        <v>1332</v>
      </c>
      <c r="AA29">
        <v>1332</v>
      </c>
    </row>
    <row r="30" spans="1:27" x14ac:dyDescent="0.25">
      <c r="B30">
        <v>2025</v>
      </c>
      <c r="C30" t="s">
        <v>396</v>
      </c>
      <c r="D30" t="s">
        <v>406</v>
      </c>
      <c r="E30" t="s">
        <v>353</v>
      </c>
      <c r="F30" t="s">
        <v>407</v>
      </c>
      <c r="G30" t="s">
        <v>167</v>
      </c>
      <c r="H30" t="s">
        <v>167</v>
      </c>
      <c r="I30" t="s">
        <v>306</v>
      </c>
      <c r="J30" t="s">
        <v>186</v>
      </c>
      <c r="K30" t="s">
        <v>186</v>
      </c>
      <c r="L30" t="s">
        <v>307</v>
      </c>
      <c r="M30" t="s">
        <v>408</v>
      </c>
      <c r="N30" t="s">
        <v>309</v>
      </c>
      <c r="O30" t="s">
        <v>310</v>
      </c>
      <c r="P30" t="s">
        <v>311</v>
      </c>
      <c r="Q30" t="s">
        <v>312</v>
      </c>
      <c r="R30" t="s">
        <v>313</v>
      </c>
      <c r="S30" t="s">
        <v>314</v>
      </c>
      <c r="T30" t="s">
        <v>333</v>
      </c>
      <c r="U30">
        <v>83</v>
      </c>
      <c r="V30">
        <v>2905</v>
      </c>
      <c r="W30">
        <v>2905</v>
      </c>
      <c r="X30">
        <v>1394.4</v>
      </c>
      <c r="Y30">
        <v>0</v>
      </c>
      <c r="Z30">
        <v>1510.6</v>
      </c>
      <c r="AA30">
        <v>1510.6</v>
      </c>
    </row>
    <row r="31" spans="1:27" x14ac:dyDescent="0.25">
      <c r="B31">
        <v>2025</v>
      </c>
      <c r="C31" t="s">
        <v>396</v>
      </c>
      <c r="D31" t="s">
        <v>409</v>
      </c>
      <c r="E31" t="s">
        <v>357</v>
      </c>
      <c r="F31" t="s">
        <v>410</v>
      </c>
      <c r="G31" t="s">
        <v>165</v>
      </c>
      <c r="H31" t="s">
        <v>165</v>
      </c>
      <c r="I31" t="s">
        <v>306</v>
      </c>
      <c r="J31" t="s">
        <v>186</v>
      </c>
      <c r="K31" t="s">
        <v>186</v>
      </c>
      <c r="L31" t="s">
        <v>307</v>
      </c>
      <c r="M31" t="s">
        <v>411</v>
      </c>
      <c r="N31" t="s">
        <v>309</v>
      </c>
      <c r="O31" t="s">
        <v>310</v>
      </c>
      <c r="P31" t="s">
        <v>311</v>
      </c>
      <c r="Q31" t="s">
        <v>312</v>
      </c>
      <c r="R31" t="s">
        <v>313</v>
      </c>
      <c r="S31" t="s">
        <v>320</v>
      </c>
      <c r="T31" t="s">
        <v>338</v>
      </c>
      <c r="U31">
        <v>94</v>
      </c>
      <c r="V31">
        <v>3196</v>
      </c>
      <c r="W31">
        <v>3196</v>
      </c>
      <c r="X31">
        <v>1551</v>
      </c>
      <c r="Y31">
        <v>0</v>
      </c>
      <c r="Z31">
        <v>1645</v>
      </c>
      <c r="AA31">
        <v>1645</v>
      </c>
    </row>
    <row r="32" spans="1:27" x14ac:dyDescent="0.25">
      <c r="B32">
        <v>2025</v>
      </c>
      <c r="C32" t="s">
        <v>412</v>
      </c>
      <c r="D32" t="s">
        <v>413</v>
      </c>
      <c r="E32" t="s">
        <v>361</v>
      </c>
      <c r="F32" t="s">
        <v>414</v>
      </c>
      <c r="G32" t="s">
        <v>158</v>
      </c>
      <c r="H32" t="s">
        <v>158</v>
      </c>
      <c r="I32" t="s">
        <v>306</v>
      </c>
      <c r="J32" t="s">
        <v>186</v>
      </c>
      <c r="K32" t="s">
        <v>186</v>
      </c>
      <c r="L32" t="s">
        <v>307</v>
      </c>
      <c r="M32" t="s">
        <v>415</v>
      </c>
      <c r="N32" t="s">
        <v>309</v>
      </c>
      <c r="O32" t="s">
        <v>310</v>
      </c>
      <c r="P32" t="s">
        <v>311</v>
      </c>
      <c r="Q32" t="s">
        <v>312</v>
      </c>
      <c r="R32" t="s">
        <v>313</v>
      </c>
      <c r="S32" t="s">
        <v>314</v>
      </c>
      <c r="T32" t="s">
        <v>315</v>
      </c>
      <c r="U32">
        <v>50</v>
      </c>
      <c r="V32">
        <v>1900</v>
      </c>
      <c r="W32">
        <v>1900</v>
      </c>
      <c r="X32">
        <v>925</v>
      </c>
      <c r="Y32">
        <v>0</v>
      </c>
      <c r="Z32">
        <v>975</v>
      </c>
      <c r="AA32">
        <v>975</v>
      </c>
    </row>
    <row r="33" spans="1:27" x14ac:dyDescent="0.25">
      <c r="B33">
        <v>2025</v>
      </c>
      <c r="C33" t="s">
        <v>412</v>
      </c>
      <c r="D33" t="s">
        <v>416</v>
      </c>
      <c r="E33" t="s">
        <v>365</v>
      </c>
      <c r="F33" t="s">
        <v>417</v>
      </c>
      <c r="G33" t="s">
        <v>163</v>
      </c>
      <c r="H33" t="s">
        <v>163</v>
      </c>
      <c r="I33" t="s">
        <v>306</v>
      </c>
      <c r="J33" t="s">
        <v>186</v>
      </c>
      <c r="K33" t="s">
        <v>186</v>
      </c>
      <c r="L33" t="s">
        <v>307</v>
      </c>
      <c r="M33" t="s">
        <v>418</v>
      </c>
      <c r="N33" t="s">
        <v>309</v>
      </c>
      <c r="O33" t="s">
        <v>310</v>
      </c>
      <c r="P33" t="s">
        <v>311</v>
      </c>
      <c r="Q33" t="s">
        <v>312</v>
      </c>
      <c r="R33" t="s">
        <v>313</v>
      </c>
      <c r="S33" t="s">
        <v>320</v>
      </c>
      <c r="T33" t="s">
        <v>321</v>
      </c>
      <c r="U33">
        <v>61</v>
      </c>
      <c r="V33">
        <v>2196</v>
      </c>
      <c r="W33">
        <v>2196</v>
      </c>
      <c r="X33">
        <v>1049.2</v>
      </c>
      <c r="Y33">
        <v>0</v>
      </c>
      <c r="Z33">
        <v>1146.8</v>
      </c>
      <c r="AA33">
        <v>1146.8</v>
      </c>
    </row>
    <row r="34" spans="1:27" x14ac:dyDescent="0.25">
      <c r="B34">
        <v>2025</v>
      </c>
      <c r="C34" t="s">
        <v>412</v>
      </c>
      <c r="D34" t="s">
        <v>419</v>
      </c>
      <c r="E34" t="s">
        <v>369</v>
      </c>
      <c r="F34" t="s">
        <v>420</v>
      </c>
      <c r="G34" t="s">
        <v>325</v>
      </c>
      <c r="H34" t="s">
        <v>325</v>
      </c>
      <c r="I34" t="s">
        <v>306</v>
      </c>
      <c r="J34" t="s">
        <v>186</v>
      </c>
      <c r="K34" t="s">
        <v>186</v>
      </c>
      <c r="L34" t="s">
        <v>307</v>
      </c>
      <c r="M34" t="s">
        <v>421</v>
      </c>
      <c r="N34" t="s">
        <v>309</v>
      </c>
      <c r="O34" t="s">
        <v>310</v>
      </c>
      <c r="P34" t="s">
        <v>311</v>
      </c>
      <c r="Q34" t="s">
        <v>312</v>
      </c>
      <c r="R34" t="s">
        <v>313</v>
      </c>
      <c r="S34" t="s">
        <v>327</v>
      </c>
      <c r="T34" t="s">
        <v>328</v>
      </c>
      <c r="U34">
        <v>72</v>
      </c>
      <c r="V34">
        <v>2592</v>
      </c>
      <c r="W34">
        <v>2592</v>
      </c>
      <c r="X34">
        <v>1260</v>
      </c>
      <c r="Y34">
        <v>0</v>
      </c>
      <c r="Z34">
        <v>1332</v>
      </c>
      <c r="AA34">
        <v>1332</v>
      </c>
    </row>
    <row r="35" spans="1:27" x14ac:dyDescent="0.25">
      <c r="B35">
        <v>2025</v>
      </c>
      <c r="C35" t="s">
        <v>412</v>
      </c>
      <c r="D35" t="s">
        <v>422</v>
      </c>
      <c r="E35" t="s">
        <v>373</v>
      </c>
      <c r="F35" t="s">
        <v>423</v>
      </c>
      <c r="G35" t="s">
        <v>167</v>
      </c>
      <c r="H35" t="s">
        <v>167</v>
      </c>
      <c r="I35" t="s">
        <v>306</v>
      </c>
      <c r="J35" t="s">
        <v>186</v>
      </c>
      <c r="K35" t="s">
        <v>186</v>
      </c>
      <c r="L35" t="s">
        <v>307</v>
      </c>
      <c r="M35" t="s">
        <v>424</v>
      </c>
      <c r="N35" t="s">
        <v>309</v>
      </c>
      <c r="O35" t="s">
        <v>310</v>
      </c>
      <c r="P35" t="s">
        <v>311</v>
      </c>
      <c r="Q35" t="s">
        <v>312</v>
      </c>
      <c r="R35" t="s">
        <v>313</v>
      </c>
      <c r="S35" t="s">
        <v>314</v>
      </c>
      <c r="T35" t="s">
        <v>333</v>
      </c>
      <c r="U35">
        <v>83</v>
      </c>
      <c r="V35">
        <v>2905</v>
      </c>
      <c r="W35">
        <v>2905</v>
      </c>
      <c r="X35">
        <v>1394.4</v>
      </c>
      <c r="Y35">
        <v>0</v>
      </c>
      <c r="Z35">
        <v>1510.6</v>
      </c>
      <c r="AA35">
        <v>1510.6</v>
      </c>
    </row>
    <row r="36" spans="1:27" x14ac:dyDescent="0.25">
      <c r="B36">
        <v>2025</v>
      </c>
      <c r="C36" t="s">
        <v>412</v>
      </c>
      <c r="D36" t="s">
        <v>425</v>
      </c>
      <c r="E36" t="s">
        <v>377</v>
      </c>
      <c r="F36" t="s">
        <v>426</v>
      </c>
      <c r="G36" t="s">
        <v>165</v>
      </c>
      <c r="H36" t="s">
        <v>165</v>
      </c>
      <c r="I36" t="s">
        <v>306</v>
      </c>
      <c r="J36" t="s">
        <v>186</v>
      </c>
      <c r="K36" t="s">
        <v>186</v>
      </c>
      <c r="L36" t="s">
        <v>307</v>
      </c>
      <c r="M36" t="s">
        <v>427</v>
      </c>
      <c r="N36" t="s">
        <v>309</v>
      </c>
      <c r="O36" t="s">
        <v>310</v>
      </c>
      <c r="P36" t="s">
        <v>311</v>
      </c>
      <c r="Q36" t="s">
        <v>312</v>
      </c>
      <c r="R36" t="s">
        <v>313</v>
      </c>
      <c r="S36" t="s">
        <v>320</v>
      </c>
      <c r="T36" t="s">
        <v>338</v>
      </c>
      <c r="U36">
        <v>94</v>
      </c>
      <c r="V36">
        <v>3196</v>
      </c>
      <c r="W36">
        <v>3196</v>
      </c>
      <c r="X36">
        <v>1551</v>
      </c>
      <c r="Y36">
        <v>0</v>
      </c>
      <c r="Z36">
        <v>1645</v>
      </c>
      <c r="AA36">
        <v>1645</v>
      </c>
    </row>
    <row r="37" spans="1:27" x14ac:dyDescent="0.25">
      <c r="B37">
        <v>2025</v>
      </c>
      <c r="C37" t="s">
        <v>291</v>
      </c>
      <c r="D37" t="s">
        <v>428</v>
      </c>
      <c r="E37" t="s">
        <v>304</v>
      </c>
      <c r="F37" t="s">
        <v>429</v>
      </c>
      <c r="G37" t="s">
        <v>158</v>
      </c>
      <c r="H37" t="s">
        <v>158</v>
      </c>
      <c r="I37" t="s">
        <v>306</v>
      </c>
      <c r="J37" t="s">
        <v>186</v>
      </c>
      <c r="K37" t="s">
        <v>186</v>
      </c>
      <c r="L37" t="s">
        <v>307</v>
      </c>
      <c r="M37" t="s">
        <v>430</v>
      </c>
      <c r="N37" t="s">
        <v>309</v>
      </c>
      <c r="O37" t="s">
        <v>310</v>
      </c>
      <c r="P37" t="s">
        <v>311</v>
      </c>
      <c r="Q37" t="s">
        <v>312</v>
      </c>
      <c r="R37" t="s">
        <v>313</v>
      </c>
      <c r="S37" t="s">
        <v>314</v>
      </c>
      <c r="T37" t="s">
        <v>315</v>
      </c>
      <c r="U37">
        <v>50</v>
      </c>
      <c r="V37">
        <v>1900</v>
      </c>
      <c r="W37">
        <v>1900</v>
      </c>
      <c r="X37">
        <v>925</v>
      </c>
      <c r="Y37">
        <v>0</v>
      </c>
      <c r="Z37">
        <v>975</v>
      </c>
      <c r="AA37">
        <v>975</v>
      </c>
    </row>
    <row r="38" spans="1:27" x14ac:dyDescent="0.25">
      <c r="B38">
        <v>2025</v>
      </c>
      <c r="C38" t="s">
        <v>291</v>
      </c>
      <c r="D38" t="s">
        <v>431</v>
      </c>
      <c r="E38" t="s">
        <v>317</v>
      </c>
      <c r="F38" t="s">
        <v>432</v>
      </c>
      <c r="G38" t="s">
        <v>163</v>
      </c>
      <c r="H38" t="s">
        <v>163</v>
      </c>
      <c r="I38" t="s">
        <v>306</v>
      </c>
      <c r="J38" t="s">
        <v>186</v>
      </c>
      <c r="K38" t="s">
        <v>186</v>
      </c>
      <c r="L38" t="s">
        <v>307</v>
      </c>
      <c r="M38" t="s">
        <v>433</v>
      </c>
      <c r="N38" t="s">
        <v>309</v>
      </c>
      <c r="O38" t="s">
        <v>310</v>
      </c>
      <c r="P38" t="s">
        <v>311</v>
      </c>
      <c r="Q38" t="s">
        <v>312</v>
      </c>
      <c r="R38" t="s">
        <v>313</v>
      </c>
      <c r="S38" t="s">
        <v>320</v>
      </c>
      <c r="T38" t="s">
        <v>321</v>
      </c>
      <c r="U38">
        <v>61</v>
      </c>
      <c r="V38">
        <v>2196</v>
      </c>
      <c r="W38">
        <v>2196</v>
      </c>
      <c r="X38">
        <v>1049.2</v>
      </c>
      <c r="Y38">
        <v>0</v>
      </c>
      <c r="Z38">
        <v>1146.8</v>
      </c>
      <c r="AA38">
        <v>1146.8</v>
      </c>
    </row>
    <row r="39" spans="1:27" x14ac:dyDescent="0.25">
      <c r="B39">
        <v>2025</v>
      </c>
      <c r="C39" t="s">
        <v>291</v>
      </c>
      <c r="D39" t="s">
        <v>434</v>
      </c>
      <c r="E39" t="s">
        <v>323</v>
      </c>
      <c r="F39" t="s">
        <v>435</v>
      </c>
      <c r="G39" t="s">
        <v>325</v>
      </c>
      <c r="H39" t="s">
        <v>325</v>
      </c>
      <c r="I39" t="s">
        <v>306</v>
      </c>
      <c r="J39" t="s">
        <v>186</v>
      </c>
      <c r="K39" t="s">
        <v>186</v>
      </c>
      <c r="L39" t="s">
        <v>307</v>
      </c>
      <c r="M39" t="s">
        <v>436</v>
      </c>
      <c r="N39" t="s">
        <v>309</v>
      </c>
      <c r="O39" t="s">
        <v>310</v>
      </c>
      <c r="P39" t="s">
        <v>311</v>
      </c>
      <c r="Q39" t="s">
        <v>312</v>
      </c>
      <c r="R39" t="s">
        <v>313</v>
      </c>
      <c r="S39" t="s">
        <v>327</v>
      </c>
      <c r="T39" t="s">
        <v>328</v>
      </c>
      <c r="U39">
        <v>72</v>
      </c>
      <c r="V39">
        <v>2592</v>
      </c>
      <c r="W39">
        <v>2592</v>
      </c>
      <c r="X39">
        <v>1260</v>
      </c>
      <c r="Y39">
        <v>0</v>
      </c>
      <c r="Z39">
        <v>1332</v>
      </c>
      <c r="AA39">
        <v>1332</v>
      </c>
    </row>
    <row r="40" spans="1:27" x14ac:dyDescent="0.25">
      <c r="B40">
        <v>2025</v>
      </c>
      <c r="C40" t="s">
        <v>291</v>
      </c>
      <c r="D40" t="s">
        <v>437</v>
      </c>
      <c r="E40" t="s">
        <v>330</v>
      </c>
      <c r="F40" t="s">
        <v>438</v>
      </c>
      <c r="G40" t="s">
        <v>167</v>
      </c>
      <c r="H40" t="s">
        <v>167</v>
      </c>
      <c r="I40" t="s">
        <v>306</v>
      </c>
      <c r="J40" t="s">
        <v>186</v>
      </c>
      <c r="K40" t="s">
        <v>186</v>
      </c>
      <c r="L40" t="s">
        <v>307</v>
      </c>
      <c r="M40" t="s">
        <v>439</v>
      </c>
      <c r="N40" t="s">
        <v>309</v>
      </c>
      <c r="O40" t="s">
        <v>310</v>
      </c>
      <c r="P40" t="s">
        <v>311</v>
      </c>
      <c r="Q40" t="s">
        <v>312</v>
      </c>
      <c r="R40" t="s">
        <v>313</v>
      </c>
      <c r="S40" t="s">
        <v>314</v>
      </c>
      <c r="T40" t="s">
        <v>333</v>
      </c>
      <c r="U40">
        <v>83</v>
      </c>
      <c r="V40">
        <v>2905</v>
      </c>
      <c r="W40">
        <v>2905</v>
      </c>
      <c r="X40">
        <v>1394.4</v>
      </c>
      <c r="Y40">
        <v>0</v>
      </c>
      <c r="Z40">
        <v>1510.6</v>
      </c>
      <c r="AA40">
        <v>1510.6</v>
      </c>
    </row>
    <row r="41" spans="1:27" x14ac:dyDescent="0.25">
      <c r="B41">
        <v>2025</v>
      </c>
      <c r="C41" t="s">
        <v>291</v>
      </c>
      <c r="D41" t="s">
        <v>440</v>
      </c>
      <c r="E41" t="s">
        <v>335</v>
      </c>
      <c r="F41" t="s">
        <v>441</v>
      </c>
      <c r="G41" t="s">
        <v>165</v>
      </c>
      <c r="H41" t="s">
        <v>165</v>
      </c>
      <c r="I41" t="s">
        <v>306</v>
      </c>
      <c r="J41" t="s">
        <v>186</v>
      </c>
      <c r="K41" t="s">
        <v>186</v>
      </c>
      <c r="L41" t="s">
        <v>307</v>
      </c>
      <c r="M41" t="s">
        <v>442</v>
      </c>
      <c r="N41" t="s">
        <v>309</v>
      </c>
      <c r="O41" t="s">
        <v>310</v>
      </c>
      <c r="P41" t="s">
        <v>311</v>
      </c>
      <c r="Q41" t="s">
        <v>312</v>
      </c>
      <c r="R41" t="s">
        <v>313</v>
      </c>
      <c r="S41" t="s">
        <v>320</v>
      </c>
      <c r="T41" t="s">
        <v>338</v>
      </c>
      <c r="U41">
        <v>94</v>
      </c>
      <c r="V41">
        <v>3196</v>
      </c>
      <c r="W41">
        <v>3196</v>
      </c>
      <c r="X41">
        <v>1551</v>
      </c>
      <c r="Y41">
        <v>0</v>
      </c>
      <c r="Z41">
        <v>1645</v>
      </c>
      <c r="AA41">
        <v>1645</v>
      </c>
    </row>
    <row r="42" spans="1:27" x14ac:dyDescent="0.25">
      <c r="B42">
        <v>2025</v>
      </c>
      <c r="C42" t="s">
        <v>182</v>
      </c>
      <c r="D42" t="s">
        <v>443</v>
      </c>
      <c r="E42" t="s">
        <v>341</v>
      </c>
      <c r="F42" t="s">
        <v>444</v>
      </c>
      <c r="G42" t="s">
        <v>158</v>
      </c>
      <c r="H42" t="s">
        <v>158</v>
      </c>
      <c r="I42" t="s">
        <v>306</v>
      </c>
      <c r="J42" t="s">
        <v>186</v>
      </c>
      <c r="K42" t="s">
        <v>186</v>
      </c>
      <c r="L42" t="s">
        <v>307</v>
      </c>
      <c r="M42" t="s">
        <v>445</v>
      </c>
      <c r="N42" t="s">
        <v>309</v>
      </c>
      <c r="O42" t="s">
        <v>310</v>
      </c>
      <c r="P42" t="s">
        <v>311</v>
      </c>
      <c r="Q42" t="s">
        <v>312</v>
      </c>
      <c r="R42" t="s">
        <v>313</v>
      </c>
      <c r="S42" t="s">
        <v>314</v>
      </c>
      <c r="T42" t="s">
        <v>315</v>
      </c>
      <c r="U42">
        <v>50</v>
      </c>
      <c r="V42">
        <v>1900</v>
      </c>
      <c r="W42">
        <v>1900</v>
      </c>
      <c r="X42">
        <v>925</v>
      </c>
      <c r="Y42">
        <v>0</v>
      </c>
      <c r="Z42">
        <v>975</v>
      </c>
      <c r="AA42">
        <v>975</v>
      </c>
    </row>
    <row r="43" spans="1:27" x14ac:dyDescent="0.25">
      <c r="B43">
        <v>2025</v>
      </c>
      <c r="C43" t="s">
        <v>182</v>
      </c>
      <c r="D43" t="s">
        <v>446</v>
      </c>
      <c r="E43" t="s">
        <v>345</v>
      </c>
      <c r="F43" t="s">
        <v>447</v>
      </c>
      <c r="G43" t="s">
        <v>163</v>
      </c>
      <c r="H43" t="s">
        <v>163</v>
      </c>
      <c r="I43" t="s">
        <v>306</v>
      </c>
      <c r="J43" t="s">
        <v>186</v>
      </c>
      <c r="K43" t="s">
        <v>186</v>
      </c>
      <c r="L43" t="s">
        <v>307</v>
      </c>
      <c r="M43" t="s">
        <v>448</v>
      </c>
      <c r="N43" t="s">
        <v>309</v>
      </c>
      <c r="O43" t="s">
        <v>310</v>
      </c>
      <c r="P43" t="s">
        <v>311</v>
      </c>
      <c r="Q43" t="s">
        <v>312</v>
      </c>
      <c r="R43" t="s">
        <v>313</v>
      </c>
      <c r="S43" t="s">
        <v>320</v>
      </c>
      <c r="T43" t="s">
        <v>321</v>
      </c>
      <c r="U43">
        <v>61</v>
      </c>
      <c r="V43">
        <v>2196</v>
      </c>
      <c r="W43">
        <v>2196</v>
      </c>
      <c r="X43">
        <v>1049.2</v>
      </c>
      <c r="Y43">
        <v>0</v>
      </c>
      <c r="Z43">
        <v>1146.8</v>
      </c>
      <c r="AA43">
        <v>1146.8</v>
      </c>
    </row>
    <row r="44" spans="1:27" x14ac:dyDescent="0.25">
      <c r="B44">
        <v>2025</v>
      </c>
      <c r="C44" t="s">
        <v>182</v>
      </c>
      <c r="D44" t="s">
        <v>449</v>
      </c>
      <c r="E44" t="s">
        <v>349</v>
      </c>
      <c r="F44" t="s">
        <v>450</v>
      </c>
      <c r="G44" t="s">
        <v>325</v>
      </c>
      <c r="H44" t="s">
        <v>325</v>
      </c>
      <c r="I44" t="s">
        <v>306</v>
      </c>
      <c r="J44" t="s">
        <v>186</v>
      </c>
      <c r="K44" t="s">
        <v>186</v>
      </c>
      <c r="L44" t="s">
        <v>307</v>
      </c>
      <c r="M44" t="s">
        <v>451</v>
      </c>
      <c r="N44" t="s">
        <v>309</v>
      </c>
      <c r="O44" t="s">
        <v>310</v>
      </c>
      <c r="P44" t="s">
        <v>311</v>
      </c>
      <c r="Q44" t="s">
        <v>312</v>
      </c>
      <c r="R44" t="s">
        <v>313</v>
      </c>
      <c r="S44" t="s">
        <v>327</v>
      </c>
      <c r="T44" t="s">
        <v>328</v>
      </c>
      <c r="U44">
        <v>72</v>
      </c>
      <c r="V44">
        <v>2592</v>
      </c>
      <c r="W44">
        <v>2592</v>
      </c>
      <c r="X44">
        <v>1260</v>
      </c>
      <c r="Y44">
        <v>0</v>
      </c>
      <c r="Z44">
        <v>1332</v>
      </c>
      <c r="AA44">
        <v>1332</v>
      </c>
    </row>
    <row r="45" spans="1:27" x14ac:dyDescent="0.25">
      <c r="B45">
        <v>2025</v>
      </c>
      <c r="C45" t="s">
        <v>182</v>
      </c>
      <c r="D45" t="s">
        <v>452</v>
      </c>
      <c r="E45" t="s">
        <v>353</v>
      </c>
      <c r="F45" t="s">
        <v>453</v>
      </c>
      <c r="G45" t="s">
        <v>167</v>
      </c>
      <c r="H45" t="s">
        <v>167</v>
      </c>
      <c r="I45" t="s">
        <v>306</v>
      </c>
      <c r="J45" t="s">
        <v>186</v>
      </c>
      <c r="K45" t="s">
        <v>186</v>
      </c>
      <c r="L45" t="s">
        <v>307</v>
      </c>
      <c r="M45" t="s">
        <v>454</v>
      </c>
      <c r="N45" t="s">
        <v>309</v>
      </c>
      <c r="O45" t="s">
        <v>310</v>
      </c>
      <c r="P45" t="s">
        <v>311</v>
      </c>
      <c r="Q45" t="s">
        <v>312</v>
      </c>
      <c r="R45" t="s">
        <v>313</v>
      </c>
      <c r="S45" t="s">
        <v>314</v>
      </c>
      <c r="T45" t="s">
        <v>333</v>
      </c>
      <c r="U45">
        <v>83</v>
      </c>
      <c r="V45">
        <v>2905</v>
      </c>
      <c r="W45">
        <v>2905</v>
      </c>
      <c r="X45">
        <v>1394.4</v>
      </c>
      <c r="Y45">
        <v>0</v>
      </c>
      <c r="Z45">
        <v>1510.6</v>
      </c>
      <c r="AA45">
        <v>1510.6</v>
      </c>
    </row>
    <row r="46" spans="1:27" x14ac:dyDescent="0.25">
      <c r="B46">
        <v>2025</v>
      </c>
      <c r="C46" t="s">
        <v>182</v>
      </c>
      <c r="D46" t="s">
        <v>455</v>
      </c>
      <c r="E46" t="s">
        <v>357</v>
      </c>
      <c r="F46" t="s">
        <v>456</v>
      </c>
      <c r="G46" t="s">
        <v>165</v>
      </c>
      <c r="H46" t="s">
        <v>165</v>
      </c>
      <c r="I46" t="s">
        <v>306</v>
      </c>
      <c r="J46" t="s">
        <v>186</v>
      </c>
      <c r="K46" t="s">
        <v>186</v>
      </c>
      <c r="L46" t="s">
        <v>307</v>
      </c>
      <c r="M46" t="s">
        <v>457</v>
      </c>
      <c r="N46" t="s">
        <v>309</v>
      </c>
      <c r="O46" t="s">
        <v>310</v>
      </c>
      <c r="P46" t="s">
        <v>311</v>
      </c>
      <c r="Q46" t="s">
        <v>312</v>
      </c>
      <c r="R46" t="s">
        <v>313</v>
      </c>
      <c r="S46" t="s">
        <v>320</v>
      </c>
      <c r="T46" t="s">
        <v>338</v>
      </c>
      <c r="U46">
        <v>94</v>
      </c>
      <c r="V46">
        <v>3196</v>
      </c>
      <c r="W46">
        <v>3196</v>
      </c>
      <c r="X46">
        <v>1551</v>
      </c>
      <c r="Y46">
        <v>0</v>
      </c>
      <c r="Z46">
        <v>1645</v>
      </c>
      <c r="AA46">
        <v>1645</v>
      </c>
    </row>
    <row r="47" spans="1:27" x14ac:dyDescent="0.25">
      <c r="B47">
        <v>2025</v>
      </c>
      <c r="C47" t="s">
        <v>292</v>
      </c>
      <c r="D47" t="s">
        <v>458</v>
      </c>
      <c r="E47" t="s">
        <v>361</v>
      </c>
      <c r="F47" t="s">
        <v>459</v>
      </c>
      <c r="G47" t="s">
        <v>158</v>
      </c>
      <c r="H47" t="s">
        <v>158</v>
      </c>
      <c r="I47" t="s">
        <v>306</v>
      </c>
      <c r="J47" t="s">
        <v>186</v>
      </c>
      <c r="K47" t="s">
        <v>186</v>
      </c>
      <c r="L47" t="s">
        <v>307</v>
      </c>
      <c r="M47" t="s">
        <v>460</v>
      </c>
      <c r="N47" t="s">
        <v>309</v>
      </c>
      <c r="O47" t="s">
        <v>310</v>
      </c>
      <c r="P47" t="s">
        <v>311</v>
      </c>
      <c r="Q47" t="s">
        <v>312</v>
      </c>
      <c r="R47" t="s">
        <v>313</v>
      </c>
      <c r="S47" t="s">
        <v>314</v>
      </c>
      <c r="T47" t="s">
        <v>315</v>
      </c>
      <c r="U47">
        <v>50</v>
      </c>
      <c r="V47">
        <v>1900</v>
      </c>
      <c r="W47">
        <v>1900</v>
      </c>
      <c r="X47">
        <v>925</v>
      </c>
      <c r="Y47">
        <v>0</v>
      </c>
      <c r="Z47">
        <v>975</v>
      </c>
      <c r="AA47">
        <v>975</v>
      </c>
    </row>
    <row r="48" spans="1:27" x14ac:dyDescent="0.25">
      <c r="B48">
        <v>2025</v>
      </c>
      <c r="C48" t="s">
        <v>292</v>
      </c>
      <c r="D48" t="s">
        <v>461</v>
      </c>
      <c r="E48" t="s">
        <v>365</v>
      </c>
      <c r="F48" t="s">
        <v>462</v>
      </c>
      <c r="G48" t="s">
        <v>163</v>
      </c>
      <c r="H48" t="s">
        <v>163</v>
      </c>
      <c r="I48" t="s">
        <v>306</v>
      </c>
      <c r="J48" t="s">
        <v>186</v>
      </c>
      <c r="K48" t="s">
        <v>186</v>
      </c>
      <c r="L48" t="s">
        <v>307</v>
      </c>
      <c r="M48" t="s">
        <v>463</v>
      </c>
      <c r="N48" t="s">
        <v>309</v>
      </c>
      <c r="O48" t="s">
        <v>310</v>
      </c>
      <c r="P48" t="s">
        <v>311</v>
      </c>
      <c r="Q48" t="s">
        <v>312</v>
      </c>
      <c r="R48" t="s">
        <v>313</v>
      </c>
      <c r="S48" t="s">
        <v>320</v>
      </c>
      <c r="T48" t="s">
        <v>321</v>
      </c>
      <c r="U48">
        <v>61</v>
      </c>
      <c r="V48">
        <v>2196</v>
      </c>
      <c r="W48">
        <v>2196</v>
      </c>
      <c r="X48">
        <v>1049.2</v>
      </c>
      <c r="Y48">
        <v>0</v>
      </c>
      <c r="Z48">
        <v>1146.8</v>
      </c>
      <c r="AA48">
        <v>1146.8</v>
      </c>
    </row>
    <row r="49" spans="1:27" x14ac:dyDescent="0.25">
      <c r="B49">
        <v>2025</v>
      </c>
      <c r="C49" t="s">
        <v>292</v>
      </c>
      <c r="D49" t="s">
        <v>464</v>
      </c>
      <c r="E49" t="s">
        <v>369</v>
      </c>
      <c r="F49" t="s">
        <v>465</v>
      </c>
      <c r="G49" t="s">
        <v>325</v>
      </c>
      <c r="H49" t="s">
        <v>325</v>
      </c>
      <c r="I49" t="s">
        <v>306</v>
      </c>
      <c r="J49" t="s">
        <v>186</v>
      </c>
      <c r="K49" t="s">
        <v>186</v>
      </c>
      <c r="L49" t="s">
        <v>307</v>
      </c>
      <c r="M49" t="s">
        <v>466</v>
      </c>
      <c r="N49" t="s">
        <v>309</v>
      </c>
      <c r="O49" t="s">
        <v>310</v>
      </c>
      <c r="P49" t="s">
        <v>311</v>
      </c>
      <c r="Q49" t="s">
        <v>312</v>
      </c>
      <c r="R49" t="s">
        <v>313</v>
      </c>
      <c r="S49" t="s">
        <v>327</v>
      </c>
      <c r="T49" t="s">
        <v>328</v>
      </c>
      <c r="U49">
        <v>72</v>
      </c>
      <c r="V49">
        <v>2592</v>
      </c>
      <c r="W49">
        <v>2592</v>
      </c>
      <c r="X49">
        <v>1260</v>
      </c>
      <c r="Y49">
        <v>0</v>
      </c>
      <c r="Z49">
        <v>1332</v>
      </c>
      <c r="AA49">
        <v>1332</v>
      </c>
    </row>
    <row r="50" spans="1:27" x14ac:dyDescent="0.25">
      <c r="B50">
        <v>2025</v>
      </c>
      <c r="C50" t="s">
        <v>292</v>
      </c>
      <c r="D50" t="s">
        <v>467</v>
      </c>
      <c r="E50" t="s">
        <v>373</v>
      </c>
      <c r="F50" t="s">
        <v>468</v>
      </c>
      <c r="G50" t="s">
        <v>167</v>
      </c>
      <c r="H50" t="s">
        <v>167</v>
      </c>
      <c r="I50" t="s">
        <v>306</v>
      </c>
      <c r="J50" t="s">
        <v>186</v>
      </c>
      <c r="K50" t="s">
        <v>186</v>
      </c>
      <c r="L50" t="s">
        <v>307</v>
      </c>
      <c r="M50" t="s">
        <v>469</v>
      </c>
      <c r="N50" t="s">
        <v>309</v>
      </c>
      <c r="O50" t="s">
        <v>310</v>
      </c>
      <c r="P50" t="s">
        <v>311</v>
      </c>
      <c r="Q50" t="s">
        <v>312</v>
      </c>
      <c r="R50" t="s">
        <v>313</v>
      </c>
      <c r="S50" t="s">
        <v>314</v>
      </c>
      <c r="T50" t="s">
        <v>333</v>
      </c>
      <c r="U50">
        <v>83</v>
      </c>
      <c r="V50">
        <v>2905</v>
      </c>
      <c r="W50">
        <v>2905</v>
      </c>
      <c r="X50">
        <v>1394.4</v>
      </c>
      <c r="Y50">
        <v>0</v>
      </c>
      <c r="Z50">
        <v>1510.6</v>
      </c>
      <c r="AA50">
        <v>1510.6</v>
      </c>
    </row>
    <row r="51" spans="1:27" x14ac:dyDescent="0.25">
      <c r="B51">
        <v>2025</v>
      </c>
      <c r="C51" t="s">
        <v>292</v>
      </c>
      <c r="D51" t="s">
        <v>470</v>
      </c>
      <c r="E51" t="s">
        <v>377</v>
      </c>
      <c r="F51" t="s">
        <v>471</v>
      </c>
      <c r="G51" t="s">
        <v>165</v>
      </c>
      <c r="H51" t="s">
        <v>165</v>
      </c>
      <c r="I51" t="s">
        <v>306</v>
      </c>
      <c r="J51" t="s">
        <v>186</v>
      </c>
      <c r="K51" t="s">
        <v>186</v>
      </c>
      <c r="L51" t="s">
        <v>307</v>
      </c>
      <c r="M51" t="s">
        <v>472</v>
      </c>
      <c r="N51" t="s">
        <v>309</v>
      </c>
      <c r="O51" t="s">
        <v>310</v>
      </c>
      <c r="P51" t="s">
        <v>311</v>
      </c>
      <c r="Q51" t="s">
        <v>312</v>
      </c>
      <c r="R51" t="s">
        <v>313</v>
      </c>
      <c r="S51" t="s">
        <v>320</v>
      </c>
      <c r="T51" t="s">
        <v>338</v>
      </c>
      <c r="U51">
        <v>94</v>
      </c>
      <c r="V51">
        <v>3196</v>
      </c>
      <c r="W51">
        <v>3196</v>
      </c>
      <c r="X51">
        <v>1551</v>
      </c>
      <c r="Y51">
        <v>0</v>
      </c>
      <c r="Z51">
        <v>1645</v>
      </c>
      <c r="AA51">
        <v>1645</v>
      </c>
    </row>
    <row r="52" spans="1:27" x14ac:dyDescent="0.25">
      <c r="B52">
        <v>2025</v>
      </c>
      <c r="C52" t="s">
        <v>293</v>
      </c>
      <c r="D52" t="s">
        <v>473</v>
      </c>
      <c r="E52" t="s">
        <v>304</v>
      </c>
      <c r="F52" t="s">
        <v>474</v>
      </c>
      <c r="G52" t="s">
        <v>158</v>
      </c>
      <c r="H52" t="s">
        <v>158</v>
      </c>
      <c r="I52" t="s">
        <v>306</v>
      </c>
      <c r="J52" t="s">
        <v>186</v>
      </c>
      <c r="K52" t="s">
        <v>186</v>
      </c>
      <c r="L52" t="s">
        <v>307</v>
      </c>
      <c r="M52" t="s">
        <v>475</v>
      </c>
      <c r="N52" t="s">
        <v>309</v>
      </c>
      <c r="O52" t="s">
        <v>310</v>
      </c>
      <c r="P52" t="s">
        <v>311</v>
      </c>
      <c r="Q52" t="s">
        <v>312</v>
      </c>
      <c r="R52" t="s">
        <v>313</v>
      </c>
      <c r="S52" t="s">
        <v>314</v>
      </c>
      <c r="T52" t="s">
        <v>315</v>
      </c>
      <c r="U52">
        <v>50</v>
      </c>
      <c r="V52">
        <v>1900</v>
      </c>
      <c r="W52">
        <v>1900</v>
      </c>
      <c r="X52">
        <v>925</v>
      </c>
      <c r="Y52">
        <v>0</v>
      </c>
      <c r="Z52">
        <v>975</v>
      </c>
      <c r="AA52">
        <v>975</v>
      </c>
    </row>
    <row r="53" spans="1:27" x14ac:dyDescent="0.25">
      <c r="B53">
        <v>2025</v>
      </c>
      <c r="C53" t="s">
        <v>293</v>
      </c>
      <c r="D53" t="s">
        <v>476</v>
      </c>
      <c r="E53" t="s">
        <v>317</v>
      </c>
      <c r="F53" t="s">
        <v>477</v>
      </c>
      <c r="G53" t="s">
        <v>163</v>
      </c>
      <c r="H53" t="s">
        <v>163</v>
      </c>
      <c r="I53" t="s">
        <v>306</v>
      </c>
      <c r="J53" t="s">
        <v>186</v>
      </c>
      <c r="K53" t="s">
        <v>186</v>
      </c>
      <c r="L53" t="s">
        <v>307</v>
      </c>
      <c r="M53" t="s">
        <v>478</v>
      </c>
      <c r="N53" t="s">
        <v>309</v>
      </c>
      <c r="O53" t="s">
        <v>310</v>
      </c>
      <c r="P53" t="s">
        <v>311</v>
      </c>
      <c r="Q53" t="s">
        <v>312</v>
      </c>
      <c r="R53" t="s">
        <v>313</v>
      </c>
      <c r="S53" t="s">
        <v>320</v>
      </c>
      <c r="T53" t="s">
        <v>321</v>
      </c>
      <c r="U53">
        <v>61</v>
      </c>
      <c r="V53">
        <v>2196</v>
      </c>
      <c r="W53">
        <v>2196</v>
      </c>
      <c r="X53">
        <v>1049.2</v>
      </c>
      <c r="Y53">
        <v>0</v>
      </c>
      <c r="Z53">
        <v>1146.8</v>
      </c>
      <c r="AA53">
        <v>1146.8</v>
      </c>
    </row>
    <row r="54" spans="1:27" x14ac:dyDescent="0.25">
      <c r="B54">
        <v>2025</v>
      </c>
      <c r="C54" t="s">
        <v>293</v>
      </c>
      <c r="D54" t="s">
        <v>479</v>
      </c>
      <c r="E54" t="s">
        <v>323</v>
      </c>
      <c r="F54" t="s">
        <v>480</v>
      </c>
      <c r="G54" t="s">
        <v>325</v>
      </c>
      <c r="H54" t="s">
        <v>325</v>
      </c>
      <c r="I54" t="s">
        <v>306</v>
      </c>
      <c r="J54" t="s">
        <v>186</v>
      </c>
      <c r="K54" t="s">
        <v>186</v>
      </c>
      <c r="L54" t="s">
        <v>307</v>
      </c>
      <c r="M54" t="s">
        <v>481</v>
      </c>
      <c r="N54" t="s">
        <v>309</v>
      </c>
      <c r="O54" t="s">
        <v>310</v>
      </c>
      <c r="P54" t="s">
        <v>311</v>
      </c>
      <c r="Q54" t="s">
        <v>312</v>
      </c>
      <c r="R54" t="s">
        <v>313</v>
      </c>
      <c r="S54" t="s">
        <v>327</v>
      </c>
      <c r="T54" t="s">
        <v>328</v>
      </c>
      <c r="U54">
        <v>72</v>
      </c>
      <c r="V54">
        <v>2592</v>
      </c>
      <c r="W54">
        <v>2592</v>
      </c>
      <c r="X54">
        <v>1260</v>
      </c>
      <c r="Y54">
        <v>0</v>
      </c>
      <c r="Z54">
        <v>1332</v>
      </c>
      <c r="AA54">
        <v>1332</v>
      </c>
    </row>
    <row r="55" spans="1:27" x14ac:dyDescent="0.25">
      <c r="B55">
        <v>2025</v>
      </c>
      <c r="C55" t="s">
        <v>293</v>
      </c>
      <c r="D55" t="s">
        <v>482</v>
      </c>
      <c r="E55" t="s">
        <v>330</v>
      </c>
      <c r="F55" t="s">
        <v>483</v>
      </c>
      <c r="G55" t="s">
        <v>167</v>
      </c>
      <c r="H55" t="s">
        <v>167</v>
      </c>
      <c r="I55" t="s">
        <v>306</v>
      </c>
      <c r="J55" t="s">
        <v>186</v>
      </c>
      <c r="K55" t="s">
        <v>186</v>
      </c>
      <c r="L55" t="s">
        <v>307</v>
      </c>
      <c r="M55" t="s">
        <v>484</v>
      </c>
      <c r="N55" t="s">
        <v>309</v>
      </c>
      <c r="O55" t="s">
        <v>310</v>
      </c>
      <c r="P55" t="s">
        <v>311</v>
      </c>
      <c r="Q55" t="s">
        <v>312</v>
      </c>
      <c r="R55" t="s">
        <v>313</v>
      </c>
      <c r="S55" t="s">
        <v>314</v>
      </c>
      <c r="T55" t="s">
        <v>333</v>
      </c>
      <c r="U55">
        <v>83</v>
      </c>
      <c r="V55">
        <v>2905</v>
      </c>
      <c r="W55">
        <v>2905</v>
      </c>
      <c r="X55">
        <v>1394.4</v>
      </c>
      <c r="Y55">
        <v>0</v>
      </c>
      <c r="Z55">
        <v>1510.6</v>
      </c>
      <c r="AA55">
        <v>1510.6</v>
      </c>
    </row>
    <row r="56" spans="1:27" x14ac:dyDescent="0.25">
      <c r="B56">
        <v>2025</v>
      </c>
      <c r="C56" t="s">
        <v>293</v>
      </c>
      <c r="D56" t="s">
        <v>485</v>
      </c>
      <c r="E56" t="s">
        <v>335</v>
      </c>
      <c r="F56" t="s">
        <v>486</v>
      </c>
      <c r="G56" t="s">
        <v>165</v>
      </c>
      <c r="H56" t="s">
        <v>165</v>
      </c>
      <c r="I56" t="s">
        <v>306</v>
      </c>
      <c r="J56" t="s">
        <v>186</v>
      </c>
      <c r="K56" t="s">
        <v>186</v>
      </c>
      <c r="L56" t="s">
        <v>307</v>
      </c>
      <c r="M56" t="s">
        <v>487</v>
      </c>
      <c r="N56" t="s">
        <v>309</v>
      </c>
      <c r="O56" t="s">
        <v>310</v>
      </c>
      <c r="P56" t="s">
        <v>311</v>
      </c>
      <c r="Q56" t="s">
        <v>312</v>
      </c>
      <c r="R56" t="s">
        <v>313</v>
      </c>
      <c r="S56" t="s">
        <v>320</v>
      </c>
      <c r="T56" t="s">
        <v>338</v>
      </c>
      <c r="U56">
        <v>94</v>
      </c>
      <c r="V56">
        <v>3196</v>
      </c>
      <c r="W56">
        <v>3196</v>
      </c>
      <c r="X56">
        <v>1551</v>
      </c>
      <c r="Y56">
        <v>0</v>
      </c>
      <c r="Z56">
        <v>1645</v>
      </c>
      <c r="AA56">
        <v>1645</v>
      </c>
    </row>
    <row r="57" spans="1:27" x14ac:dyDescent="0.25">
      <c r="B57">
        <v>2025</v>
      </c>
      <c r="C57" t="s">
        <v>294</v>
      </c>
      <c r="D57" t="s">
        <v>488</v>
      </c>
      <c r="E57" t="s">
        <v>341</v>
      </c>
      <c r="F57" t="s">
        <v>489</v>
      </c>
      <c r="G57" t="s">
        <v>158</v>
      </c>
      <c r="H57" t="s">
        <v>158</v>
      </c>
      <c r="I57" t="s">
        <v>306</v>
      </c>
      <c r="J57" t="s">
        <v>186</v>
      </c>
      <c r="K57" t="s">
        <v>186</v>
      </c>
      <c r="L57" t="s">
        <v>307</v>
      </c>
      <c r="M57" t="s">
        <v>490</v>
      </c>
      <c r="N57" t="s">
        <v>309</v>
      </c>
      <c r="O57" t="s">
        <v>310</v>
      </c>
      <c r="P57" t="s">
        <v>311</v>
      </c>
      <c r="Q57" t="s">
        <v>312</v>
      </c>
      <c r="R57" t="s">
        <v>313</v>
      </c>
      <c r="S57" t="s">
        <v>314</v>
      </c>
      <c r="T57" t="s">
        <v>315</v>
      </c>
      <c r="U57">
        <v>50</v>
      </c>
      <c r="V57">
        <v>1900</v>
      </c>
      <c r="W57">
        <v>1900</v>
      </c>
      <c r="X57">
        <v>925</v>
      </c>
      <c r="Y57">
        <v>0</v>
      </c>
      <c r="Z57">
        <v>975</v>
      </c>
      <c r="AA57">
        <v>975</v>
      </c>
    </row>
    <row r="58" spans="1:27" x14ac:dyDescent="0.25">
      <c r="B58">
        <v>2025</v>
      </c>
      <c r="C58" t="s">
        <v>294</v>
      </c>
      <c r="D58" t="s">
        <v>491</v>
      </c>
      <c r="E58" t="s">
        <v>345</v>
      </c>
      <c r="F58" t="s">
        <v>492</v>
      </c>
      <c r="G58" t="s">
        <v>163</v>
      </c>
      <c r="H58" t="s">
        <v>163</v>
      </c>
      <c r="I58" t="s">
        <v>306</v>
      </c>
      <c r="J58" t="s">
        <v>186</v>
      </c>
      <c r="K58" t="s">
        <v>186</v>
      </c>
      <c r="L58" t="s">
        <v>307</v>
      </c>
      <c r="M58" t="s">
        <v>493</v>
      </c>
      <c r="N58" t="s">
        <v>309</v>
      </c>
      <c r="O58" t="s">
        <v>310</v>
      </c>
      <c r="P58" t="s">
        <v>311</v>
      </c>
      <c r="Q58" t="s">
        <v>312</v>
      </c>
      <c r="R58" t="s">
        <v>313</v>
      </c>
      <c r="S58" t="s">
        <v>320</v>
      </c>
      <c r="T58" t="s">
        <v>321</v>
      </c>
      <c r="U58">
        <v>61</v>
      </c>
      <c r="V58">
        <v>2196</v>
      </c>
      <c r="W58">
        <v>2196</v>
      </c>
      <c r="X58">
        <v>1049.2</v>
      </c>
      <c r="Y58">
        <v>0</v>
      </c>
      <c r="Z58">
        <v>1146.8</v>
      </c>
      <c r="AA58">
        <v>1146.8</v>
      </c>
    </row>
    <row r="59" spans="1:27" x14ac:dyDescent="0.25">
      <c r="B59">
        <v>2025</v>
      </c>
      <c r="C59" t="s">
        <v>294</v>
      </c>
      <c r="D59" t="s">
        <v>494</v>
      </c>
      <c r="E59" t="s">
        <v>349</v>
      </c>
      <c r="F59" t="s">
        <v>495</v>
      </c>
      <c r="G59" t="s">
        <v>325</v>
      </c>
      <c r="H59" t="s">
        <v>325</v>
      </c>
      <c r="I59" t="s">
        <v>306</v>
      </c>
      <c r="J59" t="s">
        <v>186</v>
      </c>
      <c r="K59" t="s">
        <v>186</v>
      </c>
      <c r="L59" t="s">
        <v>307</v>
      </c>
      <c r="M59" t="s">
        <v>496</v>
      </c>
      <c r="N59" t="s">
        <v>309</v>
      </c>
      <c r="O59" t="s">
        <v>310</v>
      </c>
      <c r="P59" t="s">
        <v>311</v>
      </c>
      <c r="Q59" t="s">
        <v>312</v>
      </c>
      <c r="R59" t="s">
        <v>313</v>
      </c>
      <c r="S59" t="s">
        <v>327</v>
      </c>
      <c r="T59" t="s">
        <v>328</v>
      </c>
      <c r="U59">
        <v>72</v>
      </c>
      <c r="V59">
        <v>2592</v>
      </c>
      <c r="W59">
        <v>2592</v>
      </c>
      <c r="X59">
        <v>1260</v>
      </c>
      <c r="Y59">
        <v>0</v>
      </c>
      <c r="Z59">
        <v>1332</v>
      </c>
      <c r="AA59">
        <v>1332</v>
      </c>
    </row>
    <row r="60" spans="1:27" x14ac:dyDescent="0.25">
      <c r="B60">
        <v>2025</v>
      </c>
      <c r="C60" t="s">
        <v>294</v>
      </c>
      <c r="D60" t="s">
        <v>497</v>
      </c>
      <c r="E60" t="s">
        <v>353</v>
      </c>
      <c r="F60" t="s">
        <v>498</v>
      </c>
      <c r="G60" t="s">
        <v>167</v>
      </c>
      <c r="H60" t="s">
        <v>167</v>
      </c>
      <c r="I60" t="s">
        <v>306</v>
      </c>
      <c r="J60" t="s">
        <v>186</v>
      </c>
      <c r="K60" t="s">
        <v>186</v>
      </c>
      <c r="L60" t="s">
        <v>307</v>
      </c>
      <c r="M60" t="s">
        <v>499</v>
      </c>
      <c r="N60" t="s">
        <v>309</v>
      </c>
      <c r="O60" t="s">
        <v>310</v>
      </c>
      <c r="P60" t="s">
        <v>311</v>
      </c>
      <c r="Q60" t="s">
        <v>312</v>
      </c>
      <c r="R60" t="s">
        <v>313</v>
      </c>
      <c r="S60" t="s">
        <v>314</v>
      </c>
      <c r="T60" t="s">
        <v>333</v>
      </c>
      <c r="U60">
        <v>83</v>
      </c>
      <c r="V60">
        <v>2905</v>
      </c>
      <c r="W60">
        <v>2905</v>
      </c>
      <c r="X60">
        <v>1394.4</v>
      </c>
      <c r="Y60">
        <v>0</v>
      </c>
      <c r="Z60">
        <v>1510.6</v>
      </c>
      <c r="AA60">
        <v>1510.6</v>
      </c>
    </row>
    <row r="61" spans="1:27" x14ac:dyDescent="0.25">
      <c r="B61">
        <v>2025</v>
      </c>
      <c r="C61" t="s">
        <v>294</v>
      </c>
      <c r="D61" t="s">
        <v>500</v>
      </c>
      <c r="E61" t="s">
        <v>357</v>
      </c>
      <c r="F61" t="s">
        <v>501</v>
      </c>
      <c r="G61" t="s">
        <v>165</v>
      </c>
      <c r="H61" t="s">
        <v>165</v>
      </c>
      <c r="I61" t="s">
        <v>306</v>
      </c>
      <c r="J61" t="s">
        <v>186</v>
      </c>
      <c r="K61" t="s">
        <v>186</v>
      </c>
      <c r="L61" t="s">
        <v>307</v>
      </c>
      <c r="M61" t="s">
        <v>502</v>
      </c>
      <c r="N61" t="s">
        <v>309</v>
      </c>
      <c r="O61" t="s">
        <v>310</v>
      </c>
      <c r="P61" t="s">
        <v>311</v>
      </c>
      <c r="Q61" t="s">
        <v>312</v>
      </c>
      <c r="R61" t="s">
        <v>313</v>
      </c>
      <c r="S61" t="s">
        <v>320</v>
      </c>
      <c r="T61" t="s">
        <v>338</v>
      </c>
      <c r="U61">
        <v>94</v>
      </c>
      <c r="V61">
        <v>3196</v>
      </c>
      <c r="W61">
        <v>3196</v>
      </c>
      <c r="X61">
        <v>1551</v>
      </c>
      <c r="Y61">
        <v>0</v>
      </c>
      <c r="Z61">
        <v>1645</v>
      </c>
      <c r="AA61">
        <v>1645</v>
      </c>
    </row>
    <row r="62" spans="1:27" x14ac:dyDescent="0.25">
      <c r="B62">
        <v>2025</v>
      </c>
      <c r="C62" t="s">
        <v>503</v>
      </c>
      <c r="D62" t="s">
        <v>504</v>
      </c>
      <c r="E62" t="s">
        <v>361</v>
      </c>
      <c r="F62" t="s">
        <v>505</v>
      </c>
      <c r="G62" t="s">
        <v>158</v>
      </c>
      <c r="H62" t="s">
        <v>158</v>
      </c>
      <c r="I62" t="s">
        <v>306</v>
      </c>
      <c r="J62" t="s">
        <v>186</v>
      </c>
      <c r="K62" t="s">
        <v>186</v>
      </c>
      <c r="L62" t="s">
        <v>307</v>
      </c>
      <c r="M62" t="s">
        <v>506</v>
      </c>
      <c r="N62" t="s">
        <v>309</v>
      </c>
      <c r="O62" t="s">
        <v>310</v>
      </c>
      <c r="P62" t="s">
        <v>311</v>
      </c>
      <c r="Q62" t="s">
        <v>312</v>
      </c>
      <c r="R62" t="s">
        <v>313</v>
      </c>
      <c r="S62" t="s">
        <v>314</v>
      </c>
      <c r="T62" t="s">
        <v>315</v>
      </c>
      <c r="U62">
        <v>50</v>
      </c>
      <c r="V62">
        <v>1900</v>
      </c>
      <c r="W62">
        <v>1900</v>
      </c>
      <c r="X62">
        <v>925</v>
      </c>
      <c r="Y62">
        <v>0</v>
      </c>
      <c r="Z62">
        <v>975</v>
      </c>
      <c r="AA62">
        <v>975</v>
      </c>
    </row>
    <row r="63" spans="1:27" x14ac:dyDescent="0.25">
      <c r="B63">
        <v>2025</v>
      </c>
      <c r="C63" t="s">
        <v>503</v>
      </c>
      <c r="D63" t="s">
        <v>507</v>
      </c>
      <c r="E63" t="s">
        <v>365</v>
      </c>
      <c r="F63" t="s">
        <v>508</v>
      </c>
      <c r="G63" t="s">
        <v>163</v>
      </c>
      <c r="H63" t="s">
        <v>163</v>
      </c>
      <c r="I63" t="s">
        <v>306</v>
      </c>
      <c r="J63" t="s">
        <v>186</v>
      </c>
      <c r="K63" t="s">
        <v>186</v>
      </c>
      <c r="L63" t="s">
        <v>307</v>
      </c>
      <c r="M63" t="s">
        <v>509</v>
      </c>
      <c r="N63" t="s">
        <v>309</v>
      </c>
      <c r="O63" t="s">
        <v>310</v>
      </c>
      <c r="P63" t="s">
        <v>311</v>
      </c>
      <c r="Q63" t="s">
        <v>312</v>
      </c>
      <c r="R63" t="s">
        <v>313</v>
      </c>
      <c r="S63" t="s">
        <v>320</v>
      </c>
      <c r="T63" t="s">
        <v>321</v>
      </c>
      <c r="U63">
        <v>61</v>
      </c>
      <c r="V63">
        <v>2196</v>
      </c>
      <c r="W63">
        <v>2196</v>
      </c>
      <c r="X63">
        <v>1049.2</v>
      </c>
      <c r="Y63">
        <v>0</v>
      </c>
      <c r="Z63">
        <v>1146.8</v>
      </c>
      <c r="AA63">
        <v>1146.8</v>
      </c>
    </row>
    <row r="64" spans="1:27" x14ac:dyDescent="0.25">
      <c r="B64">
        <v>2025</v>
      </c>
      <c r="C64" t="s">
        <v>503</v>
      </c>
      <c r="D64" t="s">
        <v>510</v>
      </c>
      <c r="E64" t="s">
        <v>369</v>
      </c>
      <c r="F64" t="s">
        <v>511</v>
      </c>
      <c r="G64" t="s">
        <v>325</v>
      </c>
      <c r="H64" t="s">
        <v>325</v>
      </c>
      <c r="I64" t="s">
        <v>306</v>
      </c>
      <c r="J64" t="s">
        <v>186</v>
      </c>
      <c r="K64" t="s">
        <v>186</v>
      </c>
      <c r="L64" t="s">
        <v>307</v>
      </c>
      <c r="M64" t="s">
        <v>512</v>
      </c>
      <c r="N64" t="s">
        <v>309</v>
      </c>
      <c r="O64" t="s">
        <v>310</v>
      </c>
      <c r="P64" t="s">
        <v>311</v>
      </c>
      <c r="Q64" t="s">
        <v>312</v>
      </c>
      <c r="R64" t="s">
        <v>313</v>
      </c>
      <c r="S64" t="s">
        <v>327</v>
      </c>
      <c r="T64" t="s">
        <v>328</v>
      </c>
      <c r="U64">
        <v>72</v>
      </c>
      <c r="V64">
        <v>2592</v>
      </c>
      <c r="W64">
        <v>2592</v>
      </c>
      <c r="X64">
        <v>1260</v>
      </c>
      <c r="Y64">
        <v>0</v>
      </c>
      <c r="Z64">
        <v>1332</v>
      </c>
      <c r="AA64">
        <v>1332</v>
      </c>
    </row>
    <row r="65" spans="1:27" x14ac:dyDescent="0.25">
      <c r="B65">
        <v>2025</v>
      </c>
      <c r="C65" t="s">
        <v>503</v>
      </c>
      <c r="D65" t="s">
        <v>513</v>
      </c>
      <c r="E65" t="s">
        <v>373</v>
      </c>
      <c r="F65" t="s">
        <v>514</v>
      </c>
      <c r="G65" t="s">
        <v>167</v>
      </c>
      <c r="H65" t="s">
        <v>167</v>
      </c>
      <c r="I65" t="s">
        <v>306</v>
      </c>
      <c r="J65" t="s">
        <v>186</v>
      </c>
      <c r="K65" t="s">
        <v>186</v>
      </c>
      <c r="L65" t="s">
        <v>307</v>
      </c>
      <c r="M65" t="s">
        <v>515</v>
      </c>
      <c r="N65" t="s">
        <v>309</v>
      </c>
      <c r="O65" t="s">
        <v>310</v>
      </c>
      <c r="P65" t="s">
        <v>311</v>
      </c>
      <c r="Q65" t="s">
        <v>312</v>
      </c>
      <c r="R65" t="s">
        <v>313</v>
      </c>
      <c r="S65" t="s">
        <v>314</v>
      </c>
      <c r="T65" t="s">
        <v>333</v>
      </c>
      <c r="U65">
        <v>83</v>
      </c>
      <c r="V65">
        <v>2905</v>
      </c>
      <c r="W65">
        <v>2905</v>
      </c>
      <c r="X65">
        <v>1394.4</v>
      </c>
      <c r="Y65">
        <v>0</v>
      </c>
      <c r="Z65">
        <v>1510.6</v>
      </c>
      <c r="AA65">
        <v>1510.6</v>
      </c>
    </row>
    <row r="66" spans="1:27" x14ac:dyDescent="0.25">
      <c r="B66">
        <v>2025</v>
      </c>
      <c r="C66" t="s">
        <v>503</v>
      </c>
      <c r="D66" t="s">
        <v>516</v>
      </c>
      <c r="E66" t="s">
        <v>377</v>
      </c>
      <c r="F66" t="s">
        <v>517</v>
      </c>
      <c r="G66" t="s">
        <v>165</v>
      </c>
      <c r="H66" t="s">
        <v>165</v>
      </c>
      <c r="I66" t="s">
        <v>306</v>
      </c>
      <c r="J66" t="s">
        <v>186</v>
      </c>
      <c r="K66" t="s">
        <v>186</v>
      </c>
      <c r="L66" t="s">
        <v>307</v>
      </c>
      <c r="M66" t="s">
        <v>518</v>
      </c>
      <c r="N66" t="s">
        <v>309</v>
      </c>
      <c r="O66" t="s">
        <v>310</v>
      </c>
      <c r="P66" t="s">
        <v>311</v>
      </c>
      <c r="Q66" t="s">
        <v>312</v>
      </c>
      <c r="R66" t="s">
        <v>313</v>
      </c>
      <c r="S66" t="s">
        <v>320</v>
      </c>
      <c r="T66" t="s">
        <v>338</v>
      </c>
      <c r="U66">
        <v>94</v>
      </c>
      <c r="V66">
        <v>3196</v>
      </c>
      <c r="W66">
        <v>3196</v>
      </c>
      <c r="X66">
        <v>1551</v>
      </c>
      <c r="Y66">
        <v>0</v>
      </c>
      <c r="Z66">
        <v>1645</v>
      </c>
      <c r="AA66">
        <v>1645</v>
      </c>
    </row>
    <row r="67" spans="1:27" x14ac:dyDescent="0.25">
      <c r="B67">
        <v>2026</v>
      </c>
      <c r="C67" t="s">
        <v>302</v>
      </c>
      <c r="D67" t="s">
        <v>519</v>
      </c>
      <c r="E67" t="s">
        <v>304</v>
      </c>
      <c r="F67" t="s">
        <v>520</v>
      </c>
      <c r="G67" t="s">
        <v>158</v>
      </c>
      <c r="H67" t="s">
        <v>158</v>
      </c>
      <c r="I67" t="s">
        <v>306</v>
      </c>
      <c r="J67" t="s">
        <v>186</v>
      </c>
      <c r="K67" t="s">
        <v>186</v>
      </c>
      <c r="L67" t="s">
        <v>307</v>
      </c>
      <c r="M67" t="s">
        <v>521</v>
      </c>
      <c r="N67" t="s">
        <v>309</v>
      </c>
      <c r="O67" t="s">
        <v>310</v>
      </c>
      <c r="P67" t="s">
        <v>311</v>
      </c>
      <c r="Q67" t="s">
        <v>312</v>
      </c>
      <c r="R67" t="s">
        <v>313</v>
      </c>
      <c r="S67" t="s">
        <v>314</v>
      </c>
      <c r="T67" t="s">
        <v>315</v>
      </c>
      <c r="U67">
        <v>50</v>
      </c>
      <c r="V67">
        <v>1900</v>
      </c>
      <c r="W67">
        <v>1900</v>
      </c>
      <c r="X67">
        <v>925</v>
      </c>
      <c r="Y67">
        <v>0</v>
      </c>
      <c r="Z67">
        <v>975</v>
      </c>
      <c r="AA67">
        <v>975</v>
      </c>
    </row>
    <row r="68" spans="1:27" x14ac:dyDescent="0.25">
      <c r="B68">
        <v>2026</v>
      </c>
      <c r="C68" t="s">
        <v>302</v>
      </c>
      <c r="D68" t="s">
        <v>522</v>
      </c>
      <c r="E68" t="s">
        <v>317</v>
      </c>
      <c r="F68" t="s">
        <v>523</v>
      </c>
      <c r="G68" t="s">
        <v>163</v>
      </c>
      <c r="H68" t="s">
        <v>163</v>
      </c>
      <c r="I68" t="s">
        <v>306</v>
      </c>
      <c r="J68" t="s">
        <v>186</v>
      </c>
      <c r="K68" t="s">
        <v>186</v>
      </c>
      <c r="L68" t="s">
        <v>307</v>
      </c>
      <c r="M68" t="s">
        <v>524</v>
      </c>
      <c r="N68" t="s">
        <v>309</v>
      </c>
      <c r="O68" t="s">
        <v>310</v>
      </c>
      <c r="P68" t="s">
        <v>311</v>
      </c>
      <c r="Q68" t="s">
        <v>312</v>
      </c>
      <c r="R68" t="s">
        <v>313</v>
      </c>
      <c r="S68" t="s">
        <v>320</v>
      </c>
      <c r="T68" t="s">
        <v>321</v>
      </c>
      <c r="U68">
        <v>61</v>
      </c>
      <c r="V68">
        <v>2196</v>
      </c>
      <c r="W68">
        <v>2196</v>
      </c>
      <c r="X68">
        <v>1049.2</v>
      </c>
      <c r="Y68">
        <v>0</v>
      </c>
      <c r="Z68">
        <v>1146.8</v>
      </c>
      <c r="AA68">
        <v>1146.8</v>
      </c>
    </row>
    <row r="69" spans="1:27" x14ac:dyDescent="0.25">
      <c r="B69">
        <v>2026</v>
      </c>
      <c r="C69" t="s">
        <v>302</v>
      </c>
      <c r="D69" t="s">
        <v>525</v>
      </c>
      <c r="E69" t="s">
        <v>323</v>
      </c>
      <c r="F69" t="s">
        <v>526</v>
      </c>
      <c r="G69" t="s">
        <v>325</v>
      </c>
      <c r="H69" t="s">
        <v>325</v>
      </c>
      <c r="I69" t="s">
        <v>306</v>
      </c>
      <c r="J69" t="s">
        <v>186</v>
      </c>
      <c r="K69" t="s">
        <v>186</v>
      </c>
      <c r="L69" t="s">
        <v>307</v>
      </c>
      <c r="M69" t="s">
        <v>527</v>
      </c>
      <c r="N69" t="s">
        <v>309</v>
      </c>
      <c r="O69" t="s">
        <v>310</v>
      </c>
      <c r="P69" t="s">
        <v>311</v>
      </c>
      <c r="Q69" t="s">
        <v>312</v>
      </c>
      <c r="R69" t="s">
        <v>313</v>
      </c>
      <c r="S69" t="s">
        <v>327</v>
      </c>
      <c r="T69" t="s">
        <v>328</v>
      </c>
      <c r="U69">
        <v>72</v>
      </c>
      <c r="V69">
        <v>2592</v>
      </c>
      <c r="W69">
        <v>2592</v>
      </c>
      <c r="X69">
        <v>1260</v>
      </c>
      <c r="Y69">
        <v>0</v>
      </c>
      <c r="Z69">
        <v>1332</v>
      </c>
      <c r="AA69">
        <v>1332</v>
      </c>
    </row>
    <row r="70" spans="1:27" x14ac:dyDescent="0.25">
      <c r="B70">
        <v>2026</v>
      </c>
      <c r="C70" t="s">
        <v>302</v>
      </c>
      <c r="D70" t="s">
        <v>528</v>
      </c>
      <c r="E70" t="s">
        <v>330</v>
      </c>
      <c r="F70" t="s">
        <v>529</v>
      </c>
      <c r="G70" t="s">
        <v>167</v>
      </c>
      <c r="H70" t="s">
        <v>167</v>
      </c>
      <c r="I70" t="s">
        <v>306</v>
      </c>
      <c r="J70" t="s">
        <v>186</v>
      </c>
      <c r="K70" t="s">
        <v>186</v>
      </c>
      <c r="L70" t="s">
        <v>307</v>
      </c>
      <c r="M70" t="s">
        <v>530</v>
      </c>
      <c r="N70" t="s">
        <v>309</v>
      </c>
      <c r="O70" t="s">
        <v>310</v>
      </c>
      <c r="P70" t="s">
        <v>311</v>
      </c>
      <c r="Q70" t="s">
        <v>312</v>
      </c>
      <c r="R70" t="s">
        <v>313</v>
      </c>
      <c r="S70" t="s">
        <v>314</v>
      </c>
      <c r="T70" t="s">
        <v>333</v>
      </c>
      <c r="U70">
        <v>83</v>
      </c>
      <c r="V70">
        <v>2905</v>
      </c>
      <c r="W70">
        <v>2905</v>
      </c>
      <c r="X70">
        <v>1394.4</v>
      </c>
      <c r="Y70">
        <v>0</v>
      </c>
      <c r="Z70">
        <v>1510.6</v>
      </c>
      <c r="AA70">
        <v>1510.6</v>
      </c>
    </row>
    <row r="71" spans="1:27" x14ac:dyDescent="0.25">
      <c r="B71">
        <v>2026</v>
      </c>
      <c r="C71" t="s">
        <v>302</v>
      </c>
      <c r="D71" t="s">
        <v>531</v>
      </c>
      <c r="E71" t="s">
        <v>335</v>
      </c>
      <c r="F71" t="s">
        <v>532</v>
      </c>
      <c r="G71" t="s">
        <v>165</v>
      </c>
      <c r="H71" t="s">
        <v>165</v>
      </c>
      <c r="I71" t="s">
        <v>306</v>
      </c>
      <c r="J71" t="s">
        <v>186</v>
      </c>
      <c r="K71" t="s">
        <v>186</v>
      </c>
      <c r="L71" t="s">
        <v>307</v>
      </c>
      <c r="M71" t="s">
        <v>533</v>
      </c>
      <c r="N71" t="s">
        <v>309</v>
      </c>
      <c r="O71" t="s">
        <v>310</v>
      </c>
      <c r="P71" t="s">
        <v>311</v>
      </c>
      <c r="Q71" t="s">
        <v>312</v>
      </c>
      <c r="R71" t="s">
        <v>313</v>
      </c>
      <c r="S71" t="s">
        <v>320</v>
      </c>
      <c r="T71" t="s">
        <v>338</v>
      </c>
      <c r="U71">
        <v>94</v>
      </c>
      <c r="V71">
        <v>3196</v>
      </c>
      <c r="W71">
        <v>3196</v>
      </c>
      <c r="X71">
        <v>1551</v>
      </c>
      <c r="Y71">
        <v>0</v>
      </c>
      <c r="Z71">
        <v>1645</v>
      </c>
      <c r="AA71">
        <v>1645</v>
      </c>
    </row>
    <row r="72" spans="1:27" x14ac:dyDescent="0.25">
      <c r="B72">
        <v>2026</v>
      </c>
      <c r="C72" t="s">
        <v>339</v>
      </c>
      <c r="D72" t="s">
        <v>534</v>
      </c>
      <c r="E72" t="s">
        <v>341</v>
      </c>
      <c r="F72" t="s">
        <v>535</v>
      </c>
      <c r="G72" t="s">
        <v>158</v>
      </c>
      <c r="H72" t="s">
        <v>158</v>
      </c>
      <c r="I72" t="s">
        <v>306</v>
      </c>
      <c r="J72" t="s">
        <v>186</v>
      </c>
      <c r="K72" t="s">
        <v>186</v>
      </c>
      <c r="L72" t="s">
        <v>307</v>
      </c>
      <c r="M72" t="s">
        <v>536</v>
      </c>
      <c r="N72" t="s">
        <v>309</v>
      </c>
      <c r="O72" t="s">
        <v>310</v>
      </c>
      <c r="P72" t="s">
        <v>311</v>
      </c>
      <c r="Q72" t="s">
        <v>312</v>
      </c>
      <c r="R72" t="s">
        <v>313</v>
      </c>
      <c r="S72" t="s">
        <v>314</v>
      </c>
      <c r="T72" t="s">
        <v>315</v>
      </c>
      <c r="U72">
        <v>50</v>
      </c>
      <c r="V72">
        <v>1900</v>
      </c>
      <c r="W72">
        <v>1900</v>
      </c>
      <c r="X72">
        <v>925</v>
      </c>
      <c r="Y72">
        <v>0</v>
      </c>
      <c r="Z72">
        <v>975</v>
      </c>
      <c r="AA72">
        <v>975</v>
      </c>
    </row>
    <row r="73" spans="1:27" x14ac:dyDescent="0.25">
      <c r="B73">
        <v>2026</v>
      </c>
      <c r="C73" t="s">
        <v>339</v>
      </c>
      <c r="D73" t="s">
        <v>537</v>
      </c>
      <c r="E73" t="s">
        <v>345</v>
      </c>
      <c r="F73" t="s">
        <v>538</v>
      </c>
      <c r="G73" t="s">
        <v>163</v>
      </c>
      <c r="H73" t="s">
        <v>163</v>
      </c>
      <c r="I73" t="s">
        <v>306</v>
      </c>
      <c r="J73" t="s">
        <v>186</v>
      </c>
      <c r="K73" t="s">
        <v>186</v>
      </c>
      <c r="L73" t="s">
        <v>307</v>
      </c>
      <c r="M73" t="s">
        <v>539</v>
      </c>
      <c r="N73" t="s">
        <v>309</v>
      </c>
      <c r="O73" t="s">
        <v>310</v>
      </c>
      <c r="P73" t="s">
        <v>311</v>
      </c>
      <c r="Q73" t="s">
        <v>312</v>
      </c>
      <c r="R73" t="s">
        <v>313</v>
      </c>
      <c r="S73" t="s">
        <v>320</v>
      </c>
      <c r="T73" t="s">
        <v>321</v>
      </c>
      <c r="U73">
        <v>61</v>
      </c>
      <c r="V73">
        <v>2196</v>
      </c>
      <c r="W73">
        <v>2196</v>
      </c>
      <c r="X73">
        <v>1049.2</v>
      </c>
      <c r="Y73">
        <v>0</v>
      </c>
      <c r="Z73">
        <v>1146.8</v>
      </c>
      <c r="AA73">
        <v>1146.8</v>
      </c>
    </row>
    <row r="74" spans="1:27" x14ac:dyDescent="0.25">
      <c r="B74">
        <v>2026</v>
      </c>
      <c r="C74" t="s">
        <v>339</v>
      </c>
      <c r="D74" t="s">
        <v>540</v>
      </c>
      <c r="E74" t="s">
        <v>349</v>
      </c>
      <c r="F74" t="s">
        <v>541</v>
      </c>
      <c r="G74" t="s">
        <v>325</v>
      </c>
      <c r="H74" t="s">
        <v>325</v>
      </c>
      <c r="I74" t="s">
        <v>306</v>
      </c>
      <c r="J74" t="s">
        <v>186</v>
      </c>
      <c r="K74" t="s">
        <v>186</v>
      </c>
      <c r="L74" t="s">
        <v>307</v>
      </c>
      <c r="M74" t="s">
        <v>542</v>
      </c>
      <c r="N74" t="s">
        <v>309</v>
      </c>
      <c r="O74" t="s">
        <v>310</v>
      </c>
      <c r="P74" t="s">
        <v>311</v>
      </c>
      <c r="Q74" t="s">
        <v>312</v>
      </c>
      <c r="R74" t="s">
        <v>313</v>
      </c>
      <c r="S74" t="s">
        <v>327</v>
      </c>
      <c r="T74" t="s">
        <v>328</v>
      </c>
      <c r="U74">
        <v>72</v>
      </c>
      <c r="V74">
        <v>2592</v>
      </c>
      <c r="W74">
        <v>2592</v>
      </c>
      <c r="X74">
        <v>1260</v>
      </c>
      <c r="Y74">
        <v>0</v>
      </c>
      <c r="Z74">
        <v>1332</v>
      </c>
      <c r="AA74">
        <v>1332</v>
      </c>
    </row>
    <row r="75" spans="1:27" x14ac:dyDescent="0.25">
      <c r="B75">
        <v>2026</v>
      </c>
      <c r="C75" t="s">
        <v>339</v>
      </c>
      <c r="D75" t="s">
        <v>543</v>
      </c>
      <c r="E75" t="s">
        <v>353</v>
      </c>
      <c r="F75" t="s">
        <v>544</v>
      </c>
      <c r="G75" t="s">
        <v>167</v>
      </c>
      <c r="H75" t="s">
        <v>167</v>
      </c>
      <c r="I75" t="s">
        <v>306</v>
      </c>
      <c r="J75" t="s">
        <v>186</v>
      </c>
      <c r="K75" t="s">
        <v>186</v>
      </c>
      <c r="L75" t="s">
        <v>307</v>
      </c>
      <c r="M75" t="s">
        <v>545</v>
      </c>
      <c r="N75" t="s">
        <v>309</v>
      </c>
      <c r="O75" t="s">
        <v>310</v>
      </c>
      <c r="P75" t="s">
        <v>311</v>
      </c>
      <c r="Q75" t="s">
        <v>312</v>
      </c>
      <c r="R75" t="s">
        <v>313</v>
      </c>
      <c r="S75" t="s">
        <v>314</v>
      </c>
      <c r="T75" t="s">
        <v>333</v>
      </c>
      <c r="U75">
        <v>83</v>
      </c>
      <c r="V75">
        <v>2905</v>
      </c>
      <c r="W75">
        <v>2905</v>
      </c>
      <c r="X75">
        <v>1394.4</v>
      </c>
      <c r="Y75">
        <v>0</v>
      </c>
      <c r="Z75">
        <v>1510.6</v>
      </c>
      <c r="AA75">
        <v>1510.6</v>
      </c>
    </row>
    <row r="76" spans="1:27" x14ac:dyDescent="0.25">
      <c r="B76">
        <v>2026</v>
      </c>
      <c r="C76" t="s">
        <v>339</v>
      </c>
      <c r="D76" t="s">
        <v>546</v>
      </c>
      <c r="E76" t="s">
        <v>357</v>
      </c>
      <c r="F76" t="s">
        <v>547</v>
      </c>
      <c r="G76" t="s">
        <v>165</v>
      </c>
      <c r="H76" t="s">
        <v>165</v>
      </c>
      <c r="I76" t="s">
        <v>306</v>
      </c>
      <c r="J76" t="s">
        <v>186</v>
      </c>
      <c r="K76" t="s">
        <v>186</v>
      </c>
      <c r="L76" t="s">
        <v>307</v>
      </c>
      <c r="M76" t="s">
        <v>548</v>
      </c>
      <c r="N76" t="s">
        <v>309</v>
      </c>
      <c r="O76" t="s">
        <v>310</v>
      </c>
      <c r="P76" t="s">
        <v>311</v>
      </c>
      <c r="Q76" t="s">
        <v>312</v>
      </c>
      <c r="R76" t="s">
        <v>313</v>
      </c>
      <c r="S76" t="s">
        <v>320</v>
      </c>
      <c r="T76" t="s">
        <v>338</v>
      </c>
      <c r="U76">
        <v>94</v>
      </c>
      <c r="V76">
        <v>3196</v>
      </c>
      <c r="W76">
        <v>3196</v>
      </c>
      <c r="X76">
        <v>1551</v>
      </c>
      <c r="Y76">
        <v>0</v>
      </c>
      <c r="Z76">
        <v>1645</v>
      </c>
      <c r="AA76">
        <v>1645</v>
      </c>
    </row>
    <row r="77" spans="1:27" x14ac:dyDescent="0.25">
      <c r="B77">
        <v>2026</v>
      </c>
      <c r="C77" t="s">
        <v>290</v>
      </c>
      <c r="D77" t="s">
        <v>549</v>
      </c>
      <c r="E77" t="s">
        <v>361</v>
      </c>
      <c r="F77" t="s">
        <v>550</v>
      </c>
      <c r="G77" t="s">
        <v>158</v>
      </c>
      <c r="H77" t="s">
        <v>158</v>
      </c>
      <c r="I77" t="s">
        <v>306</v>
      </c>
      <c r="J77" t="s">
        <v>186</v>
      </c>
      <c r="K77" t="s">
        <v>186</v>
      </c>
      <c r="L77" t="s">
        <v>307</v>
      </c>
      <c r="M77" t="s">
        <v>551</v>
      </c>
      <c r="N77" t="s">
        <v>309</v>
      </c>
      <c r="O77" t="s">
        <v>310</v>
      </c>
      <c r="P77" t="s">
        <v>311</v>
      </c>
      <c r="Q77" t="s">
        <v>312</v>
      </c>
      <c r="R77" t="s">
        <v>313</v>
      </c>
      <c r="S77" t="s">
        <v>314</v>
      </c>
      <c r="T77" t="s">
        <v>315</v>
      </c>
      <c r="U77">
        <v>50</v>
      </c>
      <c r="V77">
        <v>1900</v>
      </c>
      <c r="W77">
        <v>1900</v>
      </c>
      <c r="X77">
        <v>925</v>
      </c>
      <c r="Y77">
        <v>0</v>
      </c>
      <c r="Z77">
        <v>975</v>
      </c>
      <c r="AA77">
        <v>975</v>
      </c>
    </row>
    <row r="78" spans="1:27" x14ac:dyDescent="0.25">
      <c r="B78">
        <v>2026</v>
      </c>
      <c r="C78" t="s">
        <v>290</v>
      </c>
      <c r="D78" t="s">
        <v>552</v>
      </c>
      <c r="E78" t="s">
        <v>365</v>
      </c>
      <c r="F78" t="s">
        <v>553</v>
      </c>
      <c r="G78" t="s">
        <v>163</v>
      </c>
      <c r="H78" t="s">
        <v>163</v>
      </c>
      <c r="I78" t="s">
        <v>306</v>
      </c>
      <c r="J78" t="s">
        <v>186</v>
      </c>
      <c r="K78" t="s">
        <v>186</v>
      </c>
      <c r="L78" t="s">
        <v>307</v>
      </c>
      <c r="M78" t="s">
        <v>554</v>
      </c>
      <c r="N78" t="s">
        <v>309</v>
      </c>
      <c r="O78" t="s">
        <v>310</v>
      </c>
      <c r="P78" t="s">
        <v>311</v>
      </c>
      <c r="Q78" t="s">
        <v>312</v>
      </c>
      <c r="R78" t="s">
        <v>313</v>
      </c>
      <c r="S78" t="s">
        <v>320</v>
      </c>
      <c r="T78" t="s">
        <v>321</v>
      </c>
      <c r="U78">
        <v>61</v>
      </c>
      <c r="V78">
        <v>2196</v>
      </c>
      <c r="W78">
        <v>2196</v>
      </c>
      <c r="X78">
        <v>1049.2</v>
      </c>
      <c r="Y78">
        <v>0</v>
      </c>
      <c r="Z78">
        <v>1146.8</v>
      </c>
      <c r="AA78">
        <v>1146.8</v>
      </c>
    </row>
    <row r="79" spans="1:27" x14ac:dyDescent="0.25">
      <c r="B79">
        <v>2026</v>
      </c>
      <c r="C79" t="s">
        <v>290</v>
      </c>
      <c r="D79" t="s">
        <v>555</v>
      </c>
      <c r="E79" t="s">
        <v>369</v>
      </c>
      <c r="F79" t="s">
        <v>556</v>
      </c>
      <c r="G79" t="s">
        <v>325</v>
      </c>
      <c r="H79" t="s">
        <v>325</v>
      </c>
      <c r="I79" t="s">
        <v>306</v>
      </c>
      <c r="J79" t="s">
        <v>186</v>
      </c>
      <c r="K79" t="s">
        <v>186</v>
      </c>
      <c r="L79" t="s">
        <v>307</v>
      </c>
      <c r="M79" t="s">
        <v>557</v>
      </c>
      <c r="N79" t="s">
        <v>309</v>
      </c>
      <c r="O79" t="s">
        <v>310</v>
      </c>
      <c r="P79" t="s">
        <v>311</v>
      </c>
      <c r="Q79" t="s">
        <v>312</v>
      </c>
      <c r="R79" t="s">
        <v>313</v>
      </c>
      <c r="S79" t="s">
        <v>327</v>
      </c>
      <c r="T79" t="s">
        <v>328</v>
      </c>
      <c r="U79">
        <v>72</v>
      </c>
      <c r="V79">
        <v>2592</v>
      </c>
      <c r="W79">
        <v>2592</v>
      </c>
      <c r="X79">
        <v>1260</v>
      </c>
      <c r="Y79">
        <v>0</v>
      </c>
      <c r="Z79">
        <v>1332</v>
      </c>
      <c r="AA79">
        <v>1332</v>
      </c>
    </row>
    <row r="80" spans="1:27" x14ac:dyDescent="0.25">
      <c r="B80">
        <v>2026</v>
      </c>
      <c r="C80" t="s">
        <v>290</v>
      </c>
      <c r="D80" t="s">
        <v>558</v>
      </c>
      <c r="E80" t="s">
        <v>373</v>
      </c>
      <c r="F80" t="s">
        <v>559</v>
      </c>
      <c r="G80" t="s">
        <v>167</v>
      </c>
      <c r="H80" t="s">
        <v>167</v>
      </c>
      <c r="I80" t="s">
        <v>306</v>
      </c>
      <c r="J80" t="s">
        <v>186</v>
      </c>
      <c r="K80" t="s">
        <v>186</v>
      </c>
      <c r="L80" t="s">
        <v>307</v>
      </c>
      <c r="M80" t="s">
        <v>560</v>
      </c>
      <c r="N80" t="s">
        <v>309</v>
      </c>
      <c r="O80" t="s">
        <v>310</v>
      </c>
      <c r="P80" t="s">
        <v>311</v>
      </c>
      <c r="Q80" t="s">
        <v>312</v>
      </c>
      <c r="R80" t="s">
        <v>313</v>
      </c>
      <c r="S80" t="s">
        <v>314</v>
      </c>
      <c r="T80" t="s">
        <v>333</v>
      </c>
      <c r="U80">
        <v>83</v>
      </c>
      <c r="V80">
        <v>2905</v>
      </c>
      <c r="W80">
        <v>2905</v>
      </c>
      <c r="X80">
        <v>1394.4</v>
      </c>
      <c r="Y80">
        <v>0</v>
      </c>
      <c r="Z80">
        <v>1510.6</v>
      </c>
      <c r="AA80">
        <v>1510.6</v>
      </c>
    </row>
    <row r="81" spans="1:27" x14ac:dyDescent="0.25">
      <c r="B81">
        <v>2026</v>
      </c>
      <c r="C81" t="s">
        <v>290</v>
      </c>
      <c r="D81" t="s">
        <v>561</v>
      </c>
      <c r="E81" t="s">
        <v>377</v>
      </c>
      <c r="F81" t="s">
        <v>562</v>
      </c>
      <c r="G81" t="s">
        <v>165</v>
      </c>
      <c r="H81" t="s">
        <v>165</v>
      </c>
      <c r="I81" t="s">
        <v>306</v>
      </c>
      <c r="J81" t="s">
        <v>186</v>
      </c>
      <c r="K81" t="s">
        <v>186</v>
      </c>
      <c r="L81" t="s">
        <v>307</v>
      </c>
      <c r="M81" t="s">
        <v>563</v>
      </c>
      <c r="N81" t="s">
        <v>309</v>
      </c>
      <c r="O81" t="s">
        <v>310</v>
      </c>
      <c r="P81" t="s">
        <v>311</v>
      </c>
      <c r="Q81" t="s">
        <v>312</v>
      </c>
      <c r="R81" t="s">
        <v>313</v>
      </c>
      <c r="S81" t="s">
        <v>320</v>
      </c>
      <c r="T81" t="s">
        <v>338</v>
      </c>
      <c r="U81">
        <v>94</v>
      </c>
      <c r="V81">
        <v>3196</v>
      </c>
      <c r="W81">
        <v>3196</v>
      </c>
      <c r="X81">
        <v>1551</v>
      </c>
      <c r="Y81">
        <v>0</v>
      </c>
      <c r="Z81">
        <v>1645</v>
      </c>
      <c r="AA81">
        <v>1645</v>
      </c>
    </row>
    <row r="82" spans="1:27" x14ac:dyDescent="0.25">
      <c r="B82">
        <v>2026</v>
      </c>
      <c r="C82" t="s">
        <v>380</v>
      </c>
      <c r="D82" t="s">
        <v>564</v>
      </c>
      <c r="E82" t="s">
        <v>304</v>
      </c>
      <c r="F82" t="s">
        <v>565</v>
      </c>
      <c r="G82" t="s">
        <v>158</v>
      </c>
      <c r="H82" t="s">
        <v>158</v>
      </c>
      <c r="I82" t="s">
        <v>306</v>
      </c>
      <c r="J82" t="s">
        <v>186</v>
      </c>
      <c r="K82" t="s">
        <v>186</v>
      </c>
      <c r="L82" t="s">
        <v>307</v>
      </c>
      <c r="M82" t="s">
        <v>566</v>
      </c>
      <c r="N82" t="s">
        <v>309</v>
      </c>
      <c r="O82" t="s">
        <v>310</v>
      </c>
      <c r="P82" t="s">
        <v>311</v>
      </c>
      <c r="Q82" t="s">
        <v>312</v>
      </c>
      <c r="R82" t="s">
        <v>313</v>
      </c>
      <c r="S82" t="s">
        <v>314</v>
      </c>
      <c r="T82" t="s">
        <v>315</v>
      </c>
      <c r="U82">
        <v>50</v>
      </c>
      <c r="V82">
        <v>1900</v>
      </c>
      <c r="W82">
        <v>1900</v>
      </c>
      <c r="X82">
        <v>925</v>
      </c>
      <c r="Y82">
        <v>0</v>
      </c>
      <c r="Z82">
        <v>975</v>
      </c>
      <c r="AA82">
        <v>975</v>
      </c>
    </row>
    <row r="83" spans="1:27" x14ac:dyDescent="0.25">
      <c r="B83">
        <v>2026</v>
      </c>
      <c r="C83" t="s">
        <v>380</v>
      </c>
      <c r="D83" t="s">
        <v>567</v>
      </c>
      <c r="E83" t="s">
        <v>317</v>
      </c>
      <c r="F83" t="s">
        <v>568</v>
      </c>
      <c r="G83" t="s">
        <v>163</v>
      </c>
      <c r="H83" t="s">
        <v>163</v>
      </c>
      <c r="I83" t="s">
        <v>306</v>
      </c>
      <c r="J83" t="s">
        <v>186</v>
      </c>
      <c r="K83" t="s">
        <v>186</v>
      </c>
      <c r="L83" t="s">
        <v>307</v>
      </c>
      <c r="M83" t="s">
        <v>569</v>
      </c>
      <c r="N83" t="s">
        <v>309</v>
      </c>
      <c r="O83" t="s">
        <v>310</v>
      </c>
      <c r="P83" t="s">
        <v>311</v>
      </c>
      <c r="Q83" t="s">
        <v>312</v>
      </c>
      <c r="R83" t="s">
        <v>313</v>
      </c>
      <c r="S83" t="s">
        <v>320</v>
      </c>
      <c r="T83" t="s">
        <v>321</v>
      </c>
      <c r="U83">
        <v>61</v>
      </c>
      <c r="V83">
        <v>2196</v>
      </c>
      <c r="W83">
        <v>2196</v>
      </c>
      <c r="X83">
        <v>1049.2</v>
      </c>
      <c r="Y83">
        <v>0</v>
      </c>
      <c r="Z83">
        <v>1146.8</v>
      </c>
      <c r="AA83">
        <v>1146.8</v>
      </c>
    </row>
    <row r="84" spans="1:27" x14ac:dyDescent="0.25">
      <c r="B84">
        <v>2026</v>
      </c>
      <c r="C84" t="s">
        <v>380</v>
      </c>
      <c r="D84" t="s">
        <v>570</v>
      </c>
      <c r="E84" t="s">
        <v>323</v>
      </c>
      <c r="F84" t="s">
        <v>571</v>
      </c>
      <c r="G84" t="s">
        <v>325</v>
      </c>
      <c r="H84" t="s">
        <v>325</v>
      </c>
      <c r="I84" t="s">
        <v>306</v>
      </c>
      <c r="J84" t="s">
        <v>186</v>
      </c>
      <c r="K84" t="s">
        <v>186</v>
      </c>
      <c r="L84" t="s">
        <v>307</v>
      </c>
      <c r="M84" t="s">
        <v>572</v>
      </c>
      <c r="N84" t="s">
        <v>309</v>
      </c>
      <c r="O84" t="s">
        <v>310</v>
      </c>
      <c r="P84" t="s">
        <v>311</v>
      </c>
      <c r="Q84" t="s">
        <v>312</v>
      </c>
      <c r="R84" t="s">
        <v>313</v>
      </c>
      <c r="S84" t="s">
        <v>327</v>
      </c>
      <c r="T84" t="s">
        <v>328</v>
      </c>
      <c r="U84">
        <v>72</v>
      </c>
      <c r="V84">
        <v>2592</v>
      </c>
      <c r="W84">
        <v>2592</v>
      </c>
      <c r="X84">
        <v>1260</v>
      </c>
      <c r="Y84">
        <v>0</v>
      </c>
      <c r="Z84">
        <v>1332</v>
      </c>
      <c r="AA84">
        <v>1332</v>
      </c>
    </row>
    <row r="85" spans="1:27" x14ac:dyDescent="0.25">
      <c r="B85">
        <v>2026</v>
      </c>
      <c r="C85" t="s">
        <v>380</v>
      </c>
      <c r="D85" t="s">
        <v>573</v>
      </c>
      <c r="E85" t="s">
        <v>330</v>
      </c>
      <c r="F85" t="s">
        <v>574</v>
      </c>
      <c r="G85" t="s">
        <v>167</v>
      </c>
      <c r="H85" t="s">
        <v>167</v>
      </c>
      <c r="I85" t="s">
        <v>306</v>
      </c>
      <c r="J85" t="s">
        <v>186</v>
      </c>
      <c r="K85" t="s">
        <v>186</v>
      </c>
      <c r="L85" t="s">
        <v>307</v>
      </c>
      <c r="M85" t="s">
        <v>575</v>
      </c>
      <c r="N85" t="s">
        <v>309</v>
      </c>
      <c r="O85" t="s">
        <v>310</v>
      </c>
      <c r="P85" t="s">
        <v>311</v>
      </c>
      <c r="Q85" t="s">
        <v>312</v>
      </c>
      <c r="R85" t="s">
        <v>313</v>
      </c>
      <c r="S85" t="s">
        <v>314</v>
      </c>
      <c r="T85" t="s">
        <v>333</v>
      </c>
      <c r="U85">
        <v>83</v>
      </c>
      <c r="V85">
        <v>2905</v>
      </c>
      <c r="W85">
        <v>2905</v>
      </c>
      <c r="X85">
        <v>1394.4</v>
      </c>
      <c r="Y85">
        <v>0</v>
      </c>
      <c r="Z85">
        <v>1510.6</v>
      </c>
      <c r="AA85">
        <v>1510.6</v>
      </c>
    </row>
    <row r="86" spans="1:27" x14ac:dyDescent="0.25">
      <c r="B86">
        <v>2026</v>
      </c>
      <c r="C86" t="s">
        <v>380</v>
      </c>
      <c r="D86" t="s">
        <v>576</v>
      </c>
      <c r="E86" t="s">
        <v>335</v>
      </c>
      <c r="F86" t="s">
        <v>577</v>
      </c>
      <c r="G86" t="s">
        <v>165</v>
      </c>
      <c r="H86" t="s">
        <v>165</v>
      </c>
      <c r="I86" t="s">
        <v>306</v>
      </c>
      <c r="J86" t="s">
        <v>186</v>
      </c>
      <c r="K86" t="s">
        <v>186</v>
      </c>
      <c r="L86" t="s">
        <v>307</v>
      </c>
      <c r="M86" t="s">
        <v>578</v>
      </c>
      <c r="N86" t="s">
        <v>309</v>
      </c>
      <c r="O86" t="s">
        <v>310</v>
      </c>
      <c r="P86" t="s">
        <v>311</v>
      </c>
      <c r="Q86" t="s">
        <v>312</v>
      </c>
      <c r="R86" t="s">
        <v>313</v>
      </c>
      <c r="S86" t="s">
        <v>320</v>
      </c>
      <c r="T86" t="s">
        <v>338</v>
      </c>
      <c r="U86">
        <v>94</v>
      </c>
      <c r="V86">
        <v>3196</v>
      </c>
      <c r="W86">
        <v>3196</v>
      </c>
      <c r="X86">
        <v>1551</v>
      </c>
      <c r="Y86">
        <v>0</v>
      </c>
      <c r="Z86">
        <v>1645</v>
      </c>
      <c r="AA86">
        <v>1645</v>
      </c>
    </row>
    <row r="87" spans="1:27" x14ac:dyDescent="0.25">
      <c r="B87">
        <v>2026</v>
      </c>
      <c r="C87" t="s">
        <v>396</v>
      </c>
      <c r="D87" t="s">
        <v>579</v>
      </c>
      <c r="E87" t="s">
        <v>341</v>
      </c>
      <c r="F87" t="s">
        <v>580</v>
      </c>
      <c r="G87" t="s">
        <v>158</v>
      </c>
      <c r="H87" t="s">
        <v>158</v>
      </c>
      <c r="I87" t="s">
        <v>306</v>
      </c>
      <c r="J87" t="s">
        <v>186</v>
      </c>
      <c r="K87" t="s">
        <v>186</v>
      </c>
      <c r="L87" t="s">
        <v>307</v>
      </c>
      <c r="M87" t="s">
        <v>581</v>
      </c>
      <c r="N87" t="s">
        <v>309</v>
      </c>
      <c r="O87" t="s">
        <v>310</v>
      </c>
      <c r="P87" t="s">
        <v>311</v>
      </c>
      <c r="Q87" t="s">
        <v>312</v>
      </c>
      <c r="R87" t="s">
        <v>313</v>
      </c>
      <c r="S87" t="s">
        <v>314</v>
      </c>
      <c r="T87" t="s">
        <v>315</v>
      </c>
      <c r="U87">
        <v>50</v>
      </c>
      <c r="V87">
        <v>1900</v>
      </c>
      <c r="W87">
        <v>1900</v>
      </c>
      <c r="X87">
        <v>925</v>
      </c>
      <c r="Y87">
        <v>0</v>
      </c>
      <c r="Z87">
        <v>975</v>
      </c>
      <c r="AA87">
        <v>975</v>
      </c>
    </row>
    <row r="88" spans="1:27" x14ac:dyDescent="0.25">
      <c r="B88">
        <v>2026</v>
      </c>
      <c r="C88" t="s">
        <v>396</v>
      </c>
      <c r="D88" t="s">
        <v>582</v>
      </c>
      <c r="E88" t="s">
        <v>345</v>
      </c>
      <c r="F88" t="s">
        <v>583</v>
      </c>
      <c r="G88" t="s">
        <v>163</v>
      </c>
      <c r="H88" t="s">
        <v>163</v>
      </c>
      <c r="I88" t="s">
        <v>306</v>
      </c>
      <c r="J88" t="s">
        <v>186</v>
      </c>
      <c r="K88" t="s">
        <v>186</v>
      </c>
      <c r="L88" t="s">
        <v>307</v>
      </c>
      <c r="M88" t="s">
        <v>584</v>
      </c>
      <c r="N88" t="s">
        <v>309</v>
      </c>
      <c r="O88" t="s">
        <v>310</v>
      </c>
      <c r="P88" t="s">
        <v>311</v>
      </c>
      <c r="Q88" t="s">
        <v>312</v>
      </c>
      <c r="R88" t="s">
        <v>313</v>
      </c>
      <c r="S88" t="s">
        <v>320</v>
      </c>
      <c r="T88" t="s">
        <v>321</v>
      </c>
      <c r="U88">
        <v>61</v>
      </c>
      <c r="V88">
        <v>2196</v>
      </c>
      <c r="W88">
        <v>2196</v>
      </c>
      <c r="X88">
        <v>1049.2</v>
      </c>
      <c r="Y88">
        <v>0</v>
      </c>
      <c r="Z88">
        <v>1146.8</v>
      </c>
      <c r="AA88">
        <v>1146.8</v>
      </c>
    </row>
    <row r="89" spans="1:27" x14ac:dyDescent="0.25">
      <c r="B89">
        <v>2026</v>
      </c>
      <c r="C89" t="s">
        <v>396</v>
      </c>
      <c r="D89" t="s">
        <v>585</v>
      </c>
      <c r="E89" t="s">
        <v>349</v>
      </c>
      <c r="F89" t="s">
        <v>586</v>
      </c>
      <c r="G89" t="s">
        <v>325</v>
      </c>
      <c r="H89" t="s">
        <v>325</v>
      </c>
      <c r="I89" t="s">
        <v>306</v>
      </c>
      <c r="J89" t="s">
        <v>186</v>
      </c>
      <c r="K89" t="s">
        <v>186</v>
      </c>
      <c r="L89" t="s">
        <v>307</v>
      </c>
      <c r="M89" t="s">
        <v>587</v>
      </c>
      <c r="N89" t="s">
        <v>309</v>
      </c>
      <c r="O89" t="s">
        <v>310</v>
      </c>
      <c r="P89" t="s">
        <v>311</v>
      </c>
      <c r="Q89" t="s">
        <v>312</v>
      </c>
      <c r="R89" t="s">
        <v>313</v>
      </c>
      <c r="S89" t="s">
        <v>327</v>
      </c>
      <c r="T89" t="s">
        <v>328</v>
      </c>
      <c r="U89">
        <v>72</v>
      </c>
      <c r="V89">
        <v>2592</v>
      </c>
      <c r="W89">
        <v>2592</v>
      </c>
      <c r="X89">
        <v>1260</v>
      </c>
      <c r="Y89">
        <v>0</v>
      </c>
      <c r="Z89">
        <v>1332</v>
      </c>
      <c r="AA89">
        <v>1332</v>
      </c>
    </row>
    <row r="90" spans="1:27" x14ac:dyDescent="0.25">
      <c r="B90">
        <v>2026</v>
      </c>
      <c r="C90" t="s">
        <v>396</v>
      </c>
      <c r="D90" t="s">
        <v>588</v>
      </c>
      <c r="E90" t="s">
        <v>353</v>
      </c>
      <c r="F90" t="s">
        <v>589</v>
      </c>
      <c r="G90" t="s">
        <v>167</v>
      </c>
      <c r="H90" t="s">
        <v>167</v>
      </c>
      <c r="I90" t="s">
        <v>306</v>
      </c>
      <c r="J90" t="s">
        <v>186</v>
      </c>
      <c r="K90" t="s">
        <v>186</v>
      </c>
      <c r="L90" t="s">
        <v>307</v>
      </c>
      <c r="M90" t="s">
        <v>590</v>
      </c>
      <c r="N90" t="s">
        <v>309</v>
      </c>
      <c r="O90" t="s">
        <v>310</v>
      </c>
      <c r="P90" t="s">
        <v>311</v>
      </c>
      <c r="Q90" t="s">
        <v>312</v>
      </c>
      <c r="R90" t="s">
        <v>313</v>
      </c>
      <c r="S90" t="s">
        <v>314</v>
      </c>
      <c r="T90" t="s">
        <v>333</v>
      </c>
      <c r="U90">
        <v>83</v>
      </c>
      <c r="V90">
        <v>2905</v>
      </c>
      <c r="W90">
        <v>2905</v>
      </c>
      <c r="X90">
        <v>1394.4</v>
      </c>
      <c r="Y90">
        <v>0</v>
      </c>
      <c r="Z90">
        <v>1510.6</v>
      </c>
      <c r="AA90">
        <v>1510.6</v>
      </c>
    </row>
    <row r="91" spans="1:27" x14ac:dyDescent="0.25">
      <c r="B91">
        <v>2026</v>
      </c>
      <c r="C91" t="s">
        <v>396</v>
      </c>
      <c r="D91" t="s">
        <v>591</v>
      </c>
      <c r="E91" t="s">
        <v>357</v>
      </c>
      <c r="F91" t="s">
        <v>592</v>
      </c>
      <c r="G91" t="s">
        <v>165</v>
      </c>
      <c r="H91" t="s">
        <v>165</v>
      </c>
      <c r="I91" t="s">
        <v>306</v>
      </c>
      <c r="J91" t="s">
        <v>186</v>
      </c>
      <c r="K91" t="s">
        <v>186</v>
      </c>
      <c r="L91" t="s">
        <v>307</v>
      </c>
      <c r="M91" t="s">
        <v>593</v>
      </c>
      <c r="N91" t="s">
        <v>309</v>
      </c>
      <c r="O91" t="s">
        <v>310</v>
      </c>
      <c r="P91" t="s">
        <v>311</v>
      </c>
      <c r="Q91" t="s">
        <v>312</v>
      </c>
      <c r="R91" t="s">
        <v>313</v>
      </c>
      <c r="S91" t="s">
        <v>320</v>
      </c>
      <c r="T91" t="s">
        <v>338</v>
      </c>
      <c r="U91">
        <v>94</v>
      </c>
      <c r="V91">
        <v>3196</v>
      </c>
      <c r="W91">
        <v>3196</v>
      </c>
      <c r="X91">
        <v>1551</v>
      </c>
      <c r="Y91">
        <v>0</v>
      </c>
      <c r="Z91">
        <v>1645</v>
      </c>
      <c r="AA91">
        <v>1645</v>
      </c>
    </row>
    <row r="92" spans="1:27" x14ac:dyDescent="0.25">
      <c r="B92">
        <v>2026</v>
      </c>
      <c r="C92" t="s">
        <v>412</v>
      </c>
      <c r="D92" t="s">
        <v>594</v>
      </c>
      <c r="E92" t="s">
        <v>361</v>
      </c>
      <c r="F92" t="s">
        <v>595</v>
      </c>
      <c r="G92" t="s">
        <v>158</v>
      </c>
      <c r="H92" t="s">
        <v>158</v>
      </c>
      <c r="I92" t="s">
        <v>306</v>
      </c>
      <c r="J92" t="s">
        <v>186</v>
      </c>
      <c r="K92" t="s">
        <v>186</v>
      </c>
      <c r="L92" t="s">
        <v>307</v>
      </c>
      <c r="M92" t="s">
        <v>596</v>
      </c>
      <c r="N92" t="s">
        <v>309</v>
      </c>
      <c r="O92" t="s">
        <v>310</v>
      </c>
      <c r="P92" t="s">
        <v>311</v>
      </c>
      <c r="Q92" t="s">
        <v>312</v>
      </c>
      <c r="R92" t="s">
        <v>313</v>
      </c>
      <c r="S92" t="s">
        <v>314</v>
      </c>
      <c r="T92" t="s">
        <v>315</v>
      </c>
      <c r="U92">
        <v>50</v>
      </c>
      <c r="V92">
        <v>1900</v>
      </c>
      <c r="W92">
        <v>1900</v>
      </c>
      <c r="X92">
        <v>925</v>
      </c>
      <c r="Y92">
        <v>0</v>
      </c>
      <c r="Z92">
        <v>975</v>
      </c>
      <c r="AA92">
        <v>975</v>
      </c>
    </row>
    <row r="93" spans="1:27" x14ac:dyDescent="0.25">
      <c r="B93">
        <v>2026</v>
      </c>
      <c r="C93" t="s">
        <v>412</v>
      </c>
      <c r="D93" t="s">
        <v>597</v>
      </c>
      <c r="E93" t="s">
        <v>365</v>
      </c>
      <c r="F93" t="s">
        <v>598</v>
      </c>
      <c r="G93" t="s">
        <v>163</v>
      </c>
      <c r="H93" t="s">
        <v>163</v>
      </c>
      <c r="I93" t="s">
        <v>306</v>
      </c>
      <c r="J93" t="s">
        <v>186</v>
      </c>
      <c r="K93" t="s">
        <v>186</v>
      </c>
      <c r="L93" t="s">
        <v>307</v>
      </c>
      <c r="M93" t="s">
        <v>599</v>
      </c>
      <c r="N93" t="s">
        <v>309</v>
      </c>
      <c r="O93" t="s">
        <v>310</v>
      </c>
      <c r="P93" t="s">
        <v>311</v>
      </c>
      <c r="Q93" t="s">
        <v>312</v>
      </c>
      <c r="R93" t="s">
        <v>313</v>
      </c>
      <c r="S93" t="s">
        <v>320</v>
      </c>
      <c r="T93" t="s">
        <v>321</v>
      </c>
      <c r="U93">
        <v>61</v>
      </c>
      <c r="V93">
        <v>2196</v>
      </c>
      <c r="W93">
        <v>2196</v>
      </c>
      <c r="X93">
        <v>1049.2</v>
      </c>
      <c r="Y93">
        <v>0</v>
      </c>
      <c r="Z93">
        <v>1146.8</v>
      </c>
      <c r="AA93">
        <v>1146.8</v>
      </c>
    </row>
    <row r="94" spans="1:27" x14ac:dyDescent="0.25">
      <c r="B94">
        <v>2026</v>
      </c>
      <c r="C94" t="s">
        <v>412</v>
      </c>
      <c r="D94" t="s">
        <v>600</v>
      </c>
      <c r="E94" t="s">
        <v>369</v>
      </c>
      <c r="F94" t="s">
        <v>601</v>
      </c>
      <c r="G94" t="s">
        <v>325</v>
      </c>
      <c r="H94" t="s">
        <v>325</v>
      </c>
      <c r="I94" t="s">
        <v>306</v>
      </c>
      <c r="J94" t="s">
        <v>186</v>
      </c>
      <c r="K94" t="s">
        <v>186</v>
      </c>
      <c r="L94" t="s">
        <v>307</v>
      </c>
      <c r="M94" t="s">
        <v>602</v>
      </c>
      <c r="N94" t="s">
        <v>309</v>
      </c>
      <c r="O94" t="s">
        <v>310</v>
      </c>
      <c r="P94" t="s">
        <v>311</v>
      </c>
      <c r="Q94" t="s">
        <v>312</v>
      </c>
      <c r="R94" t="s">
        <v>313</v>
      </c>
      <c r="S94" t="s">
        <v>327</v>
      </c>
      <c r="T94" t="s">
        <v>328</v>
      </c>
      <c r="U94">
        <v>72</v>
      </c>
      <c r="V94">
        <v>2592</v>
      </c>
      <c r="W94">
        <v>2592</v>
      </c>
      <c r="X94">
        <v>1260</v>
      </c>
      <c r="Y94">
        <v>0</v>
      </c>
      <c r="Z94">
        <v>1332</v>
      </c>
      <c r="AA94">
        <v>1332</v>
      </c>
    </row>
    <row r="95" spans="1:27" x14ac:dyDescent="0.25">
      <c r="B95">
        <v>2026</v>
      </c>
      <c r="C95" t="s">
        <v>412</v>
      </c>
      <c r="D95" t="s">
        <v>603</v>
      </c>
      <c r="E95" t="s">
        <v>373</v>
      </c>
      <c r="F95" t="s">
        <v>604</v>
      </c>
      <c r="G95" t="s">
        <v>167</v>
      </c>
      <c r="H95" t="s">
        <v>167</v>
      </c>
      <c r="I95" t="s">
        <v>306</v>
      </c>
      <c r="J95" t="s">
        <v>186</v>
      </c>
      <c r="K95" t="s">
        <v>186</v>
      </c>
      <c r="L95" t="s">
        <v>307</v>
      </c>
      <c r="M95" t="s">
        <v>605</v>
      </c>
      <c r="N95" t="s">
        <v>309</v>
      </c>
      <c r="O95" t="s">
        <v>310</v>
      </c>
      <c r="P95" t="s">
        <v>311</v>
      </c>
      <c r="Q95" t="s">
        <v>312</v>
      </c>
      <c r="R95" t="s">
        <v>313</v>
      </c>
      <c r="S95" t="s">
        <v>314</v>
      </c>
      <c r="T95" t="s">
        <v>333</v>
      </c>
      <c r="U95">
        <v>83</v>
      </c>
      <c r="V95">
        <v>2905</v>
      </c>
      <c r="W95">
        <v>2905</v>
      </c>
      <c r="X95">
        <v>1394.4</v>
      </c>
      <c r="Y95">
        <v>0</v>
      </c>
      <c r="Z95">
        <v>1510.6</v>
      </c>
      <c r="AA95">
        <v>1510.6</v>
      </c>
    </row>
    <row r="96" spans="1:27" x14ac:dyDescent="0.25">
      <c r="B96">
        <v>2026</v>
      </c>
      <c r="C96" t="s">
        <v>412</v>
      </c>
      <c r="D96" t="s">
        <v>606</v>
      </c>
      <c r="E96" t="s">
        <v>377</v>
      </c>
      <c r="F96" t="s">
        <v>607</v>
      </c>
      <c r="G96" t="s">
        <v>165</v>
      </c>
      <c r="H96" t="s">
        <v>165</v>
      </c>
      <c r="I96" t="s">
        <v>306</v>
      </c>
      <c r="J96" t="s">
        <v>186</v>
      </c>
      <c r="K96" t="s">
        <v>186</v>
      </c>
      <c r="L96" t="s">
        <v>307</v>
      </c>
      <c r="M96" t="s">
        <v>608</v>
      </c>
      <c r="N96" t="s">
        <v>309</v>
      </c>
      <c r="O96" t="s">
        <v>310</v>
      </c>
      <c r="P96" t="s">
        <v>311</v>
      </c>
      <c r="Q96" t="s">
        <v>312</v>
      </c>
      <c r="R96" t="s">
        <v>313</v>
      </c>
      <c r="S96" t="s">
        <v>320</v>
      </c>
      <c r="T96" t="s">
        <v>338</v>
      </c>
      <c r="U96">
        <v>94</v>
      </c>
      <c r="V96">
        <v>3196</v>
      </c>
      <c r="W96">
        <v>3196</v>
      </c>
      <c r="X96">
        <v>1551</v>
      </c>
      <c r="Y96">
        <v>0</v>
      </c>
      <c r="Z96">
        <v>1645</v>
      </c>
      <c r="AA96">
        <v>1645</v>
      </c>
    </row>
    <row r="97" spans="1:27" x14ac:dyDescent="0.25">
      <c r="B97">
        <v>2026</v>
      </c>
      <c r="C97" t="s">
        <v>291</v>
      </c>
      <c r="D97" t="s">
        <v>609</v>
      </c>
      <c r="E97" t="s">
        <v>304</v>
      </c>
      <c r="F97" t="s">
        <v>610</v>
      </c>
      <c r="G97" t="s">
        <v>158</v>
      </c>
      <c r="H97" t="s">
        <v>158</v>
      </c>
      <c r="I97" t="s">
        <v>306</v>
      </c>
      <c r="J97" t="s">
        <v>186</v>
      </c>
      <c r="K97" t="s">
        <v>186</v>
      </c>
      <c r="L97" t="s">
        <v>307</v>
      </c>
      <c r="M97" t="s">
        <v>611</v>
      </c>
      <c r="N97" t="s">
        <v>309</v>
      </c>
      <c r="O97" t="s">
        <v>310</v>
      </c>
      <c r="P97" t="s">
        <v>311</v>
      </c>
      <c r="Q97" t="s">
        <v>312</v>
      </c>
      <c r="R97" t="s">
        <v>313</v>
      </c>
      <c r="S97" t="s">
        <v>314</v>
      </c>
      <c r="T97" t="s">
        <v>315</v>
      </c>
      <c r="U97">
        <v>50</v>
      </c>
      <c r="V97">
        <v>1900</v>
      </c>
      <c r="W97">
        <v>1900</v>
      </c>
      <c r="X97">
        <v>925</v>
      </c>
      <c r="Y97">
        <v>0</v>
      </c>
      <c r="Z97">
        <v>975</v>
      </c>
      <c r="AA97">
        <v>975</v>
      </c>
    </row>
    <row r="98" spans="1:27" x14ac:dyDescent="0.25">
      <c r="B98">
        <v>2026</v>
      </c>
      <c r="C98" t="s">
        <v>291</v>
      </c>
      <c r="D98" t="s">
        <v>612</v>
      </c>
      <c r="E98" t="s">
        <v>317</v>
      </c>
      <c r="F98" t="s">
        <v>613</v>
      </c>
      <c r="G98" t="s">
        <v>163</v>
      </c>
      <c r="H98" t="s">
        <v>163</v>
      </c>
      <c r="I98" t="s">
        <v>306</v>
      </c>
      <c r="J98" t="s">
        <v>186</v>
      </c>
      <c r="K98" t="s">
        <v>186</v>
      </c>
      <c r="L98" t="s">
        <v>307</v>
      </c>
      <c r="M98" t="s">
        <v>614</v>
      </c>
      <c r="N98" t="s">
        <v>309</v>
      </c>
      <c r="O98" t="s">
        <v>310</v>
      </c>
      <c r="P98" t="s">
        <v>311</v>
      </c>
      <c r="Q98" t="s">
        <v>312</v>
      </c>
      <c r="R98" t="s">
        <v>313</v>
      </c>
      <c r="S98" t="s">
        <v>320</v>
      </c>
      <c r="T98" t="s">
        <v>321</v>
      </c>
      <c r="U98">
        <v>61</v>
      </c>
      <c r="V98">
        <v>2196</v>
      </c>
      <c r="W98">
        <v>2196</v>
      </c>
      <c r="X98">
        <v>1049.2</v>
      </c>
      <c r="Y98">
        <v>0</v>
      </c>
      <c r="Z98">
        <v>1146.8</v>
      </c>
      <c r="AA98">
        <v>1146.8</v>
      </c>
    </row>
    <row r="99" spans="1:27" x14ac:dyDescent="0.25">
      <c r="B99">
        <v>2026</v>
      </c>
      <c r="C99" t="s">
        <v>291</v>
      </c>
      <c r="D99" t="s">
        <v>615</v>
      </c>
      <c r="E99" t="s">
        <v>323</v>
      </c>
      <c r="F99" t="s">
        <v>616</v>
      </c>
      <c r="G99" t="s">
        <v>325</v>
      </c>
      <c r="H99" t="s">
        <v>325</v>
      </c>
      <c r="I99" t="s">
        <v>306</v>
      </c>
      <c r="J99" t="s">
        <v>186</v>
      </c>
      <c r="K99" t="s">
        <v>186</v>
      </c>
      <c r="L99" t="s">
        <v>307</v>
      </c>
      <c r="M99" t="s">
        <v>617</v>
      </c>
      <c r="N99" t="s">
        <v>309</v>
      </c>
      <c r="O99" t="s">
        <v>310</v>
      </c>
      <c r="P99" t="s">
        <v>311</v>
      </c>
      <c r="Q99" t="s">
        <v>312</v>
      </c>
      <c r="R99" t="s">
        <v>313</v>
      </c>
      <c r="S99" t="s">
        <v>327</v>
      </c>
      <c r="T99" t="s">
        <v>328</v>
      </c>
      <c r="U99">
        <v>72</v>
      </c>
      <c r="V99">
        <v>2592</v>
      </c>
      <c r="W99">
        <v>2592</v>
      </c>
      <c r="X99">
        <v>1260</v>
      </c>
      <c r="Y99">
        <v>0</v>
      </c>
      <c r="Z99">
        <v>1332</v>
      </c>
      <c r="AA99">
        <v>1332</v>
      </c>
    </row>
    <row r="100" spans="1:27" x14ac:dyDescent="0.25">
      <c r="B100">
        <v>2026</v>
      </c>
      <c r="C100" t="s">
        <v>291</v>
      </c>
      <c r="D100" t="s">
        <v>618</v>
      </c>
      <c r="E100" t="s">
        <v>330</v>
      </c>
      <c r="F100" t="s">
        <v>619</v>
      </c>
      <c r="G100" t="s">
        <v>167</v>
      </c>
      <c r="H100" t="s">
        <v>167</v>
      </c>
      <c r="I100" t="s">
        <v>306</v>
      </c>
      <c r="J100" t="s">
        <v>186</v>
      </c>
      <c r="K100" t="s">
        <v>186</v>
      </c>
      <c r="L100" t="s">
        <v>307</v>
      </c>
      <c r="M100" t="s">
        <v>620</v>
      </c>
      <c r="N100" t="s">
        <v>309</v>
      </c>
      <c r="O100" t="s">
        <v>310</v>
      </c>
      <c r="P100" t="s">
        <v>311</v>
      </c>
      <c r="Q100" t="s">
        <v>312</v>
      </c>
      <c r="R100" t="s">
        <v>313</v>
      </c>
      <c r="S100" t="s">
        <v>314</v>
      </c>
      <c r="T100" t="s">
        <v>333</v>
      </c>
      <c r="U100">
        <v>83</v>
      </c>
      <c r="V100">
        <v>2905</v>
      </c>
      <c r="W100">
        <v>2905</v>
      </c>
      <c r="X100">
        <v>1394.4</v>
      </c>
      <c r="Y100">
        <v>0</v>
      </c>
      <c r="Z100">
        <v>1510.6</v>
      </c>
      <c r="AA100">
        <v>1510.6</v>
      </c>
    </row>
    <row r="101" spans="1:27" x14ac:dyDescent="0.25">
      <c r="B101">
        <v>2026</v>
      </c>
      <c r="C101" t="s">
        <v>291</v>
      </c>
      <c r="D101" t="s">
        <v>621</v>
      </c>
      <c r="E101" t="s">
        <v>335</v>
      </c>
      <c r="F101" t="s">
        <v>622</v>
      </c>
      <c r="G101" t="s">
        <v>165</v>
      </c>
      <c r="H101" t="s">
        <v>165</v>
      </c>
      <c r="I101" t="s">
        <v>306</v>
      </c>
      <c r="J101" t="s">
        <v>186</v>
      </c>
      <c r="K101" t="s">
        <v>186</v>
      </c>
      <c r="L101" t="s">
        <v>307</v>
      </c>
      <c r="M101" t="s">
        <v>623</v>
      </c>
      <c r="N101" t="s">
        <v>309</v>
      </c>
      <c r="O101" t="s">
        <v>310</v>
      </c>
      <c r="P101" t="s">
        <v>311</v>
      </c>
      <c r="Q101" t="s">
        <v>312</v>
      </c>
      <c r="R101" t="s">
        <v>313</v>
      </c>
      <c r="S101" t="s">
        <v>320</v>
      </c>
      <c r="T101" t="s">
        <v>338</v>
      </c>
      <c r="U101">
        <v>94</v>
      </c>
      <c r="V101">
        <v>3196</v>
      </c>
      <c r="W101">
        <v>3196</v>
      </c>
      <c r="X101">
        <v>1551</v>
      </c>
      <c r="Y101">
        <v>0</v>
      </c>
      <c r="Z101">
        <v>1645</v>
      </c>
      <c r="AA101">
        <v>1645</v>
      </c>
    </row>
    <row r="102" spans="1:27" x14ac:dyDescent="0.25">
      <c r="B102">
        <v>2026</v>
      </c>
      <c r="C102" t="s">
        <v>182</v>
      </c>
      <c r="D102" t="s">
        <v>624</v>
      </c>
      <c r="E102" t="s">
        <v>341</v>
      </c>
      <c r="F102" t="s">
        <v>625</v>
      </c>
      <c r="G102" t="s">
        <v>158</v>
      </c>
      <c r="H102" t="s">
        <v>158</v>
      </c>
      <c r="I102" t="s">
        <v>306</v>
      </c>
      <c r="J102" t="s">
        <v>186</v>
      </c>
      <c r="K102" t="s">
        <v>186</v>
      </c>
      <c r="L102" t="s">
        <v>307</v>
      </c>
      <c r="M102" t="s">
        <v>626</v>
      </c>
      <c r="N102" t="s">
        <v>309</v>
      </c>
      <c r="O102" t="s">
        <v>310</v>
      </c>
      <c r="P102" t="s">
        <v>311</v>
      </c>
      <c r="Q102" t="s">
        <v>312</v>
      </c>
      <c r="R102" t="s">
        <v>313</v>
      </c>
      <c r="S102" t="s">
        <v>314</v>
      </c>
      <c r="T102" t="s">
        <v>315</v>
      </c>
      <c r="U102">
        <v>50</v>
      </c>
      <c r="V102">
        <v>1900</v>
      </c>
      <c r="W102">
        <v>1900</v>
      </c>
      <c r="X102">
        <v>925</v>
      </c>
      <c r="Y102">
        <v>0</v>
      </c>
      <c r="Z102">
        <v>975</v>
      </c>
      <c r="AA102">
        <v>975</v>
      </c>
    </row>
    <row r="103" spans="1:27" x14ac:dyDescent="0.25">
      <c r="B103">
        <v>2026</v>
      </c>
      <c r="C103" t="s">
        <v>182</v>
      </c>
      <c r="D103" t="s">
        <v>627</v>
      </c>
      <c r="E103" t="s">
        <v>345</v>
      </c>
      <c r="F103" t="s">
        <v>628</v>
      </c>
      <c r="G103" t="s">
        <v>163</v>
      </c>
      <c r="H103" t="s">
        <v>163</v>
      </c>
      <c r="I103" t="s">
        <v>306</v>
      </c>
      <c r="J103" t="s">
        <v>186</v>
      </c>
      <c r="K103" t="s">
        <v>186</v>
      </c>
      <c r="L103" t="s">
        <v>307</v>
      </c>
      <c r="M103" t="s">
        <v>629</v>
      </c>
      <c r="N103" t="s">
        <v>309</v>
      </c>
      <c r="O103" t="s">
        <v>310</v>
      </c>
      <c r="P103" t="s">
        <v>311</v>
      </c>
      <c r="Q103" t="s">
        <v>312</v>
      </c>
      <c r="R103" t="s">
        <v>313</v>
      </c>
      <c r="S103" t="s">
        <v>320</v>
      </c>
      <c r="T103" t="s">
        <v>321</v>
      </c>
      <c r="U103">
        <v>61</v>
      </c>
      <c r="V103">
        <v>2196</v>
      </c>
      <c r="W103">
        <v>2196</v>
      </c>
      <c r="X103">
        <v>1049.2</v>
      </c>
      <c r="Y103">
        <v>0</v>
      </c>
      <c r="Z103">
        <v>1146.8</v>
      </c>
      <c r="AA103">
        <v>1146.8</v>
      </c>
    </row>
    <row r="104" spans="1:27" x14ac:dyDescent="0.25">
      <c r="B104">
        <v>2026</v>
      </c>
      <c r="C104" t="s">
        <v>182</v>
      </c>
      <c r="D104" t="s">
        <v>630</v>
      </c>
      <c r="E104" t="s">
        <v>349</v>
      </c>
      <c r="F104" t="s">
        <v>631</v>
      </c>
      <c r="G104" t="s">
        <v>325</v>
      </c>
      <c r="H104" t="s">
        <v>325</v>
      </c>
      <c r="I104" t="s">
        <v>306</v>
      </c>
      <c r="J104" t="s">
        <v>186</v>
      </c>
      <c r="K104" t="s">
        <v>186</v>
      </c>
      <c r="L104" t="s">
        <v>307</v>
      </c>
      <c r="M104" t="s">
        <v>632</v>
      </c>
      <c r="N104" t="s">
        <v>309</v>
      </c>
      <c r="O104" t="s">
        <v>310</v>
      </c>
      <c r="P104" t="s">
        <v>311</v>
      </c>
      <c r="Q104" t="s">
        <v>312</v>
      </c>
      <c r="R104" t="s">
        <v>313</v>
      </c>
      <c r="S104" t="s">
        <v>327</v>
      </c>
      <c r="T104" t="s">
        <v>328</v>
      </c>
      <c r="U104">
        <v>72</v>
      </c>
      <c r="V104">
        <v>2592</v>
      </c>
      <c r="W104">
        <v>2592</v>
      </c>
      <c r="X104">
        <v>1260</v>
      </c>
      <c r="Y104">
        <v>0</v>
      </c>
      <c r="Z104">
        <v>1332</v>
      </c>
      <c r="AA104">
        <v>1332</v>
      </c>
    </row>
    <row r="105" spans="1:27" x14ac:dyDescent="0.25">
      <c r="B105">
        <v>2026</v>
      </c>
      <c r="C105" t="s">
        <v>182</v>
      </c>
      <c r="D105" t="s">
        <v>633</v>
      </c>
      <c r="E105" t="s">
        <v>353</v>
      </c>
      <c r="F105" t="s">
        <v>634</v>
      </c>
      <c r="G105" t="s">
        <v>167</v>
      </c>
      <c r="H105" t="s">
        <v>167</v>
      </c>
      <c r="I105" t="s">
        <v>306</v>
      </c>
      <c r="J105" t="s">
        <v>186</v>
      </c>
      <c r="K105" t="s">
        <v>186</v>
      </c>
      <c r="L105" t="s">
        <v>307</v>
      </c>
      <c r="M105" t="s">
        <v>635</v>
      </c>
      <c r="N105" t="s">
        <v>309</v>
      </c>
      <c r="O105" t="s">
        <v>310</v>
      </c>
      <c r="P105" t="s">
        <v>311</v>
      </c>
      <c r="Q105" t="s">
        <v>312</v>
      </c>
      <c r="R105" t="s">
        <v>313</v>
      </c>
      <c r="S105" t="s">
        <v>314</v>
      </c>
      <c r="T105" t="s">
        <v>333</v>
      </c>
      <c r="U105">
        <v>83</v>
      </c>
      <c r="V105">
        <v>2905</v>
      </c>
      <c r="W105">
        <v>2905</v>
      </c>
      <c r="X105">
        <v>1394.4</v>
      </c>
      <c r="Y105">
        <v>0</v>
      </c>
      <c r="Z105">
        <v>1510.6</v>
      </c>
      <c r="AA105">
        <v>1510.6</v>
      </c>
    </row>
    <row r="106" spans="1:27" x14ac:dyDescent="0.25">
      <c r="B106">
        <v>2026</v>
      </c>
      <c r="C106" t="s">
        <v>182</v>
      </c>
      <c r="D106" t="s">
        <v>636</v>
      </c>
      <c r="E106" t="s">
        <v>357</v>
      </c>
      <c r="F106" t="s">
        <v>637</v>
      </c>
      <c r="G106" t="s">
        <v>165</v>
      </c>
      <c r="H106" t="s">
        <v>165</v>
      </c>
      <c r="I106" t="s">
        <v>306</v>
      </c>
      <c r="J106" t="s">
        <v>186</v>
      </c>
      <c r="K106" t="s">
        <v>186</v>
      </c>
      <c r="L106" t="s">
        <v>307</v>
      </c>
      <c r="M106" t="s">
        <v>638</v>
      </c>
      <c r="N106" t="s">
        <v>309</v>
      </c>
      <c r="O106" t="s">
        <v>310</v>
      </c>
      <c r="P106" t="s">
        <v>311</v>
      </c>
      <c r="Q106" t="s">
        <v>312</v>
      </c>
      <c r="R106" t="s">
        <v>313</v>
      </c>
      <c r="S106" t="s">
        <v>320</v>
      </c>
      <c r="T106" t="s">
        <v>338</v>
      </c>
      <c r="U106">
        <v>94</v>
      </c>
      <c r="V106">
        <v>3196</v>
      </c>
      <c r="W106">
        <v>3196</v>
      </c>
      <c r="X106">
        <v>1551</v>
      </c>
      <c r="Y106">
        <v>0</v>
      </c>
      <c r="Z106">
        <v>1645</v>
      </c>
      <c r="AA106">
        <v>1645</v>
      </c>
    </row>
    <row r="107" spans="1:27" x14ac:dyDescent="0.25">
      <c r="B107">
        <v>2026</v>
      </c>
      <c r="C107" t="s">
        <v>292</v>
      </c>
      <c r="D107" t="s">
        <v>639</v>
      </c>
      <c r="E107" t="s">
        <v>361</v>
      </c>
      <c r="F107" t="s">
        <v>640</v>
      </c>
      <c r="G107" t="s">
        <v>158</v>
      </c>
      <c r="H107" t="s">
        <v>158</v>
      </c>
      <c r="I107" t="s">
        <v>306</v>
      </c>
      <c r="J107" t="s">
        <v>186</v>
      </c>
      <c r="K107" t="s">
        <v>186</v>
      </c>
      <c r="L107" t="s">
        <v>307</v>
      </c>
      <c r="M107" t="s">
        <v>641</v>
      </c>
      <c r="N107" t="s">
        <v>309</v>
      </c>
      <c r="O107" t="s">
        <v>310</v>
      </c>
      <c r="P107" t="s">
        <v>311</v>
      </c>
      <c r="Q107" t="s">
        <v>312</v>
      </c>
      <c r="R107" t="s">
        <v>313</v>
      </c>
      <c r="S107" t="s">
        <v>314</v>
      </c>
      <c r="T107" t="s">
        <v>315</v>
      </c>
      <c r="U107">
        <v>50</v>
      </c>
      <c r="V107">
        <v>1900</v>
      </c>
      <c r="W107">
        <v>1900</v>
      </c>
      <c r="X107">
        <v>925</v>
      </c>
      <c r="Y107">
        <v>0</v>
      </c>
      <c r="Z107">
        <v>975</v>
      </c>
      <c r="AA107">
        <v>975</v>
      </c>
    </row>
    <row r="108" spans="1:27" x14ac:dyDescent="0.25">
      <c r="B108">
        <v>2026</v>
      </c>
      <c r="C108" t="s">
        <v>292</v>
      </c>
      <c r="D108" t="s">
        <v>642</v>
      </c>
      <c r="E108" t="s">
        <v>365</v>
      </c>
      <c r="F108" t="s">
        <v>643</v>
      </c>
      <c r="G108" t="s">
        <v>163</v>
      </c>
      <c r="H108" t="s">
        <v>163</v>
      </c>
      <c r="I108" t="s">
        <v>306</v>
      </c>
      <c r="J108" t="s">
        <v>186</v>
      </c>
      <c r="K108" t="s">
        <v>186</v>
      </c>
      <c r="L108" t="s">
        <v>307</v>
      </c>
      <c r="M108" t="s">
        <v>644</v>
      </c>
      <c r="N108" t="s">
        <v>309</v>
      </c>
      <c r="O108" t="s">
        <v>310</v>
      </c>
      <c r="P108" t="s">
        <v>311</v>
      </c>
      <c r="Q108" t="s">
        <v>312</v>
      </c>
      <c r="R108" t="s">
        <v>313</v>
      </c>
      <c r="S108" t="s">
        <v>320</v>
      </c>
      <c r="T108" t="s">
        <v>321</v>
      </c>
      <c r="U108">
        <v>61</v>
      </c>
      <c r="V108">
        <v>2196</v>
      </c>
      <c r="W108">
        <v>2196</v>
      </c>
      <c r="X108">
        <v>1049.2</v>
      </c>
      <c r="Y108">
        <v>0</v>
      </c>
      <c r="Z108">
        <v>1146.8</v>
      </c>
      <c r="AA108">
        <v>1146.8</v>
      </c>
    </row>
    <row r="109" spans="1:27" x14ac:dyDescent="0.25">
      <c r="B109">
        <v>2026</v>
      </c>
      <c r="C109" t="s">
        <v>292</v>
      </c>
      <c r="D109" t="s">
        <v>645</v>
      </c>
      <c r="E109" t="s">
        <v>369</v>
      </c>
      <c r="F109" t="s">
        <v>646</v>
      </c>
      <c r="G109" t="s">
        <v>325</v>
      </c>
      <c r="H109" t="s">
        <v>325</v>
      </c>
      <c r="I109" t="s">
        <v>306</v>
      </c>
      <c r="J109" t="s">
        <v>186</v>
      </c>
      <c r="K109" t="s">
        <v>186</v>
      </c>
      <c r="L109" t="s">
        <v>307</v>
      </c>
      <c r="M109" t="s">
        <v>647</v>
      </c>
      <c r="N109" t="s">
        <v>309</v>
      </c>
      <c r="O109" t="s">
        <v>310</v>
      </c>
      <c r="P109" t="s">
        <v>311</v>
      </c>
      <c r="Q109" t="s">
        <v>312</v>
      </c>
      <c r="R109" t="s">
        <v>313</v>
      </c>
      <c r="S109" t="s">
        <v>327</v>
      </c>
      <c r="T109" t="s">
        <v>328</v>
      </c>
      <c r="U109">
        <v>72</v>
      </c>
      <c r="V109">
        <v>2592</v>
      </c>
      <c r="W109">
        <v>2592</v>
      </c>
      <c r="X109">
        <v>1260</v>
      </c>
      <c r="Y109">
        <v>0</v>
      </c>
      <c r="Z109">
        <v>1332</v>
      </c>
      <c r="AA109">
        <v>1332</v>
      </c>
    </row>
    <row r="110" spans="1:27" x14ac:dyDescent="0.25">
      <c r="B110">
        <v>2026</v>
      </c>
      <c r="C110" t="s">
        <v>292</v>
      </c>
      <c r="D110" t="s">
        <v>648</v>
      </c>
      <c r="E110" t="s">
        <v>373</v>
      </c>
      <c r="F110" t="s">
        <v>649</v>
      </c>
      <c r="G110" t="s">
        <v>167</v>
      </c>
      <c r="H110" t="s">
        <v>167</v>
      </c>
      <c r="I110" t="s">
        <v>306</v>
      </c>
      <c r="J110" t="s">
        <v>186</v>
      </c>
      <c r="K110" t="s">
        <v>186</v>
      </c>
      <c r="L110" t="s">
        <v>307</v>
      </c>
      <c r="M110" t="s">
        <v>650</v>
      </c>
      <c r="N110" t="s">
        <v>309</v>
      </c>
      <c r="O110" t="s">
        <v>310</v>
      </c>
      <c r="P110" t="s">
        <v>311</v>
      </c>
      <c r="Q110" t="s">
        <v>312</v>
      </c>
      <c r="R110" t="s">
        <v>313</v>
      </c>
      <c r="S110" t="s">
        <v>314</v>
      </c>
      <c r="T110" t="s">
        <v>333</v>
      </c>
      <c r="U110">
        <v>83</v>
      </c>
      <c r="V110">
        <v>2905</v>
      </c>
      <c r="W110">
        <v>2905</v>
      </c>
      <c r="X110">
        <v>1394.4</v>
      </c>
      <c r="Y110">
        <v>0</v>
      </c>
      <c r="Z110">
        <v>1510.6</v>
      </c>
      <c r="AA110">
        <v>1510.6</v>
      </c>
    </row>
    <row r="111" spans="1:27" x14ac:dyDescent="0.25">
      <c r="B111">
        <v>2026</v>
      </c>
      <c r="C111" t="s">
        <v>292</v>
      </c>
      <c r="D111" t="s">
        <v>651</v>
      </c>
      <c r="E111" t="s">
        <v>377</v>
      </c>
      <c r="F111" t="s">
        <v>652</v>
      </c>
      <c r="G111" t="s">
        <v>165</v>
      </c>
      <c r="H111" t="s">
        <v>165</v>
      </c>
      <c r="I111" t="s">
        <v>306</v>
      </c>
      <c r="J111" t="s">
        <v>186</v>
      </c>
      <c r="K111" t="s">
        <v>186</v>
      </c>
      <c r="L111" t="s">
        <v>307</v>
      </c>
      <c r="M111" t="s">
        <v>653</v>
      </c>
      <c r="N111" t="s">
        <v>309</v>
      </c>
      <c r="O111" t="s">
        <v>310</v>
      </c>
      <c r="P111" t="s">
        <v>311</v>
      </c>
      <c r="Q111" t="s">
        <v>312</v>
      </c>
      <c r="R111" t="s">
        <v>313</v>
      </c>
      <c r="S111" t="s">
        <v>320</v>
      </c>
      <c r="T111" t="s">
        <v>338</v>
      </c>
      <c r="U111">
        <v>94</v>
      </c>
      <c r="V111">
        <v>3196</v>
      </c>
      <c r="W111">
        <v>3196</v>
      </c>
      <c r="X111">
        <v>1551</v>
      </c>
      <c r="Y111">
        <v>0</v>
      </c>
      <c r="Z111">
        <v>1645</v>
      </c>
      <c r="AA111">
        <v>1645</v>
      </c>
    </row>
    <row r="112" spans="1:27" x14ac:dyDescent="0.25">
      <c r="B112">
        <v>2026</v>
      </c>
      <c r="C112" t="s">
        <v>293</v>
      </c>
      <c r="D112" t="s">
        <v>654</v>
      </c>
      <c r="E112" t="s">
        <v>304</v>
      </c>
      <c r="F112" t="s">
        <v>655</v>
      </c>
      <c r="G112" t="s">
        <v>158</v>
      </c>
      <c r="H112" t="s">
        <v>158</v>
      </c>
      <c r="I112" t="s">
        <v>306</v>
      </c>
      <c r="J112" t="s">
        <v>186</v>
      </c>
      <c r="K112" t="s">
        <v>186</v>
      </c>
      <c r="L112" t="s">
        <v>307</v>
      </c>
      <c r="M112" t="s">
        <v>656</v>
      </c>
      <c r="N112" t="s">
        <v>309</v>
      </c>
      <c r="O112" t="s">
        <v>310</v>
      </c>
      <c r="P112" t="s">
        <v>311</v>
      </c>
      <c r="Q112" t="s">
        <v>312</v>
      </c>
      <c r="R112" t="s">
        <v>313</v>
      </c>
      <c r="S112" t="s">
        <v>314</v>
      </c>
      <c r="T112" t="s">
        <v>315</v>
      </c>
      <c r="U112">
        <v>50</v>
      </c>
      <c r="V112">
        <v>1900</v>
      </c>
      <c r="W112">
        <v>1900</v>
      </c>
      <c r="X112">
        <v>925</v>
      </c>
      <c r="Y112">
        <v>0</v>
      </c>
      <c r="Z112">
        <v>975</v>
      </c>
      <c r="AA112">
        <v>975</v>
      </c>
    </row>
    <row r="113" spans="1:27" x14ac:dyDescent="0.25">
      <c r="B113">
        <v>2026</v>
      </c>
      <c r="C113" t="s">
        <v>293</v>
      </c>
      <c r="D113" t="s">
        <v>657</v>
      </c>
      <c r="E113" t="s">
        <v>317</v>
      </c>
      <c r="F113" t="s">
        <v>658</v>
      </c>
      <c r="G113" t="s">
        <v>163</v>
      </c>
      <c r="H113" t="s">
        <v>163</v>
      </c>
      <c r="I113" t="s">
        <v>306</v>
      </c>
      <c r="J113" t="s">
        <v>186</v>
      </c>
      <c r="K113" t="s">
        <v>186</v>
      </c>
      <c r="L113" t="s">
        <v>307</v>
      </c>
      <c r="M113" t="s">
        <v>659</v>
      </c>
      <c r="N113" t="s">
        <v>309</v>
      </c>
      <c r="O113" t="s">
        <v>310</v>
      </c>
      <c r="P113" t="s">
        <v>311</v>
      </c>
      <c r="Q113" t="s">
        <v>312</v>
      </c>
      <c r="R113" t="s">
        <v>313</v>
      </c>
      <c r="S113" t="s">
        <v>320</v>
      </c>
      <c r="T113" t="s">
        <v>321</v>
      </c>
      <c r="U113">
        <v>61</v>
      </c>
      <c r="V113">
        <v>2196</v>
      </c>
      <c r="W113">
        <v>2196</v>
      </c>
      <c r="X113">
        <v>1049.2</v>
      </c>
      <c r="Y113">
        <v>0</v>
      </c>
      <c r="Z113">
        <v>1146.8</v>
      </c>
      <c r="AA113">
        <v>1146.8</v>
      </c>
    </row>
    <row r="114" spans="1:27" x14ac:dyDescent="0.25">
      <c r="B114">
        <v>2026</v>
      </c>
      <c r="C114" t="s">
        <v>293</v>
      </c>
      <c r="D114" t="s">
        <v>660</v>
      </c>
      <c r="E114" t="s">
        <v>323</v>
      </c>
      <c r="F114" t="s">
        <v>661</v>
      </c>
      <c r="G114" t="s">
        <v>325</v>
      </c>
      <c r="H114" t="s">
        <v>325</v>
      </c>
      <c r="I114" t="s">
        <v>306</v>
      </c>
      <c r="J114" t="s">
        <v>186</v>
      </c>
      <c r="K114" t="s">
        <v>186</v>
      </c>
      <c r="L114" t="s">
        <v>307</v>
      </c>
      <c r="M114" t="s">
        <v>662</v>
      </c>
      <c r="N114" t="s">
        <v>309</v>
      </c>
      <c r="O114" t="s">
        <v>310</v>
      </c>
      <c r="P114" t="s">
        <v>311</v>
      </c>
      <c r="Q114" t="s">
        <v>312</v>
      </c>
      <c r="R114" t="s">
        <v>313</v>
      </c>
      <c r="S114" t="s">
        <v>327</v>
      </c>
      <c r="T114" t="s">
        <v>328</v>
      </c>
      <c r="U114">
        <v>72</v>
      </c>
      <c r="V114">
        <v>2592</v>
      </c>
      <c r="W114">
        <v>2592</v>
      </c>
      <c r="X114">
        <v>1260</v>
      </c>
      <c r="Y114">
        <v>0</v>
      </c>
      <c r="Z114">
        <v>1332</v>
      </c>
      <c r="AA114">
        <v>1332</v>
      </c>
    </row>
    <row r="115" spans="1:27" x14ac:dyDescent="0.25">
      <c r="B115">
        <v>2026</v>
      </c>
      <c r="C115" t="s">
        <v>293</v>
      </c>
      <c r="D115" t="s">
        <v>663</v>
      </c>
      <c r="E115" t="s">
        <v>330</v>
      </c>
      <c r="F115" t="s">
        <v>664</v>
      </c>
      <c r="G115" t="s">
        <v>167</v>
      </c>
      <c r="H115" t="s">
        <v>167</v>
      </c>
      <c r="I115" t="s">
        <v>306</v>
      </c>
      <c r="J115" t="s">
        <v>186</v>
      </c>
      <c r="K115" t="s">
        <v>186</v>
      </c>
      <c r="L115" t="s">
        <v>307</v>
      </c>
      <c r="M115" t="s">
        <v>665</v>
      </c>
      <c r="N115" t="s">
        <v>309</v>
      </c>
      <c r="O115" t="s">
        <v>310</v>
      </c>
      <c r="P115" t="s">
        <v>311</v>
      </c>
      <c r="Q115" t="s">
        <v>312</v>
      </c>
      <c r="R115" t="s">
        <v>313</v>
      </c>
      <c r="S115" t="s">
        <v>314</v>
      </c>
      <c r="T115" t="s">
        <v>333</v>
      </c>
      <c r="U115">
        <v>83</v>
      </c>
      <c r="V115">
        <v>2905</v>
      </c>
      <c r="W115">
        <v>2905</v>
      </c>
      <c r="X115">
        <v>1394.4</v>
      </c>
      <c r="Y115">
        <v>0</v>
      </c>
      <c r="Z115">
        <v>1510.6</v>
      </c>
      <c r="AA115">
        <v>1510.6</v>
      </c>
    </row>
    <row r="116" spans="1:27" x14ac:dyDescent="0.25">
      <c r="B116">
        <v>2026</v>
      </c>
      <c r="C116" t="s">
        <v>293</v>
      </c>
      <c r="D116" t="s">
        <v>666</v>
      </c>
      <c r="E116" t="s">
        <v>335</v>
      </c>
      <c r="F116" t="s">
        <v>667</v>
      </c>
      <c r="G116" t="s">
        <v>165</v>
      </c>
      <c r="H116" t="s">
        <v>165</v>
      </c>
      <c r="I116" t="s">
        <v>306</v>
      </c>
      <c r="J116" t="s">
        <v>186</v>
      </c>
      <c r="K116" t="s">
        <v>186</v>
      </c>
      <c r="L116" t="s">
        <v>307</v>
      </c>
      <c r="M116" t="s">
        <v>668</v>
      </c>
      <c r="N116" t="s">
        <v>309</v>
      </c>
      <c r="O116" t="s">
        <v>310</v>
      </c>
      <c r="P116" t="s">
        <v>311</v>
      </c>
      <c r="Q116" t="s">
        <v>312</v>
      </c>
      <c r="R116" t="s">
        <v>313</v>
      </c>
      <c r="S116" t="s">
        <v>320</v>
      </c>
      <c r="T116" t="s">
        <v>338</v>
      </c>
      <c r="U116">
        <v>94</v>
      </c>
      <c r="V116">
        <v>3196</v>
      </c>
      <c r="W116">
        <v>3196</v>
      </c>
      <c r="X116">
        <v>1551</v>
      </c>
      <c r="Y116">
        <v>0</v>
      </c>
      <c r="Z116">
        <v>1645</v>
      </c>
      <c r="AA116">
        <v>1645</v>
      </c>
    </row>
    <row r="117" spans="1:27" x14ac:dyDescent="0.25">
      <c r="B117">
        <v>2026</v>
      </c>
      <c r="C117" t="s">
        <v>294</v>
      </c>
      <c r="D117" t="s">
        <v>669</v>
      </c>
      <c r="E117" t="s">
        <v>341</v>
      </c>
      <c r="F117" t="s">
        <v>670</v>
      </c>
      <c r="G117" t="s">
        <v>158</v>
      </c>
      <c r="H117" t="s">
        <v>158</v>
      </c>
      <c r="I117" t="s">
        <v>306</v>
      </c>
      <c r="J117" t="s">
        <v>186</v>
      </c>
      <c r="K117" t="s">
        <v>186</v>
      </c>
      <c r="L117" t="s">
        <v>307</v>
      </c>
      <c r="M117" t="s">
        <v>671</v>
      </c>
      <c r="N117" t="s">
        <v>309</v>
      </c>
      <c r="O117" t="s">
        <v>310</v>
      </c>
      <c r="P117" t="s">
        <v>311</v>
      </c>
      <c r="Q117" t="s">
        <v>312</v>
      </c>
      <c r="R117" t="s">
        <v>313</v>
      </c>
      <c r="S117" t="s">
        <v>314</v>
      </c>
      <c r="T117" t="s">
        <v>315</v>
      </c>
      <c r="U117">
        <v>50</v>
      </c>
      <c r="V117">
        <v>1900</v>
      </c>
      <c r="W117">
        <v>1900</v>
      </c>
      <c r="X117">
        <v>925</v>
      </c>
      <c r="Y117">
        <v>0</v>
      </c>
      <c r="Z117">
        <v>975</v>
      </c>
      <c r="AA117">
        <v>975</v>
      </c>
    </row>
    <row r="118" spans="1:27" x14ac:dyDescent="0.25">
      <c r="B118">
        <v>2026</v>
      </c>
      <c r="C118" t="s">
        <v>294</v>
      </c>
      <c r="D118" t="s">
        <v>672</v>
      </c>
      <c r="E118" t="s">
        <v>345</v>
      </c>
      <c r="F118" t="s">
        <v>673</v>
      </c>
      <c r="G118" t="s">
        <v>163</v>
      </c>
      <c r="H118" t="s">
        <v>163</v>
      </c>
      <c r="I118" t="s">
        <v>306</v>
      </c>
      <c r="J118" t="s">
        <v>186</v>
      </c>
      <c r="K118" t="s">
        <v>186</v>
      </c>
      <c r="L118" t="s">
        <v>307</v>
      </c>
      <c r="M118" t="s">
        <v>674</v>
      </c>
      <c r="N118" t="s">
        <v>309</v>
      </c>
      <c r="O118" t="s">
        <v>310</v>
      </c>
      <c r="P118" t="s">
        <v>311</v>
      </c>
      <c r="Q118" t="s">
        <v>312</v>
      </c>
      <c r="R118" t="s">
        <v>313</v>
      </c>
      <c r="S118" t="s">
        <v>320</v>
      </c>
      <c r="T118" t="s">
        <v>321</v>
      </c>
      <c r="U118">
        <v>61</v>
      </c>
      <c r="V118">
        <v>2196</v>
      </c>
      <c r="W118">
        <v>2196</v>
      </c>
      <c r="X118">
        <v>1049.2</v>
      </c>
      <c r="Y118">
        <v>0</v>
      </c>
      <c r="Z118">
        <v>1146.8</v>
      </c>
      <c r="AA118">
        <v>1146.8</v>
      </c>
    </row>
    <row r="119" spans="1:27" x14ac:dyDescent="0.25">
      <c r="B119">
        <v>2026</v>
      </c>
      <c r="C119" t="s">
        <v>294</v>
      </c>
      <c r="D119" t="s">
        <v>675</v>
      </c>
      <c r="E119" t="s">
        <v>349</v>
      </c>
      <c r="F119" t="s">
        <v>676</v>
      </c>
      <c r="G119" t="s">
        <v>325</v>
      </c>
      <c r="H119" t="s">
        <v>325</v>
      </c>
      <c r="I119" t="s">
        <v>306</v>
      </c>
      <c r="J119" t="s">
        <v>186</v>
      </c>
      <c r="K119" t="s">
        <v>186</v>
      </c>
      <c r="L119" t="s">
        <v>307</v>
      </c>
      <c r="M119" t="s">
        <v>677</v>
      </c>
      <c r="N119" t="s">
        <v>309</v>
      </c>
      <c r="O119" t="s">
        <v>310</v>
      </c>
      <c r="P119" t="s">
        <v>311</v>
      </c>
      <c r="Q119" t="s">
        <v>312</v>
      </c>
      <c r="R119" t="s">
        <v>313</v>
      </c>
      <c r="S119" t="s">
        <v>327</v>
      </c>
      <c r="T119" t="s">
        <v>328</v>
      </c>
      <c r="U119">
        <v>72</v>
      </c>
      <c r="V119">
        <v>2592</v>
      </c>
      <c r="W119">
        <v>2592</v>
      </c>
      <c r="X119">
        <v>1260</v>
      </c>
      <c r="Y119">
        <v>0</v>
      </c>
      <c r="Z119">
        <v>1332</v>
      </c>
      <c r="AA119">
        <v>1332</v>
      </c>
    </row>
    <row r="120" spans="1:27" x14ac:dyDescent="0.25">
      <c r="B120">
        <v>2026</v>
      </c>
      <c r="C120" t="s">
        <v>294</v>
      </c>
      <c r="D120" t="s">
        <v>678</v>
      </c>
      <c r="E120" t="s">
        <v>353</v>
      </c>
      <c r="F120" t="s">
        <v>679</v>
      </c>
      <c r="G120" t="s">
        <v>167</v>
      </c>
      <c r="H120" t="s">
        <v>167</v>
      </c>
      <c r="I120" t="s">
        <v>306</v>
      </c>
      <c r="J120" t="s">
        <v>186</v>
      </c>
      <c r="K120" t="s">
        <v>186</v>
      </c>
      <c r="L120" t="s">
        <v>307</v>
      </c>
      <c r="M120" t="s">
        <v>680</v>
      </c>
      <c r="N120" t="s">
        <v>309</v>
      </c>
      <c r="O120" t="s">
        <v>310</v>
      </c>
      <c r="P120" t="s">
        <v>311</v>
      </c>
      <c r="Q120" t="s">
        <v>312</v>
      </c>
      <c r="R120" t="s">
        <v>313</v>
      </c>
      <c r="S120" t="s">
        <v>314</v>
      </c>
      <c r="T120" t="s">
        <v>333</v>
      </c>
      <c r="U120">
        <v>83</v>
      </c>
      <c r="V120">
        <v>2905</v>
      </c>
      <c r="W120">
        <v>2905</v>
      </c>
      <c r="X120">
        <v>1394.4</v>
      </c>
      <c r="Y120">
        <v>0</v>
      </c>
      <c r="Z120">
        <v>1510.6</v>
      </c>
      <c r="AA120">
        <v>1510.6</v>
      </c>
    </row>
    <row r="121" spans="1:27" x14ac:dyDescent="0.25">
      <c r="B121">
        <v>2026</v>
      </c>
      <c r="C121" t="s">
        <v>294</v>
      </c>
      <c r="D121" t="s">
        <v>681</v>
      </c>
      <c r="E121" t="s">
        <v>357</v>
      </c>
      <c r="F121" t="s">
        <v>682</v>
      </c>
      <c r="G121" t="s">
        <v>165</v>
      </c>
      <c r="H121" t="s">
        <v>165</v>
      </c>
      <c r="I121" t="s">
        <v>306</v>
      </c>
      <c r="J121" t="s">
        <v>186</v>
      </c>
      <c r="K121" t="s">
        <v>186</v>
      </c>
      <c r="L121" t="s">
        <v>307</v>
      </c>
      <c r="M121" t="s">
        <v>683</v>
      </c>
      <c r="N121" t="s">
        <v>309</v>
      </c>
      <c r="O121" t="s">
        <v>310</v>
      </c>
      <c r="P121" t="s">
        <v>311</v>
      </c>
      <c r="Q121" t="s">
        <v>312</v>
      </c>
      <c r="R121" t="s">
        <v>313</v>
      </c>
      <c r="S121" t="s">
        <v>320</v>
      </c>
      <c r="T121" t="s">
        <v>338</v>
      </c>
      <c r="U121">
        <v>94</v>
      </c>
      <c r="V121">
        <v>3196</v>
      </c>
      <c r="W121">
        <v>3196</v>
      </c>
      <c r="X121">
        <v>1551</v>
      </c>
      <c r="Y121">
        <v>0</v>
      </c>
      <c r="Z121">
        <v>1645</v>
      </c>
      <c r="AA121">
        <v>1645</v>
      </c>
    </row>
    <row r="122" spans="1:27" x14ac:dyDescent="0.25">
      <c r="B122">
        <v>2026</v>
      </c>
      <c r="C122" t="s">
        <v>503</v>
      </c>
      <c r="D122" t="s">
        <v>684</v>
      </c>
      <c r="E122" t="s">
        <v>361</v>
      </c>
      <c r="F122" t="s">
        <v>685</v>
      </c>
      <c r="G122" t="s">
        <v>158</v>
      </c>
      <c r="H122" t="s">
        <v>158</v>
      </c>
      <c r="I122" t="s">
        <v>306</v>
      </c>
      <c r="J122" t="s">
        <v>186</v>
      </c>
      <c r="K122" t="s">
        <v>186</v>
      </c>
      <c r="L122" t="s">
        <v>307</v>
      </c>
      <c r="M122" t="s">
        <v>686</v>
      </c>
      <c r="N122" t="s">
        <v>309</v>
      </c>
      <c r="O122" t="s">
        <v>310</v>
      </c>
      <c r="P122" t="s">
        <v>311</v>
      </c>
      <c r="Q122" t="s">
        <v>312</v>
      </c>
      <c r="R122" t="s">
        <v>313</v>
      </c>
      <c r="S122" t="s">
        <v>314</v>
      </c>
      <c r="T122" t="s">
        <v>315</v>
      </c>
      <c r="U122">
        <v>50</v>
      </c>
      <c r="V122">
        <v>1900</v>
      </c>
      <c r="W122">
        <v>1900</v>
      </c>
      <c r="X122">
        <v>925</v>
      </c>
      <c r="Y122">
        <v>0</v>
      </c>
      <c r="Z122">
        <v>975</v>
      </c>
      <c r="AA122">
        <v>975</v>
      </c>
    </row>
    <row r="123" spans="1:27" x14ac:dyDescent="0.25">
      <c r="B123">
        <v>2026</v>
      </c>
      <c r="C123" t="s">
        <v>503</v>
      </c>
      <c r="D123" t="s">
        <v>687</v>
      </c>
      <c r="E123" t="s">
        <v>365</v>
      </c>
      <c r="F123" t="s">
        <v>688</v>
      </c>
      <c r="G123" t="s">
        <v>163</v>
      </c>
      <c r="H123" t="s">
        <v>163</v>
      </c>
      <c r="I123" t="s">
        <v>306</v>
      </c>
      <c r="J123" t="s">
        <v>186</v>
      </c>
      <c r="K123" t="s">
        <v>186</v>
      </c>
      <c r="L123" t="s">
        <v>307</v>
      </c>
      <c r="M123" t="s">
        <v>689</v>
      </c>
      <c r="N123" t="s">
        <v>309</v>
      </c>
      <c r="O123" t="s">
        <v>310</v>
      </c>
      <c r="P123" t="s">
        <v>311</v>
      </c>
      <c r="Q123" t="s">
        <v>312</v>
      </c>
      <c r="R123" t="s">
        <v>313</v>
      </c>
      <c r="S123" t="s">
        <v>320</v>
      </c>
      <c r="T123" t="s">
        <v>321</v>
      </c>
      <c r="U123">
        <v>61</v>
      </c>
      <c r="V123">
        <v>2196</v>
      </c>
      <c r="W123">
        <v>2196</v>
      </c>
      <c r="X123">
        <v>1049.2</v>
      </c>
      <c r="Y123">
        <v>0</v>
      </c>
      <c r="Z123">
        <v>1146.8</v>
      </c>
      <c r="AA123">
        <v>1146.8</v>
      </c>
    </row>
    <row r="124" spans="1:27" x14ac:dyDescent="0.25">
      <c r="B124">
        <v>2026</v>
      </c>
      <c r="C124" t="s">
        <v>503</v>
      </c>
      <c r="D124" t="s">
        <v>690</v>
      </c>
      <c r="E124" t="s">
        <v>369</v>
      </c>
      <c r="F124" t="s">
        <v>691</v>
      </c>
      <c r="G124" t="s">
        <v>325</v>
      </c>
      <c r="H124" t="s">
        <v>325</v>
      </c>
      <c r="I124" t="s">
        <v>306</v>
      </c>
      <c r="J124" t="s">
        <v>186</v>
      </c>
      <c r="K124" t="s">
        <v>186</v>
      </c>
      <c r="L124" t="s">
        <v>307</v>
      </c>
      <c r="M124" t="s">
        <v>692</v>
      </c>
      <c r="N124" t="s">
        <v>309</v>
      </c>
      <c r="O124" t="s">
        <v>310</v>
      </c>
      <c r="P124" t="s">
        <v>311</v>
      </c>
      <c r="Q124" t="s">
        <v>312</v>
      </c>
      <c r="R124" t="s">
        <v>313</v>
      </c>
      <c r="S124" t="s">
        <v>327</v>
      </c>
      <c r="T124" t="s">
        <v>328</v>
      </c>
      <c r="U124">
        <v>72</v>
      </c>
      <c r="V124">
        <v>2592</v>
      </c>
      <c r="W124">
        <v>2592</v>
      </c>
      <c r="X124">
        <v>1260</v>
      </c>
      <c r="Y124">
        <v>0</v>
      </c>
      <c r="Z124">
        <v>1332</v>
      </c>
      <c r="AA124">
        <v>1332</v>
      </c>
    </row>
    <row r="125" spans="1:27" x14ac:dyDescent="0.25">
      <c r="B125">
        <v>2026</v>
      </c>
      <c r="C125" t="s">
        <v>503</v>
      </c>
      <c r="D125" t="s">
        <v>693</v>
      </c>
      <c r="E125" t="s">
        <v>373</v>
      </c>
      <c r="F125" t="s">
        <v>694</v>
      </c>
      <c r="G125" t="s">
        <v>167</v>
      </c>
      <c r="H125" t="s">
        <v>167</v>
      </c>
      <c r="I125" t="s">
        <v>306</v>
      </c>
      <c r="J125" t="s">
        <v>186</v>
      </c>
      <c r="K125" t="s">
        <v>186</v>
      </c>
      <c r="L125" t="s">
        <v>307</v>
      </c>
      <c r="M125" t="s">
        <v>695</v>
      </c>
      <c r="N125" t="s">
        <v>309</v>
      </c>
      <c r="O125" t="s">
        <v>310</v>
      </c>
      <c r="P125" t="s">
        <v>311</v>
      </c>
      <c r="Q125" t="s">
        <v>312</v>
      </c>
      <c r="R125" t="s">
        <v>313</v>
      </c>
      <c r="S125" t="s">
        <v>314</v>
      </c>
      <c r="T125" t="s">
        <v>333</v>
      </c>
      <c r="U125">
        <v>83</v>
      </c>
      <c r="V125">
        <v>2905</v>
      </c>
      <c r="W125">
        <v>2905</v>
      </c>
      <c r="X125">
        <v>1394.4</v>
      </c>
      <c r="Y125">
        <v>0</v>
      </c>
      <c r="Z125">
        <v>1510.6</v>
      </c>
      <c r="AA125">
        <v>1510.6</v>
      </c>
    </row>
    <row r="126" spans="1:27" x14ac:dyDescent="0.25">
      <c r="B126">
        <v>2026</v>
      </c>
      <c r="C126" t="s">
        <v>503</v>
      </c>
      <c r="D126" t="s">
        <v>696</v>
      </c>
      <c r="E126" t="s">
        <v>377</v>
      </c>
      <c r="F126" t="s">
        <v>697</v>
      </c>
      <c r="G126" t="s">
        <v>165</v>
      </c>
      <c r="H126" t="s">
        <v>165</v>
      </c>
      <c r="I126" t="s">
        <v>306</v>
      </c>
      <c r="J126" t="s">
        <v>186</v>
      </c>
      <c r="K126" t="s">
        <v>186</v>
      </c>
      <c r="L126" t="s">
        <v>307</v>
      </c>
      <c r="M126" t="s">
        <v>698</v>
      </c>
      <c r="N126" t="s">
        <v>309</v>
      </c>
      <c r="O126" t="s">
        <v>310</v>
      </c>
      <c r="P126" t="s">
        <v>311</v>
      </c>
      <c r="Q126" t="s">
        <v>312</v>
      </c>
      <c r="R126" t="s">
        <v>313</v>
      </c>
      <c r="S126" t="s">
        <v>320</v>
      </c>
      <c r="T126" t="s">
        <v>338</v>
      </c>
      <c r="U126">
        <v>94</v>
      </c>
      <c r="V126">
        <v>3196</v>
      </c>
      <c r="W126">
        <v>3196</v>
      </c>
      <c r="X126">
        <v>1551</v>
      </c>
      <c r="Y126">
        <v>0</v>
      </c>
      <c r="Z126">
        <v>1645</v>
      </c>
      <c r="AA126">
        <v>1645</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7"/>
  <sheetViews>
    <sheetView workbookViewId="0" showGridLines="0" zoomScale="100" zoomScaleNormal="100">
      <pane ySplit="3" topLeftCell="A254" activePane="bottomLeft" state="frozen"/>
      <selection pane="bottomLeft" activeCell="C277" sqref="C277"/>
    </sheetView>
  </sheetViews>
  <sheetFormatPr defaultRowHeight="15" outlineLevelRow="0" outlineLevelCol="0"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10" t="s">
        <v>709</v>
      </c>
      <c r="B1" s="110" t="s">
        <v>710</v>
      </c>
      <c r="C1" s="116" t="s">
        <v>742</v>
      </c>
      <c r="D1" s="110" t="s">
        <v>711</v>
      </c>
      <c r="E1" s="110"/>
      <c r="F1" s="110"/>
      <c r="G1" s="110"/>
      <c r="H1" s="110"/>
      <c r="I1" s="110"/>
      <c r="J1" s="110"/>
      <c r="K1" s="110"/>
      <c r="L1" s="43" t="s">
        <v>712</v>
      </c>
      <c r="M1" s="2"/>
      <c r="N1" s="2"/>
      <c r="O1" s="2"/>
      <c r="P1" s="2"/>
      <c r="Q1" s="2"/>
      <c r="R1" s="2"/>
      <c r="S1" s="2"/>
      <c r="T1" s="2"/>
      <c r="U1" s="2"/>
      <c r="V1" s="2"/>
      <c r="W1" s="2"/>
      <c r="X1" s="2"/>
      <c r="Y1" s="2"/>
      <c r="Z1" s="2"/>
    </row>
    <row r="2" ht="26.25" customHeight="1" spans="1:26" x14ac:dyDescent="0.25">
      <c r="A2" s="106" t="s">
        <v>713</v>
      </c>
      <c r="B2" s="106" t="s">
        <v>714</v>
      </c>
      <c r="C2" s="106" t="s">
        <v>715</v>
      </c>
      <c r="D2" s="106" t="s">
        <v>716</v>
      </c>
      <c r="E2" s="117" t="s">
        <v>717</v>
      </c>
      <c r="F2" s="117" t="s">
        <v>718</v>
      </c>
      <c r="G2" s="118" t="s">
        <v>721</v>
      </c>
      <c r="H2" s="118" t="s">
        <v>721</v>
      </c>
      <c r="I2" s="118" t="s">
        <v>721</v>
      </c>
      <c r="J2" s="118" t="s">
        <v>721</v>
      </c>
      <c r="K2" s="118" t="s">
        <v>721</v>
      </c>
      <c r="L2" s="44"/>
      <c r="M2" s="2"/>
      <c r="N2" s="2"/>
      <c r="O2" s="2"/>
      <c r="P2" s="2"/>
      <c r="Q2" s="2"/>
      <c r="R2" s="2"/>
      <c r="S2" s="2"/>
      <c r="T2" s="2"/>
      <c r="U2" s="2"/>
      <c r="V2" s="2"/>
      <c r="W2" s="2"/>
      <c r="X2" s="2"/>
      <c r="Y2" s="2"/>
      <c r="Z2" s="2"/>
    </row>
    <row r="3" ht="26.25" customHeight="1" spans="1:26" x14ac:dyDescent="0.25">
      <c r="A3" s="119" t="s">
        <v>719</v>
      </c>
      <c r="B3" s="120" t="s">
        <v>710</v>
      </c>
      <c r="C3" s="121" t="s">
        <v>707</v>
      </c>
      <c r="D3" s="122" t="s">
        <v>711</v>
      </c>
      <c r="E3" s="123" t="s">
        <v>743</v>
      </c>
      <c r="F3" s="124" t="s">
        <v>744</v>
      </c>
      <c r="G3" s="124" t="s">
        <v>745</v>
      </c>
      <c r="H3" s="124" t="s">
        <v>746</v>
      </c>
      <c r="I3" s="124" t="s">
        <v>747</v>
      </c>
      <c r="J3" s="124" t="s">
        <v>748</v>
      </c>
      <c r="K3" s="124" t="s">
        <v>749</v>
      </c>
      <c r="L3" s="112"/>
      <c r="M3" s="2"/>
      <c r="N3" s="2"/>
      <c r="O3" s="2"/>
      <c r="P3" s="2"/>
      <c r="Q3" s="2"/>
      <c r="R3" s="2"/>
      <c r="S3" s="2"/>
      <c r="T3" s="2"/>
      <c r="U3" s="2"/>
      <c r="V3" s="2"/>
      <c r="W3" s="2"/>
      <c r="X3" s="2"/>
      <c r="Y3" s="2"/>
      <c r="Z3" s="2"/>
    </row>
    <row r="4" ht="16.5" customHeight="1" spans="1:26" x14ac:dyDescent="0.25">
      <c r="A4" s="115"/>
      <c r="B4" s="125"/>
      <c r="C4" s="115"/>
      <c r="D4" s="125"/>
      <c r="E4" s="45"/>
      <c r="F4" s="45"/>
      <c r="G4" s="45"/>
      <c r="H4" s="45"/>
      <c r="I4" s="50"/>
      <c r="J4" s="50"/>
      <c r="K4" s="45"/>
      <c r="L4" s="2"/>
      <c r="M4" s="2"/>
      <c r="N4" s="2"/>
      <c r="O4" s="2"/>
      <c r="P4" s="2"/>
      <c r="Q4" s="2"/>
      <c r="R4" s="2"/>
      <c r="S4" s="2"/>
      <c r="T4" s="2"/>
      <c r="U4" s="2"/>
      <c r="V4" s="2"/>
      <c r="W4" s="2"/>
      <c r="X4" s="2"/>
      <c r="Y4" s="2"/>
      <c r="Z4" s="2"/>
    </row>
    <row r="5" ht="16.5" customHeight="1" spans="1:26" x14ac:dyDescent="0.25">
      <c r="A5" s="115"/>
      <c r="B5" s="115"/>
      <c r="C5" s="115"/>
      <c r="D5" s="115"/>
      <c r="E5" s="45"/>
      <c r="F5" s="45"/>
      <c r="G5" s="45"/>
      <c r="H5" s="45"/>
      <c r="I5" s="50"/>
      <c r="J5" s="50"/>
      <c r="K5" s="45"/>
      <c r="L5" s="2"/>
      <c r="M5" s="2"/>
      <c r="N5" s="2"/>
      <c r="O5" s="2"/>
      <c r="P5" s="2"/>
      <c r="Q5" s="2"/>
      <c r="R5" s="2"/>
      <c r="S5" s="2"/>
      <c r="T5" s="2"/>
      <c r="U5" s="2"/>
      <c r="V5" s="2"/>
      <c r="W5" s="2"/>
      <c r="X5" s="2"/>
      <c r="Y5" s="2"/>
      <c r="Z5" s="2"/>
    </row>
    <row r="6" ht="16.5" customHeight="1" spans="1:26" x14ac:dyDescent="0.25">
      <c r="A6" s="115"/>
      <c r="B6" s="115"/>
      <c r="C6" s="115"/>
      <c r="D6" s="115"/>
      <c r="E6" s="45"/>
      <c r="F6" s="45"/>
      <c r="G6" s="45"/>
      <c r="H6" s="45"/>
      <c r="I6" s="50"/>
      <c r="J6" s="50"/>
      <c r="K6" s="45"/>
      <c r="L6" s="2"/>
      <c r="M6" s="2"/>
      <c r="N6" s="2"/>
      <c r="O6" s="2"/>
      <c r="P6" s="2"/>
      <c r="Q6" s="2"/>
      <c r="R6" s="2"/>
      <c r="S6" s="2"/>
      <c r="T6" s="2"/>
      <c r="U6" s="2"/>
      <c r="V6" s="2"/>
      <c r="W6" s="2"/>
      <c r="X6" s="2"/>
      <c r="Y6" s="2"/>
      <c r="Z6" s="2"/>
    </row>
    <row r="7" spans="1:12" x14ac:dyDescent="0.25">
      <c r="B7" t="s">
        <v>157</v>
      </c>
      <c r="C7" t="s">
        <v>158</v>
      </c>
      <c r="D7" t="s">
        <v>159</v>
      </c>
      <c r="E7" t="s">
        <v>160</v>
      </c>
      <c r="F7">
        <v>450</v>
      </c>
      <c r="G7">
        <v>50</v>
      </c>
      <c r="H7">
        <v>200</v>
      </c>
      <c r="I7">
        <v>100</v>
      </c>
      <c r="J7">
        <v>18.5</v>
      </c>
      <c r="K7">
        <v>450</v>
      </c>
      <c r="L7">
        <v>400</v>
      </c>
    </row>
    <row r="8" spans="1:12" x14ac:dyDescent="0.25">
      <c r="B8" t="s">
        <v>161</v>
      </c>
      <c r="C8" t="s">
        <v>158</v>
      </c>
      <c r="D8" t="s">
        <v>159</v>
      </c>
      <c r="E8" t="s">
        <v>160</v>
      </c>
      <c r="F8">
        <v>320</v>
      </c>
      <c r="G8">
        <v>20</v>
      </c>
      <c r="H8">
        <v>0</v>
      </c>
      <c r="I8">
        <v>0</v>
      </c>
      <c r="J8">
        <v>18.5</v>
      </c>
      <c r="K8">
        <v>320</v>
      </c>
      <c r="L8">
        <v>300</v>
      </c>
    </row>
    <row r="9" spans="1:12" x14ac:dyDescent="0.25">
      <c r="B9" t="s">
        <v>162</v>
      </c>
      <c r="C9" t="s">
        <v>158</v>
      </c>
      <c r="D9" t="s">
        <v>159</v>
      </c>
      <c r="E9" t="s">
        <v>160</v>
      </c>
      <c r="F9">
        <v>1200</v>
      </c>
      <c r="G9">
        <v>150</v>
      </c>
      <c r="H9">
        <v>500</v>
      </c>
      <c r="I9">
        <v>200</v>
      </c>
      <c r="J9">
        <v>18.5</v>
      </c>
      <c r="K9">
        <v>1200</v>
      </c>
      <c r="L9">
        <v>1050</v>
      </c>
    </row>
    <row r="10" spans="1:12" x14ac:dyDescent="0.25">
      <c r="B10" t="s">
        <v>157</v>
      </c>
      <c r="C10" t="s">
        <v>163</v>
      </c>
      <c r="D10" t="s">
        <v>164</v>
      </c>
      <c r="E10" t="s">
        <v>160</v>
      </c>
      <c r="F10">
        <v>580</v>
      </c>
      <c r="G10">
        <v>80</v>
      </c>
      <c r="H10">
        <v>150</v>
      </c>
      <c r="I10">
        <v>50</v>
      </c>
      <c r="J10">
        <v>17.2</v>
      </c>
      <c r="K10">
        <v>580</v>
      </c>
      <c r="L10">
        <v>500</v>
      </c>
    </row>
    <row r="11" spans="1:12" x14ac:dyDescent="0.25">
      <c r="B11" t="s">
        <v>161</v>
      </c>
      <c r="C11" t="s">
        <v>163</v>
      </c>
      <c r="D11" t="s">
        <v>164</v>
      </c>
      <c r="E11" t="s">
        <v>160</v>
      </c>
      <c r="F11">
        <v>240</v>
      </c>
      <c r="G11">
        <v>10</v>
      </c>
      <c r="H11">
        <v>0</v>
      </c>
      <c r="I11">
        <v>0</v>
      </c>
      <c r="J11">
        <v>17.2</v>
      </c>
      <c r="K11">
        <v>240</v>
      </c>
      <c r="L11">
        <v>230</v>
      </c>
    </row>
    <row r="12" spans="1:12" x14ac:dyDescent="0.25">
      <c r="B12" t="s">
        <v>162</v>
      </c>
      <c r="C12" t="s">
        <v>163</v>
      </c>
      <c r="D12" t="s">
        <v>164</v>
      </c>
      <c r="E12" t="s">
        <v>160</v>
      </c>
      <c r="F12">
        <v>890</v>
      </c>
      <c r="G12">
        <v>90</v>
      </c>
      <c r="H12">
        <v>300</v>
      </c>
      <c r="I12">
        <v>100</v>
      </c>
      <c r="J12">
        <v>17.2</v>
      </c>
      <c r="K12">
        <v>890</v>
      </c>
      <c r="L12">
        <v>800</v>
      </c>
    </row>
    <row r="13" spans="1:12" x14ac:dyDescent="0.25">
      <c r="B13" t="s">
        <v>157</v>
      </c>
      <c r="C13" t="s">
        <v>165</v>
      </c>
      <c r="D13" t="s">
        <v>166</v>
      </c>
      <c r="E13" t="s">
        <v>160</v>
      </c>
      <c r="F13">
        <v>420</v>
      </c>
      <c r="G13">
        <v>40</v>
      </c>
      <c r="H13">
        <v>100</v>
      </c>
      <c r="I13">
        <v>50</v>
      </c>
      <c r="J13">
        <v>17.5</v>
      </c>
      <c r="K13">
        <v>420</v>
      </c>
      <c r="L13">
        <v>380</v>
      </c>
    </row>
    <row r="14" spans="1:12" x14ac:dyDescent="0.25">
      <c r="B14" t="s">
        <v>161</v>
      </c>
      <c r="C14" t="s">
        <v>165</v>
      </c>
      <c r="D14" t="s">
        <v>166</v>
      </c>
      <c r="E14" t="s">
        <v>160</v>
      </c>
      <c r="F14">
        <v>180</v>
      </c>
      <c r="G14">
        <v>15</v>
      </c>
      <c r="H14">
        <v>0</v>
      </c>
      <c r="I14">
        <v>0</v>
      </c>
      <c r="J14">
        <v>17.5</v>
      </c>
      <c r="K14">
        <v>180</v>
      </c>
      <c r="L14">
        <v>165</v>
      </c>
    </row>
    <row r="15" spans="1:12" x14ac:dyDescent="0.25">
      <c r="B15" t="s">
        <v>162</v>
      </c>
      <c r="C15" t="s">
        <v>165</v>
      </c>
      <c r="D15" t="s">
        <v>166</v>
      </c>
      <c r="E15" t="s">
        <v>160</v>
      </c>
      <c r="F15">
        <v>750</v>
      </c>
      <c r="G15">
        <v>60</v>
      </c>
      <c r="H15">
        <v>250</v>
      </c>
      <c r="I15">
        <v>80</v>
      </c>
      <c r="J15">
        <v>17.5</v>
      </c>
      <c r="K15">
        <v>750</v>
      </c>
      <c r="L15">
        <v>690</v>
      </c>
    </row>
    <row r="16" spans="1:12" x14ac:dyDescent="0.25">
      <c r="B16" t="s">
        <v>157</v>
      </c>
      <c r="C16" t="s">
        <v>167</v>
      </c>
      <c r="D16" t="s">
        <v>168</v>
      </c>
      <c r="E16" t="s">
        <v>160</v>
      </c>
      <c r="F16">
        <v>390</v>
      </c>
      <c r="G16">
        <v>30</v>
      </c>
      <c r="H16">
        <v>100</v>
      </c>
      <c r="I16">
        <v>0</v>
      </c>
      <c r="J16">
        <v>16.8</v>
      </c>
      <c r="K16">
        <v>390</v>
      </c>
      <c r="L16">
        <v>360</v>
      </c>
    </row>
    <row r="17" spans="1:12" x14ac:dyDescent="0.25">
      <c r="B17" t="s">
        <v>162</v>
      </c>
      <c r="C17" t="s">
        <v>167</v>
      </c>
      <c r="D17" t="s">
        <v>169</v>
      </c>
      <c r="E17" t="s">
        <v>160</v>
      </c>
      <c r="F17">
        <v>920</v>
      </c>
      <c r="G17">
        <v>100</v>
      </c>
      <c r="H17">
        <v>400</v>
      </c>
      <c r="I17">
        <v>150</v>
      </c>
      <c r="J17">
        <v>16.5</v>
      </c>
      <c r="K17">
        <v>920</v>
      </c>
      <c r="L17">
        <v>820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8"/>
  <sheetViews>
    <sheetView workbookViewId="0" showGridLines="0" zoomScale="100" zoomScaleNormal="100">
      <pane ySplit="3" topLeftCell="A45" activePane="bottomLeft" state="frozen"/>
      <selection pane="bottomLeft" activeCell="J67" sqref="J67"/>
    </sheetView>
  </sheetViews>
  <sheetFormatPr defaultRowHeight="15" outlineLevelRow="0" outlineLevelCol="0" x14ac:dyDescent="0.25"/>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10" t="s">
        <v>709</v>
      </c>
      <c r="B1" s="110" t="s">
        <v>710</v>
      </c>
      <c r="C1" s="110"/>
      <c r="D1" s="49" t="s">
        <v>711</v>
      </c>
      <c r="E1" s="49"/>
      <c r="F1" s="49"/>
      <c r="G1" s="49"/>
      <c r="H1" s="49"/>
      <c r="I1" s="49"/>
      <c r="J1" s="49"/>
      <c r="K1" s="110"/>
      <c r="L1" s="43" t="s">
        <v>712</v>
      </c>
      <c r="M1" s="2"/>
      <c r="N1" s="2"/>
      <c r="O1" s="2"/>
      <c r="P1" s="2"/>
      <c r="Q1" s="2"/>
      <c r="R1" s="2"/>
      <c r="S1" s="2"/>
      <c r="T1" s="2"/>
      <c r="U1" s="2"/>
      <c r="V1" s="2"/>
      <c r="W1" s="2"/>
      <c r="X1" s="2"/>
      <c r="Y1" s="2"/>
      <c r="Z1" s="2"/>
    </row>
    <row r="2" ht="26.25" customHeight="1" spans="1:26" x14ac:dyDescent="0.25">
      <c r="A2" s="106" t="s">
        <v>713</v>
      </c>
      <c r="B2" s="106" t="s">
        <v>714</v>
      </c>
      <c r="C2" s="106" t="s">
        <v>715</v>
      </c>
      <c r="D2" s="106" t="s">
        <v>716</v>
      </c>
      <c r="E2" s="106" t="s">
        <v>717</v>
      </c>
      <c r="F2" s="106" t="s">
        <v>718</v>
      </c>
      <c r="G2" s="44"/>
      <c r="H2" s="44"/>
      <c r="I2" s="44"/>
      <c r="J2" s="44"/>
      <c r="K2" s="44"/>
      <c r="L2" s="44"/>
      <c r="M2" s="2"/>
      <c r="N2" s="2"/>
      <c r="O2" s="2"/>
      <c r="P2" s="2"/>
      <c r="Q2" s="2"/>
      <c r="R2" s="2"/>
      <c r="S2" s="2"/>
      <c r="T2" s="2"/>
      <c r="U2" s="2"/>
      <c r="V2" s="2"/>
      <c r="W2" s="2"/>
      <c r="X2" s="2"/>
      <c r="Y2" s="2"/>
      <c r="Z2" s="2"/>
    </row>
    <row r="3" ht="26.25" customHeight="1" spans="1:26" x14ac:dyDescent="0.25">
      <c r="A3" s="107" t="s">
        <v>719</v>
      </c>
      <c r="B3" s="111" t="s">
        <v>710</v>
      </c>
      <c r="C3" s="112"/>
      <c r="D3" s="113" t="s">
        <v>711</v>
      </c>
      <c r="E3" s="112"/>
      <c r="F3" s="112"/>
      <c r="G3" s="112"/>
      <c r="H3" s="112"/>
      <c r="I3" s="112"/>
      <c r="J3" s="112"/>
      <c r="K3" s="112"/>
      <c r="L3" s="112"/>
      <c r="M3" s="2"/>
      <c r="N3" s="2"/>
      <c r="O3" s="2"/>
      <c r="P3" s="2"/>
      <c r="Q3" s="2"/>
      <c r="R3" s="2"/>
      <c r="S3" s="2"/>
      <c r="T3" s="2"/>
      <c r="U3" s="2"/>
      <c r="V3" s="2"/>
      <c r="W3" s="2"/>
      <c r="X3" s="2"/>
      <c r="Y3" s="2"/>
      <c r="Z3" s="2"/>
    </row>
    <row r="4" ht="16.5" customHeight="1" spans="1:26" x14ac:dyDescent="0.25">
      <c r="A4" s="2" t="s">
        <v>750</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14" t="s">
        <v>721</v>
      </c>
      <c r="Q5" s="114" t="s">
        <v>721</v>
      </c>
      <c r="R5" s="114" t="s">
        <v>721</v>
      </c>
      <c r="S5" s="114" t="s">
        <v>721</v>
      </c>
      <c r="T5" s="114" t="s">
        <v>721</v>
      </c>
      <c r="U5" s="2"/>
      <c r="V5" s="2"/>
      <c r="W5" s="2"/>
      <c r="X5" s="2"/>
      <c r="Y5" s="2"/>
      <c r="Z5" s="2"/>
    </row>
    <row r="6" ht="16.5" customHeight="1" spans="1:26" x14ac:dyDescent="0.25">
      <c r="A6" s="115" t="s">
        <v>751</v>
      </c>
      <c r="B6" s="115" t="s">
        <v>705</v>
      </c>
      <c r="C6" s="115" t="s">
        <v>752</v>
      </c>
      <c r="D6" s="115" t="s">
        <v>753</v>
      </c>
      <c r="E6" s="115" t="s">
        <v>754</v>
      </c>
      <c r="F6" s="115" t="s">
        <v>755</v>
      </c>
      <c r="G6" s="115" t="s">
        <v>726</v>
      </c>
      <c r="H6" s="115" t="s">
        <v>67</v>
      </c>
      <c r="I6" s="115" t="s">
        <v>727</v>
      </c>
      <c r="J6" s="115" t="s">
        <v>256</v>
      </c>
      <c r="K6" s="115" t="s">
        <v>707</v>
      </c>
      <c r="L6" s="115" t="s">
        <v>731</v>
      </c>
      <c r="M6" s="115" t="s">
        <v>756</v>
      </c>
      <c r="N6" s="115" t="s">
        <v>757</v>
      </c>
      <c r="O6" s="115" t="s">
        <v>18</v>
      </c>
      <c r="P6" s="115" t="s">
        <v>736</v>
      </c>
      <c r="Q6" s="115" t="s">
        <v>758</v>
      </c>
      <c r="R6" s="115" t="s">
        <v>759</v>
      </c>
      <c r="S6" s="115" t="s">
        <v>760</v>
      </c>
      <c r="T6" s="115" t="s">
        <v>761</v>
      </c>
      <c r="U6" s="2"/>
      <c r="V6" s="2"/>
      <c r="W6" s="2"/>
      <c r="X6" s="2"/>
      <c r="Y6" s="2"/>
      <c r="Z6" s="2"/>
    </row>
    <row r="7" spans="1:21" x14ac:dyDescent="0.25">
      <c r="B7" t="s">
        <v>178</v>
      </c>
      <c r="C7" t="s">
        <v>179</v>
      </c>
      <c r="D7" t="s">
        <v>180</v>
      </c>
      <c r="E7" s="51">
        <v>46600</v>
      </c>
      <c r="F7" t="s">
        <v>182</v>
      </c>
      <c r="G7" t="s">
        <v>183</v>
      </c>
      <c r="H7" t="s">
        <v>184</v>
      </c>
      <c r="I7" t="s">
        <v>185</v>
      </c>
      <c r="J7" t="s">
        <v>186</v>
      </c>
      <c r="K7" t="s">
        <v>187</v>
      </c>
      <c r="L7" t="s">
        <v>188</v>
      </c>
      <c r="M7" t="s">
        <v>189</v>
      </c>
      <c r="N7" t="s">
        <v>190</v>
      </c>
      <c r="O7" t="s">
        <v>191</v>
      </c>
      <c r="P7" t="s">
        <v>192</v>
      </c>
      <c r="Q7">
        <v>1</v>
      </c>
      <c r="R7">
        <v>NaN</v>
      </c>
      <c r="S7">
        <v>0</v>
      </c>
      <c r="T7">
        <v>0</v>
      </c>
      <c r="U7">
        <v>0</v>
      </c>
    </row>
    <row r="8" spans="1:21" x14ac:dyDescent="0.25">
      <c r="B8" t="s">
        <v>178</v>
      </c>
      <c r="C8" t="s">
        <v>179</v>
      </c>
      <c r="D8" t="s">
        <v>180</v>
      </c>
      <c r="E8" s="51">
        <v>46600</v>
      </c>
      <c r="F8" t="s">
        <v>182</v>
      </c>
      <c r="G8" t="s">
        <v>183</v>
      </c>
      <c r="H8" t="s">
        <v>184</v>
      </c>
      <c r="I8" t="s">
        <v>185</v>
      </c>
      <c r="J8" t="s">
        <v>186</v>
      </c>
      <c r="K8" t="s">
        <v>187</v>
      </c>
      <c r="L8" t="s">
        <v>188</v>
      </c>
      <c r="M8" t="s">
        <v>189</v>
      </c>
      <c r="N8" t="s">
        <v>190</v>
      </c>
      <c r="O8" t="s">
        <v>191</v>
      </c>
      <c r="P8" t="s">
        <v>193</v>
      </c>
      <c r="Q8">
        <v>1</v>
      </c>
      <c r="R8">
        <v>NaN</v>
      </c>
      <c r="S8">
        <v>0</v>
      </c>
      <c r="T8">
        <v>0</v>
      </c>
      <c r="U8">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Q32" sqref="Q32"/>
    </sheetView>
  </sheetViews>
  <sheetFormatPr defaultRowHeight="15" outlineLevelRow="0" outlineLevelCol="0" x14ac:dyDescent="0.25"/>
  <cols>
    <col min="1" max="1" width="68.42578125" customWidth="1"/>
  </cols>
  <sheetData>
    <row r="1" ht="20.25" customHeight="1" spans="1:26" x14ac:dyDescent="0.25">
      <c r="A1" s="46" t="s">
        <v>762</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763</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764</v>
      </c>
      <c r="B4" s="126">
        <v>46106</v>
      </c>
      <c r="C4" s="126">
        <v>46228</v>
      </c>
      <c r="D4" s="126">
        <v>46259</v>
      </c>
      <c r="E4" s="126">
        <v>46290</v>
      </c>
      <c r="F4" s="126">
        <v>46320</v>
      </c>
      <c r="G4" s="126">
        <v>46351</v>
      </c>
      <c r="H4" s="126">
        <v>46381</v>
      </c>
      <c r="I4" s="126">
        <v>46048</v>
      </c>
      <c r="J4" s="126">
        <v>46079</v>
      </c>
      <c r="K4" s="126">
        <v>46107</v>
      </c>
      <c r="L4" s="2"/>
      <c r="M4" s="127" t="s">
        <v>196</v>
      </c>
      <c r="N4" s="128" t="s">
        <v>765</v>
      </c>
      <c r="O4" s="2"/>
      <c r="P4" s="2"/>
      <c r="Q4" s="2"/>
      <c r="R4" s="2"/>
      <c r="S4" s="2"/>
      <c r="T4" s="2"/>
      <c r="U4" s="2"/>
      <c r="V4" s="2"/>
      <c r="W4" s="2"/>
      <c r="X4" s="2"/>
      <c r="Y4" s="2"/>
      <c r="Z4" s="2"/>
    </row>
    <row r="5" ht="16.5" customHeight="1" spans="1:26" x14ac:dyDescent="0.25">
      <c r="A5" s="129" t="s">
        <v>766</v>
      </c>
      <c r="B5" s="130">
        <v>0</v>
      </c>
      <c r="C5" s="130">
        <v>0</v>
      </c>
      <c r="D5" s="130">
        <v>0</v>
      </c>
      <c r="E5" s="130">
        <v>0</v>
      </c>
      <c r="F5" s="130">
        <v>0</v>
      </c>
      <c r="G5" s="130">
        <v>0</v>
      </c>
      <c r="H5" s="130">
        <v>0</v>
      </c>
      <c r="I5" s="130">
        <v>0</v>
      </c>
      <c r="J5" s="130">
        <v>0</v>
      </c>
      <c r="K5" s="130">
        <v>0</v>
      </c>
      <c r="L5" s="2"/>
      <c r="M5" s="55">
        <f>SUM(B5:K5)</f>
        <v>0</v>
      </c>
      <c r="N5" s="131" t="s">
        <v>767</v>
      </c>
      <c r="O5" s="2"/>
      <c r="P5" s="2"/>
      <c r="Q5" s="2"/>
      <c r="R5" s="2"/>
      <c r="S5" s="2"/>
      <c r="T5" s="2"/>
      <c r="U5" s="2"/>
      <c r="V5" s="2"/>
      <c r="W5" s="2"/>
      <c r="X5" s="2"/>
      <c r="Y5" s="2"/>
      <c r="Z5" s="2"/>
    </row>
    <row r="6" ht="16.5" customHeight="1" spans="1:26" x14ac:dyDescent="0.25">
      <c r="A6" s="129" t="s">
        <v>768</v>
      </c>
      <c r="B6" s="130">
        <v>0</v>
      </c>
      <c r="C6" s="130">
        <v>0</v>
      </c>
      <c r="D6" s="130">
        <v>0</v>
      </c>
      <c r="E6" s="130">
        <v>0</v>
      </c>
      <c r="F6" s="130">
        <v>0</v>
      </c>
      <c r="G6" s="130">
        <v>0</v>
      </c>
      <c r="H6" s="130">
        <v>0</v>
      </c>
      <c r="I6" s="130">
        <v>0</v>
      </c>
      <c r="J6" s="130">
        <v>0</v>
      </c>
      <c r="K6" s="130">
        <v>0</v>
      </c>
      <c r="L6" s="2"/>
      <c r="M6" s="55">
        <f>SUM(B6:K6)</f>
        <v>0</v>
      </c>
      <c r="N6" s="131" t="s">
        <v>769</v>
      </c>
      <c r="O6" s="2"/>
      <c r="P6" s="2"/>
      <c r="Q6" s="2"/>
      <c r="R6" s="2"/>
      <c r="S6" s="2"/>
      <c r="T6" s="2"/>
      <c r="U6" s="2"/>
      <c r="V6" s="2"/>
      <c r="W6" s="2"/>
      <c r="X6" s="2"/>
      <c r="Y6" s="2"/>
      <c r="Z6" s="2"/>
    </row>
    <row r="7" ht="16.5" customHeight="1" spans="1:26" x14ac:dyDescent="0.25">
      <c r="A7" s="129" t="s">
        <v>770</v>
      </c>
      <c r="B7" s="130">
        <v>0</v>
      </c>
      <c r="C7" s="130">
        <v>0</v>
      </c>
      <c r="D7" s="130">
        <v>0</v>
      </c>
      <c r="E7" s="130">
        <v>0</v>
      </c>
      <c r="F7" s="130">
        <v>0</v>
      </c>
      <c r="G7" s="130">
        <v>0</v>
      </c>
      <c r="H7" s="130">
        <v>0</v>
      </c>
      <c r="I7" s="130">
        <v>0</v>
      </c>
      <c r="J7" s="130">
        <v>0</v>
      </c>
      <c r="K7" s="130">
        <v>0</v>
      </c>
      <c r="L7" s="2"/>
      <c r="M7" s="55">
        <f>SUM(B7:K7)</f>
        <v>0</v>
      </c>
      <c r="N7" s="131" t="s">
        <v>771</v>
      </c>
      <c r="O7" s="2"/>
      <c r="P7" s="2"/>
      <c r="Q7" s="2"/>
      <c r="R7" s="2"/>
      <c r="S7" s="2"/>
      <c r="T7" s="2"/>
      <c r="U7" s="2"/>
      <c r="V7" s="2"/>
      <c r="W7" s="2"/>
      <c r="X7" s="2"/>
      <c r="Y7" s="2"/>
      <c r="Z7" s="2"/>
    </row>
    <row r="8" ht="16.5" customHeight="1" spans="1:26" x14ac:dyDescent="0.25">
      <c r="A8" s="129" t="s">
        <v>772</v>
      </c>
      <c r="B8" s="130">
        <v>0</v>
      </c>
      <c r="C8" s="130">
        <v>0</v>
      </c>
      <c r="D8" s="130">
        <v>0</v>
      </c>
      <c r="E8" s="130">
        <v>0</v>
      </c>
      <c r="F8" s="130">
        <v>0</v>
      </c>
      <c r="G8" s="130">
        <v>0</v>
      </c>
      <c r="H8" s="130">
        <v>0</v>
      </c>
      <c r="I8" s="130">
        <v>0</v>
      </c>
      <c r="J8" s="130">
        <v>0</v>
      </c>
      <c r="K8" s="130">
        <v>0</v>
      </c>
      <c r="L8" s="2"/>
      <c r="M8" s="55">
        <f>SUM(B8:K8)</f>
        <v>0</v>
      </c>
      <c r="N8" s="131" t="s">
        <v>773</v>
      </c>
      <c r="O8" s="2"/>
      <c r="P8" s="2"/>
      <c r="Q8" s="2"/>
      <c r="R8" s="2"/>
      <c r="S8" s="2"/>
      <c r="T8" s="2"/>
      <c r="U8" s="2"/>
      <c r="V8" s="2"/>
      <c r="W8" s="2"/>
      <c r="X8" s="2"/>
      <c r="Y8" s="2"/>
      <c r="Z8" s="2"/>
    </row>
    <row r="9" ht="16.5" customHeight="1" spans="1:26" x14ac:dyDescent="0.25">
      <c r="A9" s="132" t="s">
        <v>774</v>
      </c>
      <c r="B9" s="57">
        <f t="shared" ref="B9:K9" si="0">SUM(B5:B8)</f>
        <v>0</v>
      </c>
      <c r="C9" s="57">
        <f t="shared" si="0"/>
        <v>0</v>
      </c>
      <c r="D9" s="57">
        <f t="shared" si="0"/>
        <v>0</v>
      </c>
      <c r="E9" s="57">
        <f t="shared" si="0"/>
        <v>0</v>
      </c>
      <c r="F9" s="57">
        <f t="shared" si="0"/>
        <v>0</v>
      </c>
      <c r="G9" s="57">
        <f t="shared" si="0"/>
        <v>0</v>
      </c>
      <c r="H9" s="57">
        <f t="shared" si="0"/>
        <v>0</v>
      </c>
      <c r="I9" s="57">
        <f t="shared" si="0"/>
        <v>0</v>
      </c>
      <c r="J9" s="57">
        <f t="shared" si="0"/>
        <v>0</v>
      </c>
      <c r="K9" s="57">
        <f t="shared" si="0"/>
        <v>0</v>
      </c>
      <c r="L9" s="2"/>
      <c r="M9" s="57">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775</v>
      </c>
      <c r="B11" s="126">
        <v>46106</v>
      </c>
      <c r="C11" s="126">
        <v>46228</v>
      </c>
      <c r="D11" s="126">
        <v>46259</v>
      </c>
      <c r="E11" s="126">
        <v>46290</v>
      </c>
      <c r="F11" s="126">
        <v>46320</v>
      </c>
      <c r="G11" s="126">
        <v>46351</v>
      </c>
      <c r="H11" s="126">
        <v>46381</v>
      </c>
      <c r="I11" s="126">
        <v>46048</v>
      </c>
      <c r="J11" s="126">
        <v>46079</v>
      </c>
      <c r="K11" s="126">
        <v>46107</v>
      </c>
      <c r="L11" s="2"/>
      <c r="M11" s="127" t="s">
        <v>196</v>
      </c>
      <c r="N11" s="133" t="s">
        <v>765</v>
      </c>
      <c r="O11" s="2"/>
      <c r="P11" s="2"/>
      <c r="Q11" s="2"/>
      <c r="R11" s="2"/>
      <c r="S11" s="2"/>
      <c r="T11" s="2"/>
      <c r="U11" s="2"/>
      <c r="V11" s="2"/>
      <c r="W11" s="2"/>
      <c r="X11" s="2"/>
      <c r="Y11" s="2"/>
      <c r="Z11" s="2"/>
    </row>
    <row r="12" ht="16.5" customHeight="1" spans="1:26" x14ac:dyDescent="0.25">
      <c r="A12" s="129" t="s">
        <v>776</v>
      </c>
      <c r="B12" s="130">
        <v>0</v>
      </c>
      <c r="C12" s="130">
        <v>0</v>
      </c>
      <c r="D12" s="130">
        <v>0</v>
      </c>
      <c r="E12" s="130">
        <v>0</v>
      </c>
      <c r="F12" s="130">
        <v>0</v>
      </c>
      <c r="G12" s="130">
        <v>0</v>
      </c>
      <c r="H12" s="130">
        <v>0</v>
      </c>
      <c r="I12" s="130">
        <v>0</v>
      </c>
      <c r="J12" s="130">
        <v>0</v>
      </c>
      <c r="K12" s="130">
        <v>0</v>
      </c>
      <c r="L12" s="2"/>
      <c r="M12" s="55">
        <f t="shared" ref="M12:M18" si="1">SUM(B12:K12)</f>
        <v>0</v>
      </c>
      <c r="N12" s="131" t="s">
        <v>777</v>
      </c>
      <c r="O12" s="2"/>
      <c r="P12" s="2"/>
      <c r="Q12" s="2"/>
      <c r="R12" s="2"/>
      <c r="S12" s="2"/>
      <c r="T12" s="2"/>
      <c r="U12" s="2"/>
      <c r="V12" s="2"/>
      <c r="W12" s="2"/>
      <c r="X12" s="2"/>
      <c r="Y12" s="2"/>
      <c r="Z12" s="2"/>
    </row>
    <row r="13" ht="16.5" customHeight="1" spans="1:26" x14ac:dyDescent="0.25">
      <c r="A13" s="129" t="s">
        <v>778</v>
      </c>
      <c r="B13" s="130">
        <v>0</v>
      </c>
      <c r="C13" s="130">
        <v>0</v>
      </c>
      <c r="D13" s="130">
        <v>0</v>
      </c>
      <c r="E13" s="130">
        <v>0</v>
      </c>
      <c r="F13" s="130">
        <v>0</v>
      </c>
      <c r="G13" s="130">
        <v>0</v>
      </c>
      <c r="H13" s="130">
        <v>0</v>
      </c>
      <c r="I13" s="130">
        <v>0</v>
      </c>
      <c r="J13" s="130">
        <v>0</v>
      </c>
      <c r="K13" s="130">
        <v>0</v>
      </c>
      <c r="L13" s="2"/>
      <c r="M13" s="55">
        <f t="shared" si="1"/>
        <v>0</v>
      </c>
      <c r="N13" s="131" t="s">
        <v>779</v>
      </c>
      <c r="O13" s="2"/>
      <c r="P13" s="2"/>
      <c r="Q13" s="2"/>
      <c r="R13" s="2"/>
      <c r="S13" s="2"/>
      <c r="T13" s="2"/>
      <c r="U13" s="2"/>
      <c r="V13" s="2"/>
      <c r="W13" s="2"/>
      <c r="X13" s="2"/>
      <c r="Y13" s="2"/>
      <c r="Z13" s="2"/>
    </row>
    <row r="14" ht="16.5" customHeight="1" spans="1:26" x14ac:dyDescent="0.25">
      <c r="A14" s="129" t="s">
        <v>780</v>
      </c>
      <c r="B14" s="130">
        <v>0</v>
      </c>
      <c r="C14" s="130">
        <v>0</v>
      </c>
      <c r="D14" s="130">
        <v>0</v>
      </c>
      <c r="E14" s="130">
        <v>0</v>
      </c>
      <c r="F14" s="130">
        <v>0</v>
      </c>
      <c r="G14" s="130">
        <v>0</v>
      </c>
      <c r="H14" s="130">
        <v>0</v>
      </c>
      <c r="I14" s="130">
        <v>0</v>
      </c>
      <c r="J14" s="130">
        <v>0</v>
      </c>
      <c r="K14" s="130">
        <v>0</v>
      </c>
      <c r="L14" s="2"/>
      <c r="M14" s="55">
        <f t="shared" si="1"/>
        <v>0</v>
      </c>
      <c r="N14" s="131" t="s">
        <v>781</v>
      </c>
      <c r="O14" s="2"/>
      <c r="P14" s="2"/>
      <c r="Q14" s="2"/>
      <c r="R14" s="2"/>
      <c r="S14" s="2"/>
      <c r="T14" s="2"/>
      <c r="U14" s="2"/>
      <c r="V14" s="2"/>
      <c r="W14" s="2"/>
      <c r="X14" s="2"/>
      <c r="Y14" s="2"/>
      <c r="Z14" s="2"/>
    </row>
    <row r="15" ht="16.5" customHeight="1" spans="1:26" x14ac:dyDescent="0.25">
      <c r="A15" s="129" t="s">
        <v>782</v>
      </c>
      <c r="B15" s="130">
        <v>0</v>
      </c>
      <c r="C15" s="130">
        <v>0</v>
      </c>
      <c r="D15" s="130">
        <v>0</v>
      </c>
      <c r="E15" s="130">
        <v>0</v>
      </c>
      <c r="F15" s="130">
        <v>0</v>
      </c>
      <c r="G15" s="130">
        <v>0</v>
      </c>
      <c r="H15" s="130">
        <v>0</v>
      </c>
      <c r="I15" s="130">
        <v>0</v>
      </c>
      <c r="J15" s="130">
        <v>0</v>
      </c>
      <c r="K15" s="130">
        <v>0</v>
      </c>
      <c r="L15" s="2"/>
      <c r="M15" s="55">
        <f t="shared" si="1"/>
        <v>0</v>
      </c>
      <c r="N15" s="131" t="s">
        <v>783</v>
      </c>
      <c r="O15" s="2"/>
      <c r="P15" s="2"/>
      <c r="Q15" s="2"/>
      <c r="R15" s="2"/>
      <c r="S15" s="2"/>
      <c r="T15" s="2"/>
      <c r="U15" s="2"/>
      <c r="V15" s="2"/>
      <c r="W15" s="2"/>
      <c r="X15" s="2"/>
      <c r="Y15" s="2"/>
      <c r="Z15" s="2"/>
    </row>
    <row r="16" ht="16.5" customHeight="1" spans="1:26" x14ac:dyDescent="0.25">
      <c r="A16" s="129" t="s">
        <v>784</v>
      </c>
      <c r="B16" s="130">
        <v>0</v>
      </c>
      <c r="C16" s="130">
        <v>0</v>
      </c>
      <c r="D16" s="130">
        <v>0</v>
      </c>
      <c r="E16" s="130">
        <v>0</v>
      </c>
      <c r="F16" s="130">
        <v>0</v>
      </c>
      <c r="G16" s="130">
        <v>0</v>
      </c>
      <c r="H16" s="130">
        <v>0</v>
      </c>
      <c r="I16" s="130">
        <v>0</v>
      </c>
      <c r="J16" s="130">
        <v>0</v>
      </c>
      <c r="K16" s="130">
        <v>0</v>
      </c>
      <c r="L16" s="2"/>
      <c r="M16" s="55">
        <f t="shared" si="1"/>
        <v>0</v>
      </c>
      <c r="N16" s="131" t="s">
        <v>785</v>
      </c>
      <c r="O16" s="2"/>
      <c r="P16" s="2"/>
      <c r="Q16" s="2"/>
      <c r="R16" s="2"/>
      <c r="S16" s="2"/>
      <c r="T16" s="2"/>
      <c r="U16" s="2"/>
      <c r="V16" s="2"/>
      <c r="W16" s="2"/>
      <c r="X16" s="2"/>
      <c r="Y16" s="2"/>
      <c r="Z16" s="2"/>
    </row>
    <row r="17" ht="16.5" customHeight="1" spans="1:26" x14ac:dyDescent="0.25">
      <c r="A17" s="132" t="s">
        <v>786</v>
      </c>
      <c r="B17" s="57">
        <f t="shared" ref="B17:K17" si="2">SUM(B12:B16)</f>
        <v>0</v>
      </c>
      <c r="C17" s="57">
        <f t="shared" si="2"/>
        <v>0</v>
      </c>
      <c r="D17" s="57">
        <f t="shared" si="2"/>
        <v>0</v>
      </c>
      <c r="E17" s="57">
        <f t="shared" si="2"/>
        <v>0</v>
      </c>
      <c r="F17" s="57">
        <f t="shared" si="2"/>
        <v>0</v>
      </c>
      <c r="G17" s="57">
        <f t="shared" si="2"/>
        <v>0</v>
      </c>
      <c r="H17" s="57">
        <f t="shared" si="2"/>
        <v>0</v>
      </c>
      <c r="I17" s="57">
        <f t="shared" si="2"/>
        <v>0</v>
      </c>
      <c r="J17" s="57">
        <f t="shared" si="2"/>
        <v>0</v>
      </c>
      <c r="K17" s="57">
        <f t="shared" si="2"/>
        <v>0</v>
      </c>
      <c r="L17" s="2"/>
      <c r="M17" s="57">
        <f t="shared" si="1"/>
        <v>0</v>
      </c>
      <c r="N17" s="2"/>
      <c r="O17" s="2"/>
      <c r="P17" s="2"/>
      <c r="Q17" s="2"/>
      <c r="R17" s="2"/>
      <c r="S17" s="2"/>
      <c r="T17" s="2"/>
      <c r="U17" s="2"/>
      <c r="V17" s="2"/>
      <c r="W17" s="2"/>
      <c r="X17" s="2"/>
      <c r="Y17" s="2"/>
      <c r="Z17" s="2"/>
    </row>
    <row r="18" ht="16.5" customHeight="1" spans="1:26" x14ac:dyDescent="0.25">
      <c r="A18" s="7" t="s">
        <v>787</v>
      </c>
      <c r="B18" s="134">
        <f t="shared" ref="B18:J18" si="3">B9+B17</f>
        <v>0</v>
      </c>
      <c r="C18" s="134">
        <f t="shared" si="3"/>
        <v>0</v>
      </c>
      <c r="D18" s="134">
        <f t="shared" si="3"/>
        <v>0</v>
      </c>
      <c r="E18" s="134">
        <f t="shared" si="3"/>
        <v>0</v>
      </c>
      <c r="F18" s="134">
        <f t="shared" si="3"/>
        <v>0</v>
      </c>
      <c r="G18" s="134">
        <f t="shared" si="3"/>
        <v>0</v>
      </c>
      <c r="H18" s="134">
        <f t="shared" si="3"/>
        <v>0</v>
      </c>
      <c r="I18" s="134">
        <f t="shared" si="3"/>
        <v>0</v>
      </c>
      <c r="J18" s="134">
        <f t="shared" si="3"/>
        <v>0</v>
      </c>
      <c r="K18" s="134">
        <f>K9+K17</f>
        <v>0</v>
      </c>
      <c r="L18" s="2"/>
      <c r="M18" s="134">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30">
        <v>150</v>
      </c>
      <c r="G36" s="130">
        <v>170</v>
      </c>
      <c r="H36" s="130">
        <v>180</v>
      </c>
      <c r="I36" s="130">
        <v>150</v>
      </c>
      <c r="J36" s="130">
        <v>120</v>
      </c>
      <c r="K36" s="130">
        <v>150</v>
      </c>
      <c r="L36" s="2"/>
      <c r="M36" s="2"/>
      <c r="N36" s="2"/>
      <c r="O36" s="2"/>
      <c r="P36" s="2"/>
      <c r="Q36" s="2"/>
      <c r="R36" s="2"/>
      <c r="S36" s="2"/>
      <c r="T36" s="2"/>
      <c r="U36" s="2"/>
      <c r="V36" s="2"/>
      <c r="W36" s="2"/>
      <c r="X36" s="2"/>
      <c r="Y36" s="2"/>
      <c r="Z36" s="2"/>
    </row>
    <row r="37" ht="16.5" customHeight="1" spans="1:26" x14ac:dyDescent="0.25">
      <c r="A37" s="2"/>
      <c r="B37" s="2"/>
      <c r="C37" s="2"/>
      <c r="D37" s="2"/>
      <c r="E37" s="2"/>
      <c r="F37" s="130">
        <v>220</v>
      </c>
      <c r="G37" s="130">
        <v>220</v>
      </c>
      <c r="H37" s="130">
        <v>60</v>
      </c>
      <c r="I37" s="130">
        <v>150</v>
      </c>
      <c r="J37" s="130">
        <v>150</v>
      </c>
      <c r="K37" s="130">
        <v>60</v>
      </c>
      <c r="L37" s="2"/>
      <c r="M37" s="2"/>
      <c r="N37" s="2"/>
      <c r="O37" s="2"/>
      <c r="P37" s="2"/>
      <c r="Q37" s="2"/>
      <c r="R37" s="2"/>
      <c r="S37" s="2"/>
      <c r="T37" s="2"/>
      <c r="U37" s="2"/>
      <c r="V37" s="2"/>
      <c r="W37" s="2"/>
      <c r="X37" s="2"/>
      <c r="Y37" s="2"/>
      <c r="Z37" s="2"/>
    </row>
    <row r="38" ht="16.5" customHeight="1" spans="1:26" x14ac:dyDescent="0.25">
      <c r="A38" s="2"/>
      <c r="B38" s="2"/>
      <c r="C38" s="2"/>
      <c r="D38" s="2"/>
      <c r="E38" s="2"/>
      <c r="F38" s="130">
        <v>180</v>
      </c>
      <c r="G38" s="130">
        <v>180</v>
      </c>
      <c r="H38" s="130">
        <v>60</v>
      </c>
      <c r="I38" s="130">
        <v>60</v>
      </c>
      <c r="J38" s="130">
        <v>60</v>
      </c>
      <c r="K38" s="130">
        <v>60</v>
      </c>
      <c r="L38" s="2"/>
      <c r="M38" s="2"/>
      <c r="N38" s="2"/>
      <c r="O38" s="2"/>
      <c r="P38" s="2"/>
      <c r="Q38" s="2"/>
      <c r="R38" s="2"/>
      <c r="S38" s="2"/>
      <c r="T38" s="2"/>
      <c r="U38" s="2"/>
      <c r="V38" s="2"/>
      <c r="W38" s="2"/>
      <c r="X38" s="2"/>
      <c r="Y38" s="2"/>
      <c r="Z38" s="2"/>
    </row>
    <row r="39" ht="16.5" customHeight="1" spans="1:26" x14ac:dyDescent="0.25">
      <c r="A39" s="2"/>
      <c r="B39" s="2"/>
      <c r="C39" s="2"/>
      <c r="D39" s="2"/>
      <c r="E39" s="2"/>
      <c r="F39" s="130">
        <v>200</v>
      </c>
      <c r="G39" s="130">
        <v>200</v>
      </c>
      <c r="H39" s="130">
        <v>200</v>
      </c>
      <c r="I39" s="130">
        <v>100</v>
      </c>
      <c r="J39" s="130">
        <v>100</v>
      </c>
      <c r="K39" s="130">
        <v>500</v>
      </c>
      <c r="L39" s="2"/>
      <c r="M39" s="2"/>
      <c r="N39" s="2"/>
      <c r="O39" s="2"/>
      <c r="P39" s="2"/>
      <c r="Q39" s="2"/>
      <c r="R39" s="2"/>
      <c r="S39" s="2"/>
      <c r="T39" s="2"/>
      <c r="U39" s="2"/>
      <c r="V39" s="2"/>
      <c r="W39" s="2"/>
      <c r="X39" s="2"/>
      <c r="Y39" s="2"/>
      <c r="Z39" s="2"/>
    </row>
    <row r="40" ht="16.5" customHeight="1" spans="1:26" x14ac:dyDescent="0.25">
      <c r="A40" s="2"/>
      <c r="B40" s="2"/>
      <c r="C40" s="2"/>
      <c r="D40" s="2"/>
      <c r="E40" s="2"/>
      <c r="F40" s="57">
        <f t="shared" ref="F40:K40" si="4">SUM(F36:F39)</f>
        <v>750</v>
      </c>
      <c r="G40" s="57">
        <f t="shared" si="4"/>
        <v>770</v>
      </c>
      <c r="H40" s="57">
        <f t="shared" si="4"/>
        <v>500</v>
      </c>
      <c r="I40" s="57">
        <f t="shared" si="4"/>
        <v>460</v>
      </c>
      <c r="J40" s="57">
        <f t="shared" si="4"/>
        <v>430</v>
      </c>
      <c r="K40" s="57">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26">
        <v>46320</v>
      </c>
      <c r="G42" s="126">
        <v>46351</v>
      </c>
      <c r="H42" s="126">
        <v>46381</v>
      </c>
      <c r="I42" s="126">
        <v>46048</v>
      </c>
      <c r="J42" s="126">
        <v>46079</v>
      </c>
      <c r="K42" s="126">
        <v>46107</v>
      </c>
      <c r="L42" s="2"/>
      <c r="M42" s="2"/>
      <c r="N42" s="2"/>
      <c r="O42" s="2"/>
      <c r="P42" s="2"/>
      <c r="Q42" s="2"/>
      <c r="R42" s="2"/>
      <c r="S42" s="2"/>
      <c r="T42" s="2"/>
      <c r="U42" s="2"/>
      <c r="V42" s="2"/>
      <c r="W42" s="2"/>
      <c r="X42" s="2"/>
      <c r="Y42" s="2"/>
      <c r="Z42" s="2"/>
    </row>
    <row r="43" ht="16.5" customHeight="1" spans="1:26" x14ac:dyDescent="0.25">
      <c r="A43" s="2"/>
      <c r="B43" s="2"/>
      <c r="C43" s="2"/>
      <c r="D43" s="2"/>
      <c r="E43" s="2"/>
      <c r="F43" s="130">
        <v>110</v>
      </c>
      <c r="G43" s="130">
        <v>90</v>
      </c>
      <c r="H43" s="130">
        <v>100</v>
      </c>
      <c r="I43" s="130">
        <v>20</v>
      </c>
      <c r="J43" s="130">
        <v>120</v>
      </c>
      <c r="K43" s="130">
        <v>90</v>
      </c>
      <c r="L43" s="2"/>
      <c r="M43" s="2"/>
      <c r="N43" s="2"/>
      <c r="O43" s="2"/>
      <c r="P43" s="2"/>
      <c r="Q43" s="2"/>
      <c r="R43" s="2"/>
      <c r="S43" s="2"/>
      <c r="T43" s="2"/>
      <c r="U43" s="2"/>
      <c r="V43" s="2"/>
      <c r="W43" s="2"/>
      <c r="X43" s="2"/>
      <c r="Y43" s="2"/>
      <c r="Z43" s="2"/>
    </row>
    <row r="44" ht="16.5" customHeight="1" spans="1:26" x14ac:dyDescent="0.25">
      <c r="A44" s="2"/>
      <c r="B44" s="2"/>
      <c r="C44" s="2"/>
      <c r="D44" s="2"/>
      <c r="E44" s="2"/>
      <c r="F44" s="130">
        <v>220</v>
      </c>
      <c r="G44" s="130">
        <v>220</v>
      </c>
      <c r="H44" s="130">
        <v>220</v>
      </c>
      <c r="I44" s="130">
        <v>220</v>
      </c>
      <c r="J44" s="130">
        <v>220</v>
      </c>
      <c r="K44" s="130">
        <v>220</v>
      </c>
      <c r="L44" s="2"/>
      <c r="M44" s="2"/>
      <c r="N44" s="2"/>
      <c r="O44" s="2"/>
      <c r="P44" s="2"/>
      <c r="Q44" s="2"/>
      <c r="R44" s="2"/>
      <c r="S44" s="2"/>
      <c r="T44" s="2"/>
      <c r="U44" s="2"/>
      <c r="V44" s="2"/>
      <c r="W44" s="2"/>
      <c r="X44" s="2"/>
      <c r="Y44" s="2"/>
      <c r="Z44" s="2"/>
    </row>
    <row r="45" ht="16.5" customHeight="1" spans="1:26" x14ac:dyDescent="0.25">
      <c r="A45" s="2"/>
      <c r="B45" s="2"/>
      <c r="C45" s="2"/>
      <c r="D45" s="2"/>
      <c r="E45" s="2"/>
      <c r="F45" s="130">
        <v>100</v>
      </c>
      <c r="G45" s="130">
        <v>100</v>
      </c>
      <c r="H45" s="130">
        <v>100</v>
      </c>
      <c r="I45" s="130">
        <v>100</v>
      </c>
      <c r="J45" s="130">
        <v>100</v>
      </c>
      <c r="K45" s="130">
        <v>100</v>
      </c>
      <c r="L45" s="2"/>
      <c r="M45" s="2"/>
      <c r="N45" s="2"/>
      <c r="O45" s="2"/>
      <c r="P45" s="2"/>
      <c r="Q45" s="2"/>
      <c r="R45" s="2"/>
      <c r="S45" s="2"/>
      <c r="T45" s="2"/>
      <c r="U45" s="2"/>
      <c r="V45" s="2"/>
      <c r="W45" s="2"/>
      <c r="X45" s="2"/>
      <c r="Y45" s="2"/>
      <c r="Z45" s="2"/>
    </row>
    <row r="46" ht="16.5" customHeight="1" spans="1:26" x14ac:dyDescent="0.25">
      <c r="A46" s="2"/>
      <c r="B46" s="2"/>
      <c r="C46" s="2"/>
      <c r="D46" s="2"/>
      <c r="E46" s="2"/>
      <c r="F46" s="130">
        <v>0</v>
      </c>
      <c r="G46" s="130">
        <v>0</v>
      </c>
      <c r="H46" s="130">
        <v>0</v>
      </c>
      <c r="I46" s="130">
        <v>0</v>
      </c>
      <c r="J46" s="130">
        <v>0</v>
      </c>
      <c r="K46" s="130">
        <v>0</v>
      </c>
      <c r="L46" s="2"/>
      <c r="M46" s="2"/>
      <c r="N46" s="2"/>
      <c r="O46" s="2"/>
      <c r="P46" s="2"/>
      <c r="Q46" s="2"/>
      <c r="R46" s="2"/>
      <c r="S46" s="2"/>
      <c r="T46" s="2"/>
      <c r="U46" s="2"/>
      <c r="V46" s="2"/>
      <c r="W46" s="2"/>
      <c r="X46" s="2"/>
      <c r="Y46" s="2"/>
      <c r="Z46" s="2"/>
    </row>
    <row r="47" ht="16.5" customHeight="1" spans="1:26" x14ac:dyDescent="0.25">
      <c r="A47" s="2"/>
      <c r="B47" s="2"/>
      <c r="C47" s="2"/>
      <c r="D47" s="2"/>
      <c r="E47" s="2"/>
      <c r="F47" s="130">
        <v>0</v>
      </c>
      <c r="G47" s="130">
        <v>0</v>
      </c>
      <c r="H47" s="130">
        <v>0</v>
      </c>
      <c r="I47" s="130">
        <v>0</v>
      </c>
      <c r="J47" s="130">
        <v>0</v>
      </c>
      <c r="K47" s="130">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41.85546875" customWidth="1"/>
    <col min="12" max="12" width="9.42578125" customWidth="1"/>
  </cols>
  <sheetData>
    <row r="1" ht="20.25" customHeight="1" spans="1:26" x14ac:dyDescent="0.25">
      <c r="A1" s="46" t="s">
        <v>194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195</v>
      </c>
      <c r="B3" s="52">
        <v>46106</v>
      </c>
      <c r="C3" s="52">
        <v>46228</v>
      </c>
      <c r="D3" s="52">
        <v>46259</v>
      </c>
      <c r="E3" s="52">
        <v>46290</v>
      </c>
      <c r="F3" s="52">
        <v>46320</v>
      </c>
      <c r="G3" s="52">
        <v>46351</v>
      </c>
      <c r="H3" s="52">
        <v>46381</v>
      </c>
      <c r="I3" s="52">
        <v>46048</v>
      </c>
      <c r="J3" s="52">
        <v>46079</v>
      </c>
      <c r="K3" s="52">
        <v>46107</v>
      </c>
      <c r="L3" s="53" t="s">
        <v>196</v>
      </c>
      <c r="M3" s="2"/>
      <c r="N3" s="2"/>
      <c r="O3" s="2"/>
      <c r="P3" s="2"/>
      <c r="Q3" s="2"/>
      <c r="R3" s="2"/>
      <c r="S3" s="2"/>
      <c r="T3" s="2"/>
      <c r="U3" s="2"/>
      <c r="V3" s="2"/>
      <c r="W3" s="2"/>
      <c r="X3" s="2"/>
      <c r="Y3" s="2"/>
      <c r="Z3" s="2"/>
    </row>
    <row r="4" ht="16.5" customHeight="1" spans="1:26" x14ac:dyDescent="0.25">
      <c r="A4" s="21" t="s">
        <v>197</v>
      </c>
      <c r="B4" s="54">
        <f>SUMIFS('Sales Transactions Raw Data'!V:V,'Sales Transactions Raw Data'!S:S,"amazon",'Sales Transactions Raw Data'!B:B,"March",'Sales Transactions Raw Data'!A:A,2025,'Sales Transactions Raw Data'!J:J,"Finished Goods")</f>
        <v>0</v>
      </c>
      <c r="C4" s="54">
        <f>SUMIFS('Sales Transactions Raw Data'!V:V,'Sales Transactions Raw Data'!S:S,"amazon",'Sales Transactions Raw Data'!B:B,"March",'Sales Transactions Raw Data'!A:A,2025,'Sales Transactions Raw Data'!J:J,"Finished Goods")</f>
        <v>0</v>
      </c>
      <c r="D4" s="54">
        <f>SUMIFS('Sales Transactions Raw Data'!V:V,'Sales Transactions Raw Data'!S:S,"amazon",'Sales Transactions Raw Data'!B:B,"July",'Sales Transactions Raw Data'!A:A,2025,'Sales Transactions Raw Data'!J:J,"Finished Goods")</f>
        <v>0</v>
      </c>
      <c r="E4" s="54">
        <f>SUMIFS('Sales Transactions Raw Data'!V:V,'Sales Transactions Raw Data'!S:S,"amazon",'Sales Transactions Raw Data'!B:B,"August",'Sales Transactions Raw Data'!A:A,2025,'Sales Transactions Raw Data'!J:J,"Finished Goods")</f>
        <v>0</v>
      </c>
      <c r="F4" s="54">
        <f>SUMIFS('Sales Transactions Raw Data'!V:V,'Sales Transactions Raw Data'!S:S,"amazon",'Sales Transactions Raw Data'!B:B,"September",'Sales Transactions Raw Data'!A:A,2025,'Sales Transactions Raw Data'!J:J,"Finished Goods")</f>
        <v>0</v>
      </c>
      <c r="G4" s="54">
        <f>SUMIFS('Sales Transactions Raw Data'!V:V,'Sales Transactions Raw Data'!S:S,"amazon",'Sales Transactions Raw Data'!B:B,"October",'Sales Transactions Raw Data'!A:A,2025,'Sales Transactions Raw Data'!J:J,"Finished Goods")</f>
        <v>0</v>
      </c>
      <c r="H4" s="54">
        <f>SUMIFS('Sales Transactions Raw Data'!V:V,'Sales Transactions Raw Data'!S:S,"amazon",'Sales Transactions Raw Data'!B:B,"November",'Sales Transactions Raw Data'!A:A,2025,'Sales Transactions Raw Data'!J:J,"Finished Goods")</f>
        <v>0</v>
      </c>
      <c r="I4" s="54">
        <f>SUMIFS('Sales Transactions Raw Data'!V:V,'Sales Transactions Raw Data'!S:S,"amazon",'Sales Transactions Raw Data'!B:B,"January",'Sales Transactions Raw Data'!A:A,2026,'Sales Transactions Raw Data'!J:J,"Finished Goods")</f>
        <v>0</v>
      </c>
      <c r="J4" s="54">
        <f>SUMIFS('Sales Transactions Raw Data'!V:V,'Sales Transactions Raw Data'!S:S,"amazon",'Sales Transactions Raw Data'!B:B,"February",'Sales Transactions Raw Data'!A:A,2026,'Sales Transactions Raw Data'!J:J,"Finished Goods")</f>
        <v>0</v>
      </c>
      <c r="K4" s="54">
        <f>SUMIFS('Sales Transactions Raw Data'!V:V,'Sales Transactions Raw Data'!S:S,"amazon",'Sales Transactions Raw Data'!B:B,"March",'Sales Transactions Raw Data'!A:A,2026,'Sales Transactions Raw Data'!J:J,"Finished Goods")</f>
        <v>0</v>
      </c>
      <c r="L4" s="55">
        <f t="shared" ref="L4:L11" si="0">SUM(B4:K4)</f>
        <v>0</v>
      </c>
      <c r="M4" s="2"/>
      <c r="N4" s="2"/>
      <c r="O4" s="2"/>
      <c r="P4" s="2"/>
      <c r="Q4" s="2"/>
      <c r="R4" s="2"/>
      <c r="S4" s="2"/>
      <c r="T4" s="2"/>
      <c r="U4" s="2"/>
      <c r="V4" s="2"/>
      <c r="W4" s="2"/>
      <c r="X4" s="2"/>
      <c r="Y4" s="2"/>
      <c r="Z4" s="2"/>
    </row>
    <row r="5" ht="16.5" customHeight="1" spans="1:26" x14ac:dyDescent="0.25">
      <c r="A5" s="19" t="s">
        <v>198</v>
      </c>
      <c r="B5" s="54">
        <f>SUMIFS('Sales Transactions Raw Data'!V:V,'Sales Transactions Raw Data'!R:R,"Amazon.com",'Sales Transactions Raw Data'!B:B,"March",'Sales Transactions Raw Data'!A:A,2025,'Sales Transactions Raw Data'!J:J,"Finished Goods")</f>
        <v>0</v>
      </c>
      <c r="C5" s="54">
        <f>SUMIFS('Sales Transactions Raw Data'!V:V,'Sales Transactions Raw Data'!S:S,"amazon-us",'Sales Transactions Raw Data'!B:B,"March",'Sales Transactions Raw Data'!A:A,2025,'Sales Transactions Raw Data'!J:J,"Finished Goods")</f>
        <v>0</v>
      </c>
      <c r="D5" s="54">
        <f>SUMIFS('Sales Transactions Raw Data'!V:V,'Sales Transactions Raw Data'!S:S,"amazon-us",'Sales Transactions Raw Data'!B:B,"July",'Sales Transactions Raw Data'!A:A,2025,'Sales Transactions Raw Data'!J:J,"Finished Goods")</f>
        <v>0</v>
      </c>
      <c r="E5" s="54">
        <f>SUMIFS('Sales Transactions Raw Data'!V:V,'Sales Transactions Raw Data'!S:S,"amazon-us",'Sales Transactions Raw Data'!B:B,"August",'Sales Transactions Raw Data'!A:A,2025,'Sales Transactions Raw Data'!J:J,"Finished Goods")</f>
        <v>0</v>
      </c>
      <c r="F5" s="54">
        <f>SUMIFS('Sales Transactions Raw Data'!V:V,'Sales Transactions Raw Data'!S:S,"amazon-us",'Sales Transactions Raw Data'!B:B,"September",'Sales Transactions Raw Data'!A:A,2025,'Sales Transactions Raw Data'!J:J,"Finished Goods")</f>
        <v>0</v>
      </c>
      <c r="G5" s="54">
        <f>SUMIFS('Sales Transactions Raw Data'!V:V,'Sales Transactions Raw Data'!S:S,"amazon-us",'Sales Transactions Raw Data'!B:B,"October",'Sales Transactions Raw Data'!A:A,2025,'Sales Transactions Raw Data'!J:J,"Finished Goods")</f>
        <v>0</v>
      </c>
      <c r="H5" s="54">
        <f>SUMIFS('Sales Transactions Raw Data'!V:V,'Sales Transactions Raw Data'!S:S,"amazon-us",'Sales Transactions Raw Data'!B:B,"November",'Sales Transactions Raw Data'!A:A,2025,'Sales Transactions Raw Data'!J:J,"Finished Goods")</f>
        <v>0</v>
      </c>
      <c r="I5" s="54">
        <f>SUMIFS('Sales Transactions Raw Data'!V:V,'Sales Transactions Raw Data'!R:R,"Amazon.com",'Sales Transactions Raw Data'!B:B,"January",'Sales Transactions Raw Data'!A:A,2026,'Sales Transactions Raw Data'!J:J,"Finished Goods")</f>
        <v>0</v>
      </c>
      <c r="J5" s="54">
        <f>SUMIFS('Sales Transactions Raw Data'!V:V,'Sales Transactions Raw Data'!R:R,"Amazon.com",'Sales Transactions Raw Data'!B:B,"February",'Sales Transactions Raw Data'!A:A,2026,'Sales Transactions Raw Data'!J:J,"Finished Goods")</f>
        <v>0</v>
      </c>
      <c r="K5" s="54">
        <f>SUMIFS('Sales Transactions Raw Data'!V:V,'Sales Transactions Raw Data'!R:R,"Amazon.com",'Sales Transactions Raw Data'!B:B,"March",'Sales Transactions Raw Data'!A:A,2026,'Sales Transactions Raw Data'!J:J,"Finished Goods")</f>
        <v>0</v>
      </c>
      <c r="L5" s="55">
        <f t="shared" si="0"/>
        <v>0</v>
      </c>
      <c r="M5" s="2"/>
      <c r="N5" s="2"/>
      <c r="O5" s="2"/>
      <c r="P5" s="2"/>
      <c r="Q5" s="2"/>
      <c r="R5" s="2"/>
      <c r="S5" s="2"/>
      <c r="T5" s="2"/>
      <c r="U5" s="2"/>
      <c r="V5" s="2"/>
      <c r="W5" s="2"/>
      <c r="X5" s="2"/>
      <c r="Y5" s="2"/>
      <c r="Z5" s="2"/>
    </row>
    <row r="6" ht="16.5" customHeight="1" spans="1:26" x14ac:dyDescent="0.25">
      <c r="A6" s="21" t="s">
        <v>199</v>
      </c>
      <c r="B6" s="54">
        <f>SUMIFS('Sales Transactions Raw Data'!V:V,'Sales Transactions Raw Data'!S:S,"Shopify web",'Sales Transactions Raw Data'!B:B,"March",'Sales Transactions Raw Data'!A:A,2025,'Sales Transactions Raw Data'!J:J,"Finished Goods")</f>
        <v>0</v>
      </c>
      <c r="C6" s="54">
        <f>SUMIFS('Sales Transactions Raw Data'!V:V,'Sales Transactions Raw Data'!S:S,"Shopify web",'Sales Transactions Raw Data'!B:B,"March",'Sales Transactions Raw Data'!A:A,2025,'Sales Transactions Raw Data'!J:J,"Finished Goods")</f>
        <v>0</v>
      </c>
      <c r="D6" s="54">
        <f>SUMIFS('Sales Transactions Raw Data'!V:V,'Sales Transactions Raw Data'!S:S,"Shopify web",'Sales Transactions Raw Data'!B:B,"July",'Sales Transactions Raw Data'!A:A,2025,'Sales Transactions Raw Data'!J:J,"Finished Goods")</f>
        <v>0</v>
      </c>
      <c r="E6" s="54">
        <f>SUMIFS('Sales Transactions Raw Data'!V:V,'Sales Transactions Raw Data'!S:S,"Shopify web",'Sales Transactions Raw Data'!B:B,"August",'Sales Transactions Raw Data'!A:A,2025,'Sales Transactions Raw Data'!J:J,"Finished Goods")</f>
        <v>0</v>
      </c>
      <c r="F6" s="54">
        <f>SUMIFS('Sales Transactions Raw Data'!V:V,'Sales Transactions Raw Data'!S:S,"Shopify web",'Sales Transactions Raw Data'!B:B,"September",'Sales Transactions Raw Data'!A:A,2025,'Sales Transactions Raw Data'!J:J,"Finished Goods")</f>
        <v>0</v>
      </c>
      <c r="G6" s="54">
        <f>SUMIFS('Sales Transactions Raw Data'!V:V,'Sales Transactions Raw Data'!S:S,"Shopify web",'Sales Transactions Raw Data'!B:B,"October",'Sales Transactions Raw Data'!A:A,2025,'Sales Transactions Raw Data'!J:J,"Finished Goods")</f>
        <v>0</v>
      </c>
      <c r="H6" s="54">
        <f>SUMIFS('Sales Transactions Raw Data'!V:V,'Sales Transactions Raw Data'!S:S,"Shopify web",'Sales Transactions Raw Data'!B:B,"November",'Sales Transactions Raw Data'!A:A,2025,'Sales Transactions Raw Data'!J:J,"Finished Goods")</f>
        <v>0</v>
      </c>
      <c r="I6" s="54">
        <f>SUMIFS('Sales Transactions Raw Data'!V:V,'Sales Transactions Raw Data'!S:S,"Shopify web",'Sales Transactions Raw Data'!B:B,"January",'Sales Transactions Raw Data'!A:A,2026,'Sales Transactions Raw Data'!J:J,"Finished Goods")</f>
        <v>0</v>
      </c>
      <c r="J6" s="54">
        <f>SUMIFS('Sales Transactions Raw Data'!V:V,'Sales Transactions Raw Data'!S:S,"Shopify web",'Sales Transactions Raw Data'!B:B,"February",'Sales Transactions Raw Data'!A:A,2026,'Sales Transactions Raw Data'!J:J,"Finished Goods")</f>
        <v>0</v>
      </c>
      <c r="K6" s="54">
        <f>SUMIFS('Sales Transactions Raw Data'!V:V,'Sales Transactions Raw Data'!S:S,"Shopify web",'Sales Transactions Raw Data'!B:B,"March",'Sales Transactions Raw Data'!A:A,2026,'Sales Transactions Raw Data'!J:J,"Finished Goods")</f>
        <v>0</v>
      </c>
      <c r="L6" s="55">
        <f t="shared" si="0"/>
        <v>0</v>
      </c>
      <c r="M6" s="2"/>
      <c r="N6" s="2"/>
      <c r="O6" s="2"/>
      <c r="P6" s="2"/>
      <c r="Q6" s="2"/>
      <c r="R6" s="2"/>
      <c r="S6" s="2"/>
      <c r="T6" s="2"/>
      <c r="U6" s="2"/>
      <c r="V6" s="2"/>
      <c r="W6" s="2"/>
      <c r="X6" s="2"/>
      <c r="Y6" s="2"/>
      <c r="Z6" s="2"/>
    </row>
    <row r="7" ht="16.5" customHeight="1" spans="1:26" x14ac:dyDescent="0.25">
      <c r="A7" s="19" t="s">
        <v>200</v>
      </c>
      <c r="B7" s="54">
        <f>SUMIFS('Sales Transactions Raw Data'!V:V,'Sales Transactions Raw Data'!S:S,"tiktok",'Sales Transactions Raw Data'!B:B,"March",'Sales Transactions Raw Data'!A:A,2025,'Sales Transactions Raw Data'!J:J,"Finished Goods")</f>
        <v>0</v>
      </c>
      <c r="C7" s="54">
        <f>SUMIFS('Sales Transactions Raw Data'!V:V,'Sales Transactions Raw Data'!S:S,"Shopify POS",'Sales Transactions Raw Data'!B:B,"March",'Sales Transactions Raw Data'!A:A,2025,'Sales Transactions Raw Data'!J:J,"Finished Goods")</f>
        <v>0</v>
      </c>
      <c r="D7" s="54">
        <f>SUMIFS('Sales Transactions Raw Data'!V:V,'Sales Transactions Raw Data'!S:S,"Shopify POS",'Sales Transactions Raw Data'!B:B,"July",'Sales Transactions Raw Data'!A:A,2025,'Sales Transactions Raw Data'!J:J,"Finished Goods")</f>
        <v>0</v>
      </c>
      <c r="E7" s="54">
        <f>SUMIFS('Sales Transactions Raw Data'!V:V,'Sales Transactions Raw Data'!S:S,"Shopify POS",'Sales Transactions Raw Data'!B:B,"August",'Sales Transactions Raw Data'!A:A,2025,'Sales Transactions Raw Data'!J:J,"Finished Goods")</f>
        <v>0</v>
      </c>
      <c r="F7" s="54">
        <f>SUMIFS('Sales Transactions Raw Data'!V:V,'Sales Transactions Raw Data'!S:S,"Shopify POS",'Sales Transactions Raw Data'!B:B,"September",'Sales Transactions Raw Data'!A:A,2025,'Sales Transactions Raw Data'!J:J,"Finished Goods")</f>
        <v>0</v>
      </c>
      <c r="G7" s="54">
        <f>SUMIFS('Sales Transactions Raw Data'!V:V,'Sales Transactions Raw Data'!S:S,"Shopify POS",'Sales Transactions Raw Data'!B:B,"October",'Sales Transactions Raw Data'!A:A,2025,'Sales Transactions Raw Data'!J:J,"Finished Goods")</f>
        <v>0</v>
      </c>
      <c r="H7" s="54">
        <f>SUMIFS('Sales Transactions Raw Data'!V:V,'Sales Transactions Raw Data'!S:S,"Shopify POS",'Sales Transactions Raw Data'!B:B,"November",'Sales Transactions Raw Data'!A:A,2025,'Sales Transactions Raw Data'!J:J,"Finished Goods")</f>
        <v>0</v>
      </c>
      <c r="I7" s="54">
        <f>SUMIFS('Sales Transactions Raw Data'!V:V,'Sales Transactions Raw Data'!S:S,"tiktok",'Sales Transactions Raw Data'!B:B,"January",'Sales Transactions Raw Data'!A:A,2026,'Sales Transactions Raw Data'!J:J,"Finished Goods")</f>
        <v>0</v>
      </c>
      <c r="J7" s="54">
        <f>SUMIFS('Sales Transactions Raw Data'!V:V,'Sales Transactions Raw Data'!S:S,"tiktok",'Sales Transactions Raw Data'!B:B,"February",'Sales Transactions Raw Data'!A:A,2026,'Sales Transactions Raw Data'!J:J,"Finished Goods")</f>
        <v>0</v>
      </c>
      <c r="K7" s="54">
        <f>SUMIFS('Sales Transactions Raw Data'!V:V,'Sales Transactions Raw Data'!S:S,"tiktok",'Sales Transactions Raw Data'!B:B,"March",'Sales Transactions Raw Data'!A:A,2026,'Sales Transactions Raw Data'!J:J,"Finished Goods")</f>
        <v>0</v>
      </c>
      <c r="L7" s="55">
        <f t="shared" si="0"/>
        <v>0</v>
      </c>
      <c r="M7" s="2"/>
      <c r="N7" s="2"/>
      <c r="O7" s="2"/>
      <c r="P7" s="2"/>
      <c r="Q7" s="2"/>
      <c r="R7" s="2"/>
      <c r="S7" s="2"/>
      <c r="T7" s="2"/>
      <c r="U7" s="2"/>
      <c r="V7" s="2"/>
      <c r="W7" s="2"/>
      <c r="X7" s="2"/>
      <c r="Y7" s="2"/>
      <c r="Z7" s="2"/>
    </row>
    <row r="8" ht="16.5" customHeight="1" spans="1:26" x14ac:dyDescent="0.25">
      <c r="A8" s="21" t="s">
        <v>201</v>
      </c>
      <c r="B8" s="54">
        <f>SUMIFS('Sales Transactions Raw Data'!V:V,'Sales Transactions Raw Data'!S:S,"296827748353",'Sales Transactions Raw Data'!B:B,"March",'Sales Transactions Raw Data'!A:A,2025,'Sales Transactions Raw Data'!J:J,"Finished Goods")</f>
        <v>0</v>
      </c>
      <c r="C8" s="54">
        <f>SUMIFS('Sales Transactions Raw Data'!V:V,'Sales Transactions Raw Data'!S:S,"Shopify admin",'Sales Transactions Raw Data'!B:B,"March",'Sales Transactions Raw Data'!A:A,2025,'Sales Transactions Raw Data'!J:J,"Finished Goods")</f>
        <v>0</v>
      </c>
      <c r="D8" s="54">
        <f>SUMIFS('Sales Transactions Raw Data'!V:V,'Sales Transactions Raw Data'!S:S,"Shopify admin",'Sales Transactions Raw Data'!B:B,"July",'Sales Transactions Raw Data'!A:A,2025,'Sales Transactions Raw Data'!J:J,"Finished Goods")</f>
        <v>0</v>
      </c>
      <c r="E8" s="54">
        <f>SUMIFS('Sales Transactions Raw Data'!V:V,'Sales Transactions Raw Data'!S:S,"Shopify admin",'Sales Transactions Raw Data'!B:B,"August",'Sales Transactions Raw Data'!A:A,2025,'Sales Transactions Raw Data'!J:J,"Finished Goods")</f>
        <v>0</v>
      </c>
      <c r="F8" s="54">
        <f>SUMIFS('Sales Transactions Raw Data'!V:V,'Sales Transactions Raw Data'!S:S,"Shopify admin",'Sales Transactions Raw Data'!B:B,"September",'Sales Transactions Raw Data'!A:A,2025,'Sales Transactions Raw Data'!J:J,"Finished Goods")</f>
        <v>0</v>
      </c>
      <c r="G8" s="54">
        <f>SUMIFS('Sales Transactions Raw Data'!V:V,'Sales Transactions Raw Data'!S:S,"Shopify admin",'Sales Transactions Raw Data'!B:B,"October",'Sales Transactions Raw Data'!A:A,2025,'Sales Transactions Raw Data'!J:J,"Finished Goods")</f>
        <v>0</v>
      </c>
      <c r="H8" s="54">
        <f>SUMIFS('Sales Transactions Raw Data'!V:V,'Sales Transactions Raw Data'!S:S,"Shopify admin",'Sales Transactions Raw Data'!B:B,"November",'Sales Transactions Raw Data'!A:A,2025,'Sales Transactions Raw Data'!J:J,"Finished Goods")</f>
        <v>0</v>
      </c>
      <c r="I8" s="54">
        <f>SUMIFS('Sales Transactions Raw Data'!V:V,'Sales Transactions Raw Data'!S:S,"296827748353",'Sales Transactions Raw Data'!B:B,"January",'Sales Transactions Raw Data'!A:A,2026,'Sales Transactions Raw Data'!J:J,"Finished Goods")</f>
        <v>0</v>
      </c>
      <c r="J8" s="54">
        <f>SUMIFS('Sales Transactions Raw Data'!V:V,'Sales Transactions Raw Data'!S:S,"296827748353",'Sales Transactions Raw Data'!B:B,"February",'Sales Transactions Raw Data'!A:A,2026,'Sales Transactions Raw Data'!J:J,"Finished Goods")</f>
        <v>0</v>
      </c>
      <c r="K8" s="54">
        <f>SUMIFS('Sales Transactions Raw Data'!V:V,'Sales Transactions Raw Data'!S:S,"296827748353",'Sales Transactions Raw Data'!B:B,"March",'Sales Transactions Raw Data'!A:A,2026,'Sales Transactions Raw Data'!J:J,"Finished Goods")</f>
        <v>0</v>
      </c>
      <c r="L8" s="55">
        <f t="shared" si="0"/>
        <v>0</v>
      </c>
      <c r="M8" s="2"/>
      <c r="N8" s="2"/>
      <c r="O8" s="2"/>
      <c r="P8" s="2"/>
      <c r="Q8" s="2"/>
      <c r="R8" s="2"/>
      <c r="S8" s="2"/>
      <c r="T8" s="2"/>
      <c r="U8" s="2"/>
      <c r="V8" s="2"/>
      <c r="W8" s="2"/>
      <c r="X8" s="2"/>
      <c r="Y8" s="2"/>
      <c r="Z8" s="2"/>
    </row>
    <row r="9" ht="16.5" customHeight="1" spans="1:26" x14ac:dyDescent="0.25">
      <c r="A9" s="19" t="s">
        <v>202</v>
      </c>
      <c r="B9" s="54">
        <f>SUMIFS('Sales Transactions Raw Data'!V:V,'Sales Transactions Raw Data'!S:S,"Shopify POS",'Sales Transactions Raw Data'!B:B,"March",'Sales Transactions Raw Data'!A:A,2025)</f>
        <v>0</v>
      </c>
      <c r="C9" s="54">
        <f>SUMIFS('Sales Transactions Raw Data'!V:V,'Sales Transactions Raw Data'!S:S,"subscription_contract",'Sales Transactions Raw Data'!B:B,"March",'Sales Transactions Raw Data'!A:A,2025,'Sales Transactions Raw Data'!J:J,"Finished Goods")</f>
        <v>0</v>
      </c>
      <c r="D9" s="54">
        <f>SUMIFS('Sales Transactions Raw Data'!V:V,'Sales Transactions Raw Data'!S:S,"subscription_contract",'Sales Transactions Raw Data'!B:B,"July",'Sales Transactions Raw Data'!A:A,2025,'Sales Transactions Raw Data'!J:J,"Finished Goods")</f>
        <v>0</v>
      </c>
      <c r="E9" s="54">
        <f>SUMIFS('Sales Transactions Raw Data'!V:V,'Sales Transactions Raw Data'!S:S,"subscription_contract",'Sales Transactions Raw Data'!B:B,"August",'Sales Transactions Raw Data'!A:A,2025,'Sales Transactions Raw Data'!J:J,"Finished Goods")</f>
        <v>0</v>
      </c>
      <c r="F9" s="54">
        <f>SUMIFS('Sales Transactions Raw Data'!V:V,'Sales Transactions Raw Data'!S:S,"subscription_contract",'Sales Transactions Raw Data'!B:B,"September",'Sales Transactions Raw Data'!A:A,2025,'Sales Transactions Raw Data'!J:J,"Finished Goods")</f>
        <v>0</v>
      </c>
      <c r="G9" s="54">
        <f>SUMIFS('Sales Transactions Raw Data'!V:V,'Sales Transactions Raw Data'!S:S,"subscription_contract",'Sales Transactions Raw Data'!B:B,"October",'Sales Transactions Raw Data'!A:A,2025,'Sales Transactions Raw Data'!J:J,"Finished Goods")</f>
        <v>0</v>
      </c>
      <c r="H9" s="54">
        <f>SUMIFS('Sales Transactions Raw Data'!V:V,'Sales Transactions Raw Data'!S:S,"subscription_contract",'Sales Transactions Raw Data'!B:B,"November",'Sales Transactions Raw Data'!A:A,2025,'Sales Transactions Raw Data'!J:J,"Finished Goods")</f>
        <v>0</v>
      </c>
      <c r="I9" s="54">
        <f>SUMIFS('Sales Transactions Raw Data'!V:V,'Sales Transactions Raw Data'!S:S,"Shopify POS",'Sales Transactions Raw Data'!B:B,"January",'Sales Transactions Raw Data'!A:A,2026)</f>
        <v>0</v>
      </c>
      <c r="J9" s="54">
        <f>SUMIFS('Sales Transactions Raw Data'!V:V,'Sales Transactions Raw Data'!S:S,"Shopify POS",'Sales Transactions Raw Data'!B:B,"February",'Sales Transactions Raw Data'!A:A,2026)</f>
        <v>0</v>
      </c>
      <c r="K9" s="54">
        <f>SUMIFS('Sales Transactions Raw Data'!V:V,'Sales Transactions Raw Data'!S:S,"Shopify POS",'Sales Transactions Raw Data'!B:B,"March",'Sales Transactions Raw Data'!A:A,2026)</f>
        <v>0</v>
      </c>
      <c r="L9" s="55">
        <f t="shared" si="0"/>
        <v>0</v>
      </c>
      <c r="M9" s="2"/>
      <c r="N9" s="2"/>
      <c r="O9" s="2"/>
      <c r="P9" s="2"/>
      <c r="Q9" s="2"/>
      <c r="R9" s="2"/>
      <c r="S9" s="2"/>
      <c r="T9" s="2"/>
      <c r="U9" s="2"/>
      <c r="V9" s="2"/>
      <c r="W9" s="2"/>
      <c r="X9" s="2"/>
      <c r="Y9" s="2"/>
      <c r="Z9" s="2"/>
    </row>
    <row r="10" ht="16.5" customHeight="1" spans="1:26" x14ac:dyDescent="0.25">
      <c r="A10" s="21" t="s">
        <v>203</v>
      </c>
      <c r="B10" s="54">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54">
        <f>SUMIFS('Sales Transactions Raw Data'!V:V,'Sales Transactions Raw Data'!S:S,"subscription_contract_checkout_one",'Sales Transactions Raw Data'!B:B,"March",'Sales Transactions Raw Data'!A:A,2025,'Sales Transactions Raw Data'!J:J,"Finished Goods")</f>
        <v>0</v>
      </c>
      <c r="D10" s="54">
        <f>SUMIFS('Sales Transactions Raw Data'!V:V,'Sales Transactions Raw Data'!S:S,"subscription_contract_checkout_one",'Sales Transactions Raw Data'!B:B,"July",'Sales Transactions Raw Data'!A:A,2025,'Sales Transactions Raw Data'!J:J,"Finished Goods")</f>
        <v>0</v>
      </c>
      <c r="E10" s="54">
        <f>SUMIFS('Sales Transactions Raw Data'!V:V,'Sales Transactions Raw Data'!S:S,"subscription_contract_checkout_one",'Sales Transactions Raw Data'!B:B,"August",'Sales Transactions Raw Data'!A:A,2025,'Sales Transactions Raw Data'!J:J,"Finished Goods")</f>
        <v>0</v>
      </c>
      <c r="F10" s="54">
        <f>SUMIFS('Sales Transactions Raw Data'!V:V,'Sales Transactions Raw Data'!S:S,"subscription_contract_checkout_one",'Sales Transactions Raw Data'!B:B,"September",'Sales Transactions Raw Data'!A:A,2025,'Sales Transactions Raw Data'!J:J,"Finished Goods")</f>
        <v>0</v>
      </c>
      <c r="G10" s="54">
        <f>SUMIFS('Sales Transactions Raw Data'!V:V,'Sales Transactions Raw Data'!S:S,"subscription_contract_checkout_one",'Sales Transactions Raw Data'!B:B,"October",'Sales Transactions Raw Data'!A:A,2025,'Sales Transactions Raw Data'!J:J,"Finished Goods")</f>
        <v>0</v>
      </c>
      <c r="H10" s="54">
        <f>SUMIFS('Sales Transactions Raw Data'!V:V,'Sales Transactions Raw Data'!S:S,"subscription_contract_checkout_one",'Sales Transactions Raw Data'!B:B,"November",'Sales Transactions Raw Data'!A:A,2025,'Sales Transactions Raw Data'!J:J,"Finished Goods")</f>
        <v>0</v>
      </c>
      <c r="I10" s="54">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54">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54">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55">
        <f t="shared" si="0"/>
        <v>0</v>
      </c>
      <c r="M10" s="2"/>
      <c r="N10" s="2"/>
      <c r="O10" s="2"/>
      <c r="P10" s="2"/>
      <c r="Q10" s="2"/>
      <c r="R10" s="2"/>
      <c r="S10" s="2"/>
      <c r="T10" s="2"/>
      <c r="U10" s="2"/>
      <c r="V10" s="2"/>
      <c r="W10" s="2"/>
      <c r="X10" s="2"/>
      <c r="Y10" s="2"/>
      <c r="Z10" s="2"/>
    </row>
    <row r="11" ht="16.5" customHeight="1" spans="1:26" x14ac:dyDescent="0.25">
      <c r="A11" s="19" t="s">
        <v>204</v>
      </c>
      <c r="B11" s="54">
        <f>SUMIFS('Sales Transactions Raw Data'!V:V,'Sales Transactions Raw Data'!S:S,"Shopify admin",'Sales Transactions Raw Data'!B:B,"March",'Sales Transactions Raw Data'!A:A,2025,'Sales Transactions Raw Data'!J:J,"Finished Goods")</f>
        <v>0</v>
      </c>
      <c r="C11" s="54">
        <f>SUMIFS('Sales Transactions Raw Data'!V:V,'Sales Transactions Raw Data'!S:S,"296827748353",'Sales Transactions Raw Data'!B:B,"March",'Sales Transactions Raw Data'!A:A,2025,'Sales Transactions Raw Data'!J:J,"Finished Goods")</f>
        <v>0</v>
      </c>
      <c r="D11" s="54">
        <f>SUMIFS('Sales Transactions Raw Data'!V:V,'Sales Transactions Raw Data'!S:S,"296827748353",'Sales Transactions Raw Data'!B:B,"July",'Sales Transactions Raw Data'!A:A,2025,'Sales Transactions Raw Data'!J:J,"Finished Goods")</f>
        <v>0</v>
      </c>
      <c r="E11" s="54">
        <f>SUMIFS('Sales Transactions Raw Data'!V:V,'Sales Transactions Raw Data'!S:S,"296827748353",'Sales Transactions Raw Data'!B:B,"August",'Sales Transactions Raw Data'!A:A,2025,'Sales Transactions Raw Data'!J:J,"Finished Goods")</f>
        <v>0</v>
      </c>
      <c r="F11" s="54">
        <f>SUMIFS('Sales Transactions Raw Data'!V:V,'Sales Transactions Raw Data'!S:S,"296827748353",'Sales Transactions Raw Data'!B:B,"September",'Sales Transactions Raw Data'!A:A,2025,'Sales Transactions Raw Data'!J:J,"Finished Goods")</f>
        <v>0</v>
      </c>
      <c r="G11" s="54">
        <f>SUMIFS('Sales Transactions Raw Data'!V:V,'Sales Transactions Raw Data'!S:S,"296827748353",'Sales Transactions Raw Data'!B:B,"October",'Sales Transactions Raw Data'!A:A,2025,'Sales Transactions Raw Data'!J:J,"Finished Goods")</f>
        <v>0</v>
      </c>
      <c r="H11" s="54">
        <f>SUMIFS('Sales Transactions Raw Data'!V:V,'Sales Transactions Raw Data'!S:S,"296827748353",'Sales Transactions Raw Data'!B:B,"November",'Sales Transactions Raw Data'!A:A,2025,'Sales Transactions Raw Data'!J:J,"Finished Goods")</f>
        <v>0</v>
      </c>
      <c r="I11" s="54">
        <f>SUMIFS('Sales Transactions Raw Data'!V:V,'Sales Transactions Raw Data'!S:S,"Shopify admin",'Sales Transactions Raw Data'!B:B,"January",'Sales Transactions Raw Data'!A:A,2026,'Sales Transactions Raw Data'!J:J,"Finished Goods")</f>
        <v>0</v>
      </c>
      <c r="J11" s="54">
        <f>SUMIFS('Sales Transactions Raw Data'!V:V,'Sales Transactions Raw Data'!S:S,"Shopify admin",'Sales Transactions Raw Data'!B:B,"February",'Sales Transactions Raw Data'!A:A,2026,'Sales Transactions Raw Data'!J:J,"Finished Goods")</f>
        <v>0</v>
      </c>
      <c r="K11" s="54">
        <f>SUMIFS('Sales Transactions Raw Data'!V:V,'Sales Transactions Raw Data'!S:S,"Shopify admin",'Sales Transactions Raw Data'!B:B,"March",'Sales Transactions Raw Data'!A:A,2026,'Sales Transactions Raw Data'!J:J,"Finished Goods")</f>
        <v>0</v>
      </c>
      <c r="L11" s="55">
        <f t="shared" si="0"/>
        <v>0</v>
      </c>
      <c r="M11" s="2"/>
      <c r="N11" s="2"/>
      <c r="O11" s="2"/>
      <c r="P11" s="2"/>
      <c r="Q11" s="2"/>
      <c r="R11" s="2"/>
      <c r="S11" s="2"/>
      <c r="T11" s="2"/>
      <c r="U11" s="2"/>
      <c r="V11" s="2"/>
      <c r="W11" s="2"/>
      <c r="X11" s="2"/>
      <c r="Y11" s="2"/>
      <c r="Z11" s="2"/>
    </row>
    <row r="12" ht="16.5" customHeight="1" spans="1:26" x14ac:dyDescent="0.25">
      <c r="A12" s="21" t="s">
        <v>205</v>
      </c>
      <c r="B12" s="2"/>
      <c r="C12" s="54">
        <f>SUMIFS('Sales Transactions Raw Data'!V:V,'Sales Transactions Raw Data'!S:S,"faire",'Sales Transactions Raw Data'!B:B,"March",'Sales Transactions Raw Data'!A:A,2025,'Sales Transactions Raw Data'!J:J,"Finished Goods")</f>
        <v>0</v>
      </c>
      <c r="D12" s="54">
        <f>SUMIFS('Sales Transactions Raw Data'!V:V,'Sales Transactions Raw Data'!S:S,"faire",'Sales Transactions Raw Data'!B:B,"July",'Sales Transactions Raw Data'!A:A,2025,'Sales Transactions Raw Data'!J:J,"Finished Goods")</f>
        <v>0</v>
      </c>
      <c r="E12" s="54">
        <f>SUMIFS('Sales Transactions Raw Data'!V:V,'Sales Transactions Raw Data'!S:S,"faire",'Sales Transactions Raw Data'!B:B,"August",'Sales Transactions Raw Data'!A:A,2025,'Sales Transactions Raw Data'!J:J,"Finished Goods")</f>
        <v>0</v>
      </c>
      <c r="F12" s="54">
        <f>SUMIFS('Sales Transactions Raw Data'!V:V,'Sales Transactions Raw Data'!S:S,"faire",'Sales Transactions Raw Data'!B:B,"September",'Sales Transactions Raw Data'!A:A,2025,'Sales Transactions Raw Data'!J:J,"Finished Goods")</f>
        <v>0</v>
      </c>
      <c r="G12" s="54">
        <f>SUMIFS('Sales Transactions Raw Data'!V:V,'Sales Transactions Raw Data'!S:S,"faire",'Sales Transactions Raw Data'!B:B,"October",'Sales Transactions Raw Data'!A:A,2025,'Sales Transactions Raw Data'!J:J,"Finished Goods")</f>
        <v>0</v>
      </c>
      <c r="H12" s="54">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6" t="s">
        <v>206</v>
      </c>
      <c r="B13" s="57">
        <f>SUM(B4:B11)</f>
        <v>0</v>
      </c>
      <c r="C13" s="57">
        <f>SUMIFS('Sales Transactions Raw Data'!V:V,'Sales Transactions Raw Data'!S:S,"tiktok",'Sales Transactions Raw Data'!B:B,"March",'Sales Transactions Raw Data'!A:A,2025,'Sales Transactions Raw Data'!J:J,"Finished Goods")</f>
        <v>0</v>
      </c>
      <c r="D13" s="57">
        <f>SUMIFS('Sales Transactions Raw Data'!V:V,'Sales Transactions Raw Data'!S:S,"tiktok",'Sales Transactions Raw Data'!B:B,"July",'Sales Transactions Raw Data'!A:A,2025,'Sales Transactions Raw Data'!J:J,"Finished Goods")</f>
        <v>0</v>
      </c>
      <c r="E13" s="57">
        <f>SUMIFS('Sales Transactions Raw Data'!V:V,'Sales Transactions Raw Data'!S:S,"tiktok",'Sales Transactions Raw Data'!B:B,"August",'Sales Transactions Raw Data'!A:A,2025,'Sales Transactions Raw Data'!J:J,"Finished Goods")</f>
        <v>0</v>
      </c>
      <c r="F13" s="57">
        <f>SUMIFS('Sales Transactions Raw Data'!V:V,'Sales Transactions Raw Data'!S:S,"tiktok",'Sales Transactions Raw Data'!B:B,"September",'Sales Transactions Raw Data'!A:A,2025,'Sales Transactions Raw Data'!J:J,"Finished Goods")</f>
        <v>0</v>
      </c>
      <c r="G13" s="57">
        <f>SUMIFS('Sales Transactions Raw Data'!V:V,'Sales Transactions Raw Data'!S:S,"tiktok",'Sales Transactions Raw Data'!B:B,"October",'Sales Transactions Raw Data'!A:A,2025,'Sales Transactions Raw Data'!J:J,"Finished Goods")</f>
        <v>0</v>
      </c>
      <c r="H13" s="57">
        <f>SUMIFS('Sales Transactions Raw Data'!V:V,'Sales Transactions Raw Data'!S:S,"tiktok",'Sales Transactions Raw Data'!B:B,"November",'Sales Transactions Raw Data'!A:A,2025,'Sales Transactions Raw Data'!J:J,"Finished Goods")</f>
        <v>0</v>
      </c>
      <c r="I13" s="57">
        <f>SUM(I4:I11)</f>
        <v>0</v>
      </c>
      <c r="J13" s="57">
        <f>SUM(J4:J11)</f>
        <v>0</v>
      </c>
      <c r="K13" s="57">
        <f>SUM(K4:K11)</f>
        <v>0</v>
      </c>
      <c r="L13" s="57">
        <f>SUM(L4:L11)</f>
        <v>0</v>
      </c>
      <c r="M13" s="2"/>
      <c r="N13" s="2"/>
      <c r="O13" s="2"/>
      <c r="P13" s="2"/>
      <c r="Q13" s="2"/>
      <c r="R13" s="2"/>
      <c r="S13" s="2"/>
      <c r="T13" s="2"/>
      <c r="U13" s="2"/>
      <c r="V13" s="2"/>
      <c r="W13" s="2"/>
      <c r="X13" s="2"/>
      <c r="Y13" s="2"/>
      <c r="Z13" s="2"/>
    </row>
    <row r="14" ht="16.5" customHeight="1" spans="1:26" x14ac:dyDescent="0.25">
      <c r="A14" s="21" t="s">
        <v>207</v>
      </c>
      <c r="B14" s="2"/>
      <c r="C14" s="54">
        <f>SUMIFS('Sales Transactions Raw Data'!V:V,'Sales Transactions Raw Data'!S:S,"4901177",'Sales Transactions Raw Data'!B:B,"March",'Sales Transactions Raw Data'!A:A,2025,'Sales Transactions Raw Data'!J:J,"Finished Goods")</f>
        <v>0</v>
      </c>
      <c r="D14" s="54">
        <f>SUMIFS('Sales Transactions Raw Data'!V:V,'Sales Transactions Raw Data'!S:S,"4901177",'Sales Transactions Raw Data'!B:B,"July",'Sales Transactions Raw Data'!A:A,2025,'Sales Transactions Raw Data'!J:J,"Finished Goods")</f>
        <v>0</v>
      </c>
      <c r="E14" s="54">
        <f>SUMIFS('Sales Transactions Raw Data'!V:V,'Sales Transactions Raw Data'!S:S,"4901177",'Sales Transactions Raw Data'!B:B,"August",'Sales Transactions Raw Data'!A:A,2025,'Sales Transactions Raw Data'!J:J,"Finished Goods")</f>
        <v>0</v>
      </c>
      <c r="F14" s="54">
        <f>SUMIFS('Sales Transactions Raw Data'!V:V,'Sales Transactions Raw Data'!S:S,"4901177",'Sales Transactions Raw Data'!B:B,"September",'Sales Transactions Raw Data'!A:A,2025,'Sales Transactions Raw Data'!J:J,"Finished Goods")</f>
        <v>0</v>
      </c>
      <c r="G14" s="54">
        <f>SUMIFS('Sales Transactions Raw Data'!V:V,'Sales Transactions Raw Data'!S:S,"4901177",'Sales Transactions Raw Data'!B:B,"October",'Sales Transactions Raw Data'!A:A,2025,'Sales Transactions Raw Data'!J:J,"Finished Goods")</f>
        <v>0</v>
      </c>
      <c r="H14" s="54">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58" t="s">
        <v>208</v>
      </c>
      <c r="B15" s="59" t="s">
        <v>209</v>
      </c>
      <c r="C15" s="60">
        <f>SUMIFS('Sales Transactions Raw Data'!V:V,'Sales Transactions Raw Data'!S:S,"3890849",'Sales Transactions Raw Data'!B:B,"March",'Sales Transactions Raw Data'!A:A,2025,'Sales Transactions Raw Data'!J:J,"Finished Goods")</f>
        <v>0</v>
      </c>
      <c r="D15" s="61">
        <f>SUMIFS('Sales Transactions Raw Data'!V:V,'Sales Transactions Raw Data'!S:S,"3890849",'Sales Transactions Raw Data'!B:B,"July",'Sales Transactions Raw Data'!A:A,2025,'Sales Transactions Raw Data'!J:J,"Finished Goods")</f>
        <v>0</v>
      </c>
      <c r="E15" s="61">
        <f>SUMIFS('Sales Transactions Raw Data'!V:V,'Sales Transactions Raw Data'!S:S,"3890849",'Sales Transactions Raw Data'!B:B,"August",'Sales Transactions Raw Data'!A:A,2025,'Sales Transactions Raw Data'!J:J,"Finished Goods")</f>
        <v>0</v>
      </c>
      <c r="F15" s="61">
        <f>SUMIFS('Sales Transactions Raw Data'!V:V,'Sales Transactions Raw Data'!S:S,"3890849",'Sales Transactions Raw Data'!B:B,"September",'Sales Transactions Raw Data'!A:A,2025,'Sales Transactions Raw Data'!J:J,"Finished Goods")</f>
        <v>0</v>
      </c>
      <c r="G15" s="61">
        <f>SUMIFS('Sales Transactions Raw Data'!V:V,'Sales Transactions Raw Data'!S:S,"3890849",'Sales Transactions Raw Data'!B:B,"October",'Sales Transactions Raw Data'!A:A,2025,'Sales Transactions Raw Data'!J:J,"Finished Goods")</f>
        <v>0</v>
      </c>
      <c r="H15" s="61">
        <f>SUMIFS('Sales Transactions Raw Data'!V:V,'Sales Transactions Raw Data'!S:S,"3890849",'Sales Transactions Raw Data'!B:B,"November",'Sales Transactions Raw Data'!A:A,2025,'Sales Transactions Raw Data'!J:J,"Finished Goods")</f>
        <v>0</v>
      </c>
      <c r="I15" s="62" t="str">
        <f>IF(H13=0,"-",I13/H13-1)</f>
        <v>-</v>
      </c>
      <c r="J15" s="62" t="str">
        <f>IF(I13=0,"-",J13/I13-1)</f>
        <v>-</v>
      </c>
      <c r="K15" s="62" t="str">
        <f>IF(J13=0,"-",K13/J13-1)</f>
        <v>-</v>
      </c>
      <c r="L15" s="2"/>
      <c r="M15" s="2"/>
      <c r="N15" s="2"/>
      <c r="O15" s="2"/>
      <c r="P15" s="2"/>
      <c r="Q15" s="2"/>
      <c r="R15" s="2"/>
      <c r="S15" s="2"/>
      <c r="T15" s="2"/>
      <c r="U15" s="2"/>
      <c r="V15" s="2"/>
      <c r="W15" s="2"/>
      <c r="X15" s="2"/>
      <c r="Y15" s="2"/>
      <c r="Z15" s="2"/>
    </row>
    <row r="16" ht="16.5" customHeight="1" spans="1:26" x14ac:dyDescent="0.25">
      <c r="A16" s="21" t="s">
        <v>210</v>
      </c>
      <c r="B16" s="2"/>
      <c r="C16" s="54">
        <f>SUMIFS('Sales Transactions Raw Data'!V:V,'Sales Transactions Raw Data'!S:S,"2329312",'Sales Transactions Raw Data'!B:B,"March",'Sales Transactions Raw Data'!A:A,2025,'Sales Transactions Raw Data'!J:J,"Finished Goods")</f>
        <v>0</v>
      </c>
      <c r="D16" s="54">
        <f>SUMIFS('Sales Transactions Raw Data'!V:V,'Sales Transactions Raw Data'!S:S,"2329312",'Sales Transactions Raw Data'!B:B,"July",'Sales Transactions Raw Data'!A:A,2025,'Sales Transactions Raw Data'!J:J,"Finished Goods")</f>
        <v>0</v>
      </c>
      <c r="E16" s="54">
        <f>SUMIFS('Sales Transactions Raw Data'!V:V,'Sales Transactions Raw Data'!S:S,"2329312",'Sales Transactions Raw Data'!B:B,"August",'Sales Transactions Raw Data'!A:A,2025,'Sales Transactions Raw Data'!J:J,"Finished Goods")</f>
        <v>0</v>
      </c>
      <c r="F16" s="54">
        <f>SUMIFS('Sales Transactions Raw Data'!V:V,'Sales Transactions Raw Data'!S:S,"2329312",'Sales Transactions Raw Data'!B:B,"September",'Sales Transactions Raw Data'!A:A,2025,'Sales Transactions Raw Data'!J:J,"Finished Goods")</f>
        <v>0</v>
      </c>
      <c r="G16" s="54">
        <f>SUMIFS('Sales Transactions Raw Data'!V:V,'Sales Transactions Raw Data'!S:S,"2329312",'Sales Transactions Raw Data'!B:B,"October",'Sales Transactions Raw Data'!A:A,2025,'Sales Transactions Raw Data'!J:J,"Finished Goods")</f>
        <v>0</v>
      </c>
      <c r="H16" s="54">
        <f>SUMIFS('Sales Transactions Raw Data'!V:V,'Sales Transactions Raw Data'!S:S,"2329312",'Sales Transactions Raw Data'!B:B,"November",'Sales Transactions Raw Data'!A:A,2025,'Sales Transactions Raw Data'!J:J,"Finished Goods")</f>
        <v>0</v>
      </c>
      <c r="I16" s="2"/>
      <c r="J16" s="2"/>
      <c r="K16" s="2"/>
      <c r="L16" s="2"/>
      <c r="M16" s="2"/>
      <c r="N16" s="2"/>
      <c r="O16" s="2"/>
      <c r="P16" s="2"/>
      <c r="Q16" s="2"/>
      <c r="R16" s="2"/>
      <c r="S16" s="2"/>
      <c r="T16" s="2"/>
      <c r="U16" s="2"/>
      <c r="V16" s="2"/>
      <c r="W16" s="2"/>
      <c r="X16" s="2"/>
      <c r="Y16" s="2"/>
      <c r="Z16" s="2"/>
    </row>
    <row r="17" ht="16.5" customHeight="1" spans="1:26" x14ac:dyDescent="0.25">
      <c r="A17" s="17" t="s">
        <v>211</v>
      </c>
      <c r="B17" s="63">
        <f>SUMIFS('Sales Transactions Raw Data'!W:W,'Sales Transactions Raw Data'!B:B,"March",'Sales Transactions Raw Data'!A:A,2025,'Sales Transactions Raw Data'!J:J,"Finished Goods")</f>
        <v>0</v>
      </c>
      <c r="C17" s="63">
        <f t="shared" ref="C17:H17" si="1">SUM(C4:C16)</f>
        <v>0</v>
      </c>
      <c r="D17" s="63">
        <f t="shared" si="1"/>
        <v>0</v>
      </c>
      <c r="E17" s="63">
        <f t="shared" si="1"/>
        <v>0</v>
      </c>
      <c r="F17" s="63">
        <f t="shared" si="1"/>
        <v>0</v>
      </c>
      <c r="G17" s="63">
        <f t="shared" si="1"/>
        <v>0</v>
      </c>
      <c r="H17" s="63">
        <f t="shared" si="1"/>
        <v>0</v>
      </c>
      <c r="I17" s="63">
        <f>SUMIFS('Sales Transactions Raw Data'!W:W,'Sales Transactions Raw Data'!B:B,"January",'Sales Transactions Raw Data'!A:A,2026,'Sales Transactions Raw Data'!J:J,"Finished Goods")</f>
        <v>0</v>
      </c>
      <c r="J17" s="63">
        <f>SUMIFS('Sales Transactions Raw Data'!W:W,'Sales Transactions Raw Data'!B:B,"February",'Sales Transactions Raw Data'!A:A,2026,'Sales Transactions Raw Data'!J:J,"Finished Goods")</f>
        <v>0</v>
      </c>
      <c r="K17" s="63">
        <f>SUMIFS('Sales Transactions Raw Data'!W:W,'Sales Transactions Raw Data'!B:B,"March",'Sales Transactions Raw Data'!A:A,2026,'Sales Transactions Raw Data'!J:J,"Finished Goods")</f>
        <v>0</v>
      </c>
      <c r="L17" s="63">
        <f>SUM(B17:K17)</f>
        <v>0</v>
      </c>
      <c r="M17" s="2"/>
      <c r="N17" s="2"/>
      <c r="O17" s="2"/>
      <c r="P17" s="2"/>
      <c r="Q17" s="2"/>
      <c r="R17" s="2"/>
      <c r="S17" s="2"/>
      <c r="T17" s="2"/>
      <c r="U17" s="2"/>
      <c r="V17" s="2"/>
      <c r="W17" s="2"/>
      <c r="X17" s="2"/>
      <c r="Y17" s="2"/>
      <c r="Z17" s="2"/>
    </row>
    <row r="18" ht="16.5" customHeight="1" spans="1:26" x14ac:dyDescent="0.25">
      <c r="A18" s="64" t="s">
        <v>212</v>
      </c>
      <c r="B18" s="65">
        <f t="shared" ref="B18:L18" si="2">B13-B17</f>
        <v>0</v>
      </c>
      <c r="C18" s="65">
        <f t="shared" si="2"/>
        <v>0</v>
      </c>
      <c r="D18" s="65">
        <f t="shared" si="2"/>
        <v>0</v>
      </c>
      <c r="E18" s="65">
        <f t="shared" si="2"/>
        <v>0</v>
      </c>
      <c r="F18" s="65">
        <f t="shared" si="2"/>
        <v>0</v>
      </c>
      <c r="G18" s="65">
        <f t="shared" si="2"/>
        <v>0</v>
      </c>
      <c r="H18" s="65">
        <f t="shared" si="2"/>
        <v>0</v>
      </c>
      <c r="I18" s="65">
        <f t="shared" si="2"/>
        <v>0</v>
      </c>
      <c r="J18" s="65">
        <f t="shared" si="2"/>
        <v>0</v>
      </c>
      <c r="K18" s="65">
        <f t="shared" si="2"/>
        <v>0</v>
      </c>
      <c r="L18" s="65">
        <f t="shared" si="2"/>
        <v>0</v>
      </c>
      <c r="M18" s="2"/>
      <c r="N18" s="2"/>
      <c r="O18" s="2"/>
      <c r="P18" s="2"/>
      <c r="Q18" s="2"/>
      <c r="R18" s="2"/>
      <c r="S18" s="2"/>
      <c r="T18" s="2"/>
      <c r="U18" s="2"/>
      <c r="V18" s="2"/>
      <c r="W18" s="2"/>
      <c r="X18" s="2"/>
      <c r="Y18" s="2"/>
      <c r="Z18" s="2"/>
    </row>
    <row r="19" ht="16.5" customHeight="1" spans="1:26" x14ac:dyDescent="0.25">
      <c r="A19" s="66" t="s">
        <v>213</v>
      </c>
      <c r="B19" s="67" t="str">
        <f>IF(B13=0,"-",B18/B13)</f>
        <v>-</v>
      </c>
      <c r="C19" s="68">
        <f>SUMIFS('Sales Transactions Raw Data'!W:W,'Sales Transactions Raw Data'!B:B,"March",'Sales Transactions Raw Data'!A:A,2025,'Sales Transactions Raw Data'!J:J,"Finished Goods")</f>
        <v>0</v>
      </c>
      <c r="D19" s="68">
        <f>SUMIFS('Sales Transactions Raw Data'!W:W,'Sales Transactions Raw Data'!B:B,"July",'Sales Transactions Raw Data'!A:A,2025,'Sales Transactions Raw Data'!J:J,"Finished Goods")</f>
        <v>0</v>
      </c>
      <c r="E19" s="68">
        <f>SUMIFS('Sales Transactions Raw Data'!W:W,'Sales Transactions Raw Data'!B:B,"August",'Sales Transactions Raw Data'!A:A,2025,'Sales Transactions Raw Data'!J:J,"Finished Goods")</f>
        <v>0</v>
      </c>
      <c r="F19" s="68">
        <f>SUMIFS('Sales Transactions Raw Data'!W:W,'Sales Transactions Raw Data'!B:B,"September",'Sales Transactions Raw Data'!A:A,2025,'Sales Transactions Raw Data'!J:J,"Finished Goods")</f>
        <v>0</v>
      </c>
      <c r="G19" s="68">
        <f>SUMIFS('Sales Transactions Raw Data'!W:W,'Sales Transactions Raw Data'!B:B,"October",'Sales Transactions Raw Data'!A:A,2025,'Sales Transactions Raw Data'!J:J,"Finished Goods")</f>
        <v>0</v>
      </c>
      <c r="H19" s="68">
        <f>SUMIFS('Sales Transactions Raw Data'!W:W,'Sales Transactions Raw Data'!B:B,"November",'Sales Transactions Raw Data'!A:A,2025,'Sales Transactions Raw Data'!J:J,"Finished Goods")</f>
        <v>0</v>
      </c>
      <c r="I19" s="69" t="str">
        <f>IF(I13=0,"-",I18/I13)</f>
        <v>-</v>
      </c>
      <c r="J19" s="69" t="str">
        <f>IF(J13=0,"-",J18/J13)</f>
        <v>-</v>
      </c>
      <c r="K19" s="69" t="str">
        <f>IF(K13=0,"-",K18/K13)</f>
        <v>-</v>
      </c>
      <c r="L19" s="69" t="str">
        <f>IF(L13=0,"-",L18/L13)</f>
        <v>-</v>
      </c>
      <c r="M19" s="2"/>
      <c r="N19" s="2"/>
      <c r="O19" s="2"/>
      <c r="P19" s="2"/>
      <c r="Q19" s="2"/>
      <c r="R19" s="2"/>
      <c r="S19" s="2"/>
      <c r="T19" s="2"/>
      <c r="U19" s="2"/>
      <c r="V19" s="2"/>
      <c r="W19" s="2"/>
      <c r="X19" s="2"/>
      <c r="Y19" s="2"/>
      <c r="Z19" s="2"/>
    </row>
    <row r="20" ht="16.5" customHeight="1" spans="1:26" x14ac:dyDescent="0.25">
      <c r="A20" s="64" t="s">
        <v>6</v>
      </c>
      <c r="B20" s="64"/>
      <c r="C20" s="65">
        <f t="shared" ref="C20:H20" si="3">C17-C19</f>
        <v>0</v>
      </c>
      <c r="D20" s="65">
        <f t="shared" si="3"/>
        <v>0</v>
      </c>
      <c r="E20" s="65">
        <f t="shared" si="3"/>
        <v>0</v>
      </c>
      <c r="F20" s="65">
        <f t="shared" si="3"/>
        <v>0</v>
      </c>
      <c r="G20" s="65">
        <f t="shared" si="3"/>
        <v>0</v>
      </c>
      <c r="H20" s="65">
        <f t="shared" si="3"/>
        <v>0</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70" t="str">
        <f t="shared" ref="C21:H21" si="4">IF(C17=0,"-",C20/C17)</f>
        <v>-</v>
      </c>
      <c r="D21" s="70" t="str">
        <f t="shared" si="4"/>
        <v>-</v>
      </c>
      <c r="E21" s="70" t="str">
        <f t="shared" si="4"/>
        <v>-</v>
      </c>
      <c r="F21" s="70" t="str">
        <f t="shared" si="4"/>
        <v>-</v>
      </c>
      <c r="G21" s="70" t="str">
        <f t="shared" si="4"/>
        <v>-</v>
      </c>
      <c r="H21" s="70" t="str">
        <f t="shared" si="4"/>
        <v>-</v>
      </c>
      <c r="I21" s="2"/>
      <c r="J21" s="2"/>
      <c r="K21" s="2"/>
      <c r="L21" s="2"/>
      <c r="M21" s="2"/>
      <c r="N21" s="2"/>
      <c r="O21" s="2"/>
      <c r="P21" s="2"/>
      <c r="Q21" s="2"/>
      <c r="R21" s="2"/>
      <c r="S21" s="2"/>
      <c r="T21" s="2"/>
      <c r="U21" s="2"/>
      <c r="V21" s="2"/>
      <c r="W21" s="2"/>
      <c r="X21" s="2"/>
      <c r="Y21" s="2"/>
      <c r="Z21" s="2"/>
    </row>
    <row r="22" ht="16.5" customHeight="1" spans="1:26" x14ac:dyDescent="0.25">
      <c r="A22" s="22" t="s">
        <v>214</v>
      </c>
      <c r="B22" s="22"/>
      <c r="C22" s="22" t="s">
        <v>56</v>
      </c>
      <c r="D22" s="71" t="str">
        <f>IF(C17=0,"-",D17/C17-1)</f>
        <v>-</v>
      </c>
      <c r="E22" s="71" t="str">
        <f>IF(D17=0,"-",E17/D17-1)</f>
        <v>-</v>
      </c>
      <c r="F22" s="71" t="str">
        <f>IF(E17=0,"-",F17/E17-1)</f>
        <v>-</v>
      </c>
      <c r="G22" s="71" t="str">
        <f>IF(F17=0,"-",G17/F17-1)</f>
        <v>-</v>
      </c>
      <c r="H22" s="71" t="str">
        <f>IF(G17=0,"-",H17/G17-1)</f>
        <v>-</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25"/>
  <cols>
    <col min="1" max="1" width="62.85546875" customWidth="1"/>
    <col min="3" max="5" width="9.42578125" customWidth="1"/>
    <col min="7" max="7" width="12.85546875" customWidth="1"/>
    <col min="8" max="8" width="14.5703125" customWidth="1"/>
  </cols>
  <sheetData>
    <row r="1" ht="20.25" customHeight="1" spans="1:26" x14ac:dyDescent="0.25">
      <c r="A1" s="46" t="s">
        <v>215</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216</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217</v>
      </c>
      <c r="B4" s="53" t="s">
        <v>218</v>
      </c>
      <c r="C4" s="53" t="s">
        <v>219</v>
      </c>
      <c r="D4" s="53" t="s">
        <v>177</v>
      </c>
      <c r="E4" s="53" t="s">
        <v>6</v>
      </c>
      <c r="F4" s="53" t="s">
        <v>220</v>
      </c>
      <c r="G4" s="53" t="s">
        <v>221</v>
      </c>
      <c r="H4" s="53" t="s">
        <v>222</v>
      </c>
      <c r="I4" s="2"/>
      <c r="J4" s="2"/>
      <c r="K4" s="2"/>
      <c r="L4" s="2"/>
      <c r="M4" s="2"/>
      <c r="N4" s="2"/>
      <c r="O4" s="2"/>
      <c r="P4" s="2"/>
      <c r="Q4" s="2"/>
      <c r="R4" s="2"/>
      <c r="S4" s="2"/>
      <c r="T4" s="2"/>
      <c r="U4" s="2"/>
      <c r="V4" s="2"/>
      <c r="W4" s="2"/>
      <c r="X4" s="2"/>
      <c r="Y4" s="2"/>
      <c r="Z4" s="2"/>
    </row>
    <row r="5" ht="16.5" customHeight="1" spans="1:26" x14ac:dyDescent="0.25">
      <c r="A5" s="2" t="s">
        <v>159</v>
      </c>
      <c r="B5" s="72">
        <f>SUMIFS('Sales Transactions Raw Data'!T:T,'Sales Transactions Raw Data'!G:G,"Ola-Mate-VP1-16oz-12pk",'Sales Transactions Raw Data'!J:J,"Finished Goods")</f>
        <v>0</v>
      </c>
      <c r="C5" s="54">
        <f>SUMIFS('Sales Transactions Raw Data'!V:V,'Sales Transactions Raw Data'!G:G,"Ola-Mate-VP1-16oz-12pk",'Sales Transactions Raw Data'!J:J,"Finished Goods")</f>
        <v>0</v>
      </c>
      <c r="D5" s="54">
        <f>SUMIFS('Sales Transactions Raw Data'!W:W,'Sales Transactions Raw Data'!G:G,"Ola-Mate-VP1-16oz-12pk",'Sales Transactions Raw Data'!J:J,"Finished Goods")</f>
        <v>0</v>
      </c>
      <c r="E5" s="54">
        <f t="shared" ref="E5:E12" si="0">C5-D5</f>
        <v>0</v>
      </c>
      <c r="F5" s="69" t="str">
        <f t="shared" ref="F5:F12" si="1">IF(C5=0,"-",E5/C5)</f>
        <v>-</v>
      </c>
      <c r="G5" s="73" t="str">
        <f t="shared" ref="G5:G12" si="2">IF(B5=0,"-",C5/B5)</f>
        <v>-</v>
      </c>
      <c r="H5" s="73" t="str">
        <f t="shared" ref="H5:H12" si="3">IF(B5=0,"-",D5/B5)</f>
        <v>-</v>
      </c>
      <c r="I5" s="2"/>
      <c r="J5" s="2"/>
      <c r="K5" s="2"/>
      <c r="L5" s="2"/>
      <c r="M5" s="2"/>
      <c r="N5" s="2"/>
      <c r="O5" s="2"/>
      <c r="P5" s="2"/>
      <c r="Q5" s="2"/>
      <c r="R5" s="2"/>
      <c r="S5" s="2"/>
      <c r="T5" s="2"/>
      <c r="U5" s="2"/>
      <c r="V5" s="2"/>
      <c r="W5" s="2"/>
      <c r="X5" s="2"/>
      <c r="Y5" s="2"/>
      <c r="Z5" s="2"/>
    </row>
    <row r="6" ht="16.5" customHeight="1" spans="1:26" x14ac:dyDescent="0.25">
      <c r="A6" s="2" t="s">
        <v>164</v>
      </c>
      <c r="B6" s="72">
        <f>SUMIFS('Sales Transactions Raw Data'!T:T,'Sales Transactions Raw Data'!G:G,"Ola-Mate-BC-16oz-12PK",'Sales Transactions Raw Data'!J:J,"Finished Goods")</f>
        <v>0</v>
      </c>
      <c r="C6" s="54">
        <f>SUMIFS('Sales Transactions Raw Data'!V:V,'Sales Transactions Raw Data'!G:G,"Ola-Mate-BC-16oz-12PK",'Sales Transactions Raw Data'!J:J,"Finished Goods")</f>
        <v>0</v>
      </c>
      <c r="D6" s="54">
        <f>SUMIFS('Sales Transactions Raw Data'!W:W,'Sales Transactions Raw Data'!G:G,"Ola-Mate-BC-16oz-12PK",'Sales Transactions Raw Data'!J:J,"Finished Goods")</f>
        <v>0</v>
      </c>
      <c r="E6" s="54">
        <f t="shared" si="0"/>
        <v>0</v>
      </c>
      <c r="F6" s="69" t="str">
        <f t="shared" si="1"/>
        <v>-</v>
      </c>
      <c r="G6" s="73" t="str">
        <f t="shared" si="2"/>
        <v>-</v>
      </c>
      <c r="H6" s="73" t="str">
        <f t="shared" si="3"/>
        <v>-</v>
      </c>
      <c r="I6" s="2"/>
      <c r="J6" s="2"/>
      <c r="K6" s="2"/>
      <c r="L6" s="2"/>
      <c r="M6" s="2"/>
      <c r="N6" s="2"/>
      <c r="O6" s="2"/>
      <c r="P6" s="2"/>
      <c r="Q6" s="2"/>
      <c r="R6" s="2"/>
      <c r="S6" s="2"/>
      <c r="T6" s="2"/>
      <c r="U6" s="2"/>
      <c r="V6" s="2"/>
      <c r="W6" s="2"/>
      <c r="X6" s="2"/>
      <c r="Y6" s="2"/>
      <c r="Z6" s="2"/>
    </row>
    <row r="7" ht="16.5" customHeight="1" spans="1:26" x14ac:dyDescent="0.25">
      <c r="A7" s="2" t="s">
        <v>223</v>
      </c>
      <c r="B7" s="72">
        <f>SUMIFS('Sales Transactions Raw Data'!T:T,'Sales Transactions Raw Data'!G:G,"Ola-Mate-R-16oz-12pk",'Sales Transactions Raw Data'!J:J,"Finished Goods")</f>
        <v>0</v>
      </c>
      <c r="C7" s="54">
        <f>SUMIFS('Sales Transactions Raw Data'!V:V,'Sales Transactions Raw Data'!G:G,"Ola-Mate-R-16oz-12pk",'Sales Transactions Raw Data'!J:J,"Finished Goods")</f>
        <v>0</v>
      </c>
      <c r="D7" s="54">
        <f>SUMIFS('Sales Transactions Raw Data'!W:W,'Sales Transactions Raw Data'!G:G,"Ola-Mate-R-16oz-12pk",'Sales Transactions Raw Data'!J:J,"Finished Goods")</f>
        <v>0</v>
      </c>
      <c r="E7" s="54">
        <f t="shared" si="0"/>
        <v>0</v>
      </c>
      <c r="F7" s="69" t="str">
        <f t="shared" si="1"/>
        <v>-</v>
      </c>
      <c r="G7" s="73" t="str">
        <f t="shared" si="2"/>
        <v>-</v>
      </c>
      <c r="H7" s="73" t="str">
        <f t="shared" si="3"/>
        <v>-</v>
      </c>
      <c r="I7" s="2"/>
      <c r="J7" s="2"/>
      <c r="K7" s="2"/>
      <c r="L7" s="2"/>
      <c r="M7" s="2"/>
      <c r="N7" s="2"/>
      <c r="O7" s="2"/>
      <c r="P7" s="2"/>
      <c r="Q7" s="2"/>
      <c r="R7" s="2"/>
      <c r="S7" s="2"/>
      <c r="T7" s="2"/>
      <c r="U7" s="2"/>
      <c r="V7" s="2"/>
      <c r="W7" s="2"/>
      <c r="X7" s="2"/>
      <c r="Y7" s="2"/>
      <c r="Z7" s="2"/>
    </row>
    <row r="8" ht="16.5" customHeight="1" spans="1:26" x14ac:dyDescent="0.25">
      <c r="A8" s="2" t="s">
        <v>224</v>
      </c>
      <c r="B8" s="72">
        <f>SUMIFS('Sales Transactions Raw Data'!T:T,'Sales Transactions Raw Data'!G:G,"Ola-Mate-GG-16oz-12pk",'Sales Transactions Raw Data'!J:J,"Finished Goods")</f>
        <v>0</v>
      </c>
      <c r="C8" s="54">
        <f>SUMIFS('Sales Transactions Raw Data'!V:V,'Sales Transactions Raw Data'!G:G,"Ola-Mate-GG-16oz-12pk",'Sales Transactions Raw Data'!J:J,"Finished Goods")</f>
        <v>0</v>
      </c>
      <c r="D8" s="54">
        <f>SUMIFS('Sales Transactions Raw Data'!W:W,'Sales Transactions Raw Data'!G:G,"Ola-Mate-GG-16oz-12pk",'Sales Transactions Raw Data'!J:J,"Finished Goods")</f>
        <v>0</v>
      </c>
      <c r="E8" s="54">
        <f t="shared" si="0"/>
        <v>0</v>
      </c>
      <c r="F8" s="69" t="str">
        <f t="shared" si="1"/>
        <v>-</v>
      </c>
      <c r="G8" s="73" t="str">
        <f t="shared" si="2"/>
        <v>-</v>
      </c>
      <c r="H8" s="73" t="str">
        <f t="shared" si="3"/>
        <v>-</v>
      </c>
      <c r="I8" s="2"/>
      <c r="J8" s="2"/>
      <c r="K8" s="2"/>
      <c r="L8" s="2"/>
      <c r="M8" s="2"/>
      <c r="N8" s="2"/>
      <c r="O8" s="2"/>
      <c r="P8" s="2"/>
      <c r="Q8" s="2"/>
      <c r="R8" s="2"/>
      <c r="S8" s="2"/>
      <c r="T8" s="2"/>
      <c r="U8" s="2"/>
      <c r="V8" s="2"/>
      <c r="W8" s="2"/>
      <c r="X8" s="2"/>
      <c r="Y8" s="2"/>
      <c r="Z8" s="2"/>
    </row>
    <row r="9" ht="16.5" customHeight="1" spans="1:26" x14ac:dyDescent="0.25">
      <c r="A9" s="2" t="s">
        <v>225</v>
      </c>
      <c r="B9" s="72">
        <f>SUMIFS('Sales Transactions Raw Data'!T:T,'Sales Transactions Raw Data'!G:G,"Ola-Mate-SP1-16oz-4pk",'Sales Transactions Raw Data'!J:J,"Finished Goods")</f>
        <v>0</v>
      </c>
      <c r="C9" s="54">
        <f>SUMIFS('Sales Transactions Raw Data'!V:V,'Sales Transactions Raw Data'!G:G,"Ola-Mate-SP1-16oz-4pk",'Sales Transactions Raw Data'!J:J,"Finished Goods")</f>
        <v>0</v>
      </c>
      <c r="D9" s="54">
        <f>SUMIFS('Sales Transactions Raw Data'!W:W,'Sales Transactions Raw Data'!G:G,"Ola-Mate-SP1-16oz-4pk",'Sales Transactions Raw Data'!J:J,"Finished Goods")</f>
        <v>0</v>
      </c>
      <c r="E9" s="54">
        <f t="shared" si="0"/>
        <v>0</v>
      </c>
      <c r="F9" s="69" t="str">
        <f t="shared" si="1"/>
        <v>-</v>
      </c>
      <c r="G9" s="73" t="str">
        <f t="shared" si="2"/>
        <v>-</v>
      </c>
      <c r="H9" s="73" t="str">
        <f t="shared" si="3"/>
        <v>-</v>
      </c>
      <c r="I9" s="2"/>
      <c r="J9" s="2"/>
      <c r="K9" s="2"/>
      <c r="L9" s="2"/>
      <c r="M9" s="2"/>
      <c r="N9" s="2"/>
      <c r="O9" s="2"/>
      <c r="P9" s="2"/>
      <c r="Q9" s="2"/>
      <c r="R9" s="2"/>
      <c r="S9" s="2"/>
      <c r="T9" s="2"/>
      <c r="U9" s="2"/>
      <c r="V9" s="2"/>
      <c r="W9" s="2"/>
      <c r="X9" s="2"/>
      <c r="Y9" s="2"/>
      <c r="Z9" s="2"/>
    </row>
    <row r="10" ht="16.5" customHeight="1" spans="1:26" x14ac:dyDescent="0.25">
      <c r="A10" s="2" t="s">
        <v>226</v>
      </c>
      <c r="B10" s="72">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54">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54">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54">
        <f t="shared" si="0"/>
        <v>0</v>
      </c>
      <c r="F10" s="69" t="str">
        <f t="shared" si="1"/>
        <v>-</v>
      </c>
      <c r="G10" s="73" t="str">
        <f t="shared" si="2"/>
        <v>-</v>
      </c>
      <c r="H10" s="73" t="str">
        <f t="shared" si="3"/>
        <v>-</v>
      </c>
      <c r="I10" s="2"/>
      <c r="J10" s="2"/>
      <c r="K10" s="2"/>
      <c r="L10" s="2"/>
      <c r="M10" s="2"/>
      <c r="N10" s="2"/>
      <c r="O10" s="2"/>
      <c r="P10" s="2"/>
      <c r="Q10" s="2"/>
      <c r="R10" s="2"/>
      <c r="S10" s="2"/>
      <c r="T10" s="2"/>
      <c r="U10" s="2"/>
      <c r="V10" s="2"/>
      <c r="W10" s="2"/>
      <c r="X10" s="2"/>
      <c r="Y10" s="2"/>
      <c r="Z10" s="2"/>
    </row>
    <row r="11" ht="16.5" customHeight="1" spans="1:26" x14ac:dyDescent="0.25">
      <c r="A11" s="2" t="s">
        <v>227</v>
      </c>
      <c r="B11" s="72">
        <f>SUMIFS('Sales Transactions Raw Data'!T:T,'Sales Transactions Raw Data'!G:G,"Ola-Mate-POW-*",'Sales Transactions Raw Data'!J:J,"Finished Goods")</f>
        <v>0</v>
      </c>
      <c r="C11" s="54">
        <f>SUMIFS('Sales Transactions Raw Data'!V:V,'Sales Transactions Raw Data'!G:G,"Ola-Mate-POW-*",'Sales Transactions Raw Data'!J:J,"Finished Goods")</f>
        <v>0</v>
      </c>
      <c r="D11" s="54">
        <f>SUMIFS('Sales Transactions Raw Data'!W:W,'Sales Transactions Raw Data'!G:G,"Ola-Mate-POW-*",'Sales Transactions Raw Data'!J:J,"Finished Goods")</f>
        <v>0</v>
      </c>
      <c r="E11" s="54">
        <f t="shared" si="0"/>
        <v>0</v>
      </c>
      <c r="F11" s="69" t="str">
        <f t="shared" si="1"/>
        <v>-</v>
      </c>
      <c r="G11" s="73" t="str">
        <f t="shared" si="2"/>
        <v>-</v>
      </c>
      <c r="H11" s="73" t="str">
        <f t="shared" si="3"/>
        <v>-</v>
      </c>
      <c r="I11" s="2"/>
      <c r="J11" s="2"/>
      <c r="K11" s="2"/>
      <c r="L11" s="2"/>
      <c r="M11" s="2"/>
      <c r="N11" s="2"/>
      <c r="O11" s="2"/>
      <c r="P11" s="2"/>
      <c r="Q11" s="2"/>
      <c r="R11" s="2"/>
      <c r="S11" s="2"/>
      <c r="T11" s="2"/>
      <c r="U11" s="2"/>
      <c r="V11" s="2"/>
      <c r="W11" s="2"/>
      <c r="X11" s="2"/>
      <c r="Y11" s="2"/>
      <c r="Z11" s="2"/>
    </row>
    <row r="12" ht="16.5" customHeight="1" spans="1:26" x14ac:dyDescent="0.25">
      <c r="A12" s="74" t="s">
        <v>228</v>
      </c>
      <c r="B12" s="75">
        <f>SUM(B5:B11)</f>
        <v>0</v>
      </c>
      <c r="C12" s="57">
        <f>SUM(C5:C11)</f>
        <v>0</v>
      </c>
      <c r="D12" s="57">
        <f>SUM(D5:D11)</f>
        <v>0</v>
      </c>
      <c r="E12" s="57">
        <f t="shared" si="0"/>
        <v>0</v>
      </c>
      <c r="F12" s="76" t="str">
        <f t="shared" si="1"/>
        <v>-</v>
      </c>
      <c r="G12" s="77" t="str">
        <f t="shared" si="2"/>
        <v>-</v>
      </c>
      <c r="H12" s="77" t="str">
        <f t="shared" si="3"/>
        <v>-</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229</v>
      </c>
      <c r="B14" s="53" t="s">
        <v>218</v>
      </c>
      <c r="C14" s="53" t="s">
        <v>219</v>
      </c>
      <c r="D14" s="53" t="s">
        <v>177</v>
      </c>
      <c r="E14" s="53" t="s">
        <v>6</v>
      </c>
      <c r="F14" s="53" t="s">
        <v>220</v>
      </c>
      <c r="G14" s="53" t="s">
        <v>230</v>
      </c>
      <c r="H14" s="53" t="s">
        <v>221</v>
      </c>
      <c r="I14" s="2"/>
      <c r="J14" s="2"/>
      <c r="K14" s="2"/>
      <c r="L14" s="2"/>
      <c r="M14" s="2"/>
      <c r="N14" s="2"/>
      <c r="O14" s="2"/>
      <c r="P14" s="2"/>
      <c r="Q14" s="2"/>
      <c r="R14" s="2"/>
      <c r="S14" s="2"/>
      <c r="T14" s="2"/>
      <c r="U14" s="2"/>
      <c r="V14" s="2"/>
      <c r="W14" s="2"/>
      <c r="X14" s="2"/>
      <c r="Y14" s="2"/>
      <c r="Z14" s="2"/>
    </row>
    <row r="15" ht="16.5" customHeight="1" spans="1:26" x14ac:dyDescent="0.25">
      <c r="A15" s="2" t="s">
        <v>186</v>
      </c>
      <c r="B15" s="72">
        <f>SUMIFS('Sales Transactions Raw Data'!T:T,'Sales Transactions Raw Data'!J:J,"Finished Goods")</f>
        <v>0</v>
      </c>
      <c r="C15" s="54">
        <f>SUMIFS('Sales Transactions Raw Data'!V:V,'Sales Transactions Raw Data'!J:J,"Finished Goods")</f>
        <v>0</v>
      </c>
      <c r="D15" s="54">
        <f>SUMIFS('Sales Transactions Raw Data'!W:W,'Sales Transactions Raw Data'!J:J,"Finished Goods")</f>
        <v>0</v>
      </c>
      <c r="E15" s="54">
        <f>C15-D15</f>
        <v>0</v>
      </c>
      <c r="F15" s="69" t="str">
        <f>IF(C15=0,"-",E15/C15)</f>
        <v>-</v>
      </c>
      <c r="G15" s="69" t="str">
        <f>IF(C$17=0,"-",C15/C$17)</f>
        <v>-</v>
      </c>
      <c r="H15" s="73" t="str">
        <f>IF(B15=0,"-",C15/B15)</f>
        <v>-</v>
      </c>
      <c r="I15" s="2"/>
      <c r="J15" s="2"/>
      <c r="K15" s="2"/>
      <c r="L15" s="2"/>
      <c r="M15" s="2"/>
      <c r="N15" s="2"/>
      <c r="O15" s="2"/>
      <c r="P15" s="2"/>
      <c r="Q15" s="2"/>
      <c r="R15" s="2"/>
      <c r="S15" s="2"/>
      <c r="T15" s="2"/>
      <c r="U15" s="2"/>
      <c r="V15" s="2"/>
      <c r="W15" s="2"/>
      <c r="X15" s="2"/>
      <c r="Y15" s="2"/>
      <c r="Z15" s="2"/>
    </row>
    <row r="16" ht="16.5" customHeight="1" spans="1:26" x14ac:dyDescent="0.25">
      <c r="A16" s="2" t="s">
        <v>231</v>
      </c>
      <c r="B16" s="72">
        <f>SUMIFS('Sales Transactions Raw Data'!T:T,'Sales Transactions Raw Data'!J:J,"Service")</f>
        <v>0</v>
      </c>
      <c r="C16" s="54">
        <f>SUMIFS('Sales Transactions Raw Data'!V:V,'Sales Transactions Raw Data'!J:J,"Service")</f>
        <v>0</v>
      </c>
      <c r="D16" s="54">
        <f>SUMIFS('Sales Transactions Raw Data'!W:W,'Sales Transactions Raw Data'!J:J,"Service")</f>
        <v>0</v>
      </c>
      <c r="E16" s="54">
        <f>C16-D16</f>
        <v>0</v>
      </c>
      <c r="F16" s="69" t="str">
        <f>IF(C16=0,"-",E16/C16)</f>
        <v>-</v>
      </c>
      <c r="G16" s="69" t="str">
        <f>IF(C$17=0,"-",C16/C$17)</f>
        <v>-</v>
      </c>
      <c r="H16" s="73" t="str">
        <f>IF(B16=0,"-",C16/B16)</f>
        <v>-</v>
      </c>
      <c r="I16" s="2"/>
      <c r="J16" s="2"/>
      <c r="K16" s="2"/>
      <c r="L16" s="2"/>
      <c r="M16" s="2"/>
      <c r="N16" s="2"/>
      <c r="O16" s="2"/>
      <c r="P16" s="2"/>
      <c r="Q16" s="2"/>
      <c r="R16" s="2"/>
      <c r="S16" s="2"/>
      <c r="T16" s="2"/>
      <c r="U16" s="2"/>
      <c r="V16" s="2"/>
      <c r="W16" s="2"/>
      <c r="X16" s="2"/>
      <c r="Y16" s="2"/>
      <c r="Z16" s="2"/>
    </row>
    <row r="17" ht="16.5" customHeight="1" spans="1:26" x14ac:dyDescent="0.25">
      <c r="A17" s="74" t="s">
        <v>232</v>
      </c>
      <c r="B17" s="75">
        <f>B15+B16</f>
        <v>0</v>
      </c>
      <c r="C17" s="57">
        <f>C15+C16</f>
        <v>0</v>
      </c>
      <c r="D17" s="57">
        <f>D15+D16</f>
        <v>0</v>
      </c>
      <c r="E17" s="57">
        <f>C17-D17</f>
        <v>0</v>
      </c>
      <c r="F17" s="76" t="str">
        <f>IF(C17=0,"-",E17/C17)</f>
        <v>-</v>
      </c>
      <c r="G17" s="78">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36.140625" customWidth="1"/>
    <col min="2" max="14" width="17.140625" customWidth="1"/>
  </cols>
  <sheetData>
    <row r="1" ht="20.25" customHeight="1" spans="1:26" x14ac:dyDescent="0.25">
      <c r="A1" s="46" t="s">
        <v>233</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234</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53" t="s">
        <v>235</v>
      </c>
      <c r="B4" s="53" t="s">
        <v>236</v>
      </c>
      <c r="C4" s="53" t="s">
        <v>237</v>
      </c>
      <c r="D4" s="53" t="s">
        <v>238</v>
      </c>
      <c r="E4" s="53" t="s">
        <v>239</v>
      </c>
      <c r="F4" s="53" t="s">
        <v>240</v>
      </c>
      <c r="G4" s="53" t="s">
        <v>241</v>
      </c>
      <c r="H4" s="53" t="s">
        <v>242</v>
      </c>
      <c r="I4" s="53" t="s">
        <v>243</v>
      </c>
      <c r="J4" s="53" t="s">
        <v>244</v>
      </c>
      <c r="K4" s="53" t="s">
        <v>245</v>
      </c>
      <c r="L4" s="53" t="s">
        <v>246</v>
      </c>
      <c r="M4" s="53" t="s">
        <v>247</v>
      </c>
      <c r="N4" s="53" t="s">
        <v>196</v>
      </c>
      <c r="O4" s="2"/>
      <c r="P4" s="2"/>
      <c r="Q4" s="2"/>
      <c r="R4" s="2"/>
      <c r="S4" s="2"/>
      <c r="T4" s="2"/>
      <c r="U4" s="2"/>
      <c r="V4" s="2"/>
      <c r="W4" s="2"/>
      <c r="X4" s="2"/>
      <c r="Y4" s="2"/>
      <c r="Z4" s="2"/>
    </row>
    <row r="5" ht="16.5" customHeight="1" spans="1:26" x14ac:dyDescent="0.25">
      <c r="A5" s="19" t="s">
        <v>159</v>
      </c>
      <c r="B5" s="79">
        <f>SUMIFS('Sales Transactions Raw Data'!V:V,'Sales Transactions Raw Data'!G:G,"Ola-Mate-VP1-16oz-12pk",'Sales Transactions Raw Data'!S:S,"amazon",'Sales Transactions Raw Data'!J:J,"Finished Goods")</f>
        <v>0</v>
      </c>
      <c r="C5" s="79">
        <f>SUMIFS('Sales Transactions Raw Data'!V:V,'Sales Transactions Raw Data'!G:G,"Ola-Mate-VP1-16oz-12pk",'Sales Transactions Raw Data'!S:S,"amazon-us",'Sales Transactions Raw Data'!J:J,"Finished Goods")</f>
        <v>0</v>
      </c>
      <c r="D5" s="79">
        <f>SUMIFS('Sales Transactions Raw Data'!V:V,'Sales Transactions Raw Data'!G:G,"Ola-Mate-VP1-16oz-12pk",'Sales Transactions Raw Data'!S:S,"Shopify web",'Sales Transactions Raw Data'!J:J,"Finished Goods")</f>
        <v>0</v>
      </c>
      <c r="E5" s="79">
        <f>SUMIFS('Sales Transactions Raw Data'!V:V,'Sales Transactions Raw Data'!G:G,"Ola-Mate-VP1-16oz-12pk",'Sales Transactions Raw Data'!S:S,"Shopify POS",'Sales Transactions Raw Data'!J:J,"Finished Goods")</f>
        <v>0</v>
      </c>
      <c r="F5" s="79">
        <f>SUMIFS('Sales Transactions Raw Data'!V:V,'Sales Transactions Raw Data'!G:G,"Ola-Mate-VP1-16oz-12pk",'Sales Transactions Raw Data'!S:S,"Shopify admin",'Sales Transactions Raw Data'!J:J,"Finished Goods")</f>
        <v>0</v>
      </c>
      <c r="G5" s="79">
        <f>SUMIFS('Sales Transactions Raw Data'!V:V,'Sales Transactions Raw Data'!G:G,"Ola-Mate-VP1-16oz-12pk",'Sales Transactions Raw Data'!S:S,"subscription_contract",'Sales Transactions Raw Data'!J:J,"Finished Goods")</f>
        <v>0</v>
      </c>
      <c r="H5" s="79">
        <f>SUMIFS('Sales Transactions Raw Data'!V:V,'Sales Transactions Raw Data'!G:G,"Ola-Mate-VP1-16oz-12pk",'Sales Transactions Raw Data'!S:S,"subscription_contract_checkout_one",'Sales Transactions Raw Data'!J:J,"Finished Goods")</f>
        <v>0</v>
      </c>
      <c r="I5" s="79">
        <f>SUMIFS('Sales Transactions Raw Data'!V:V,'Sales Transactions Raw Data'!G:G,"Ola-Mate-VP1-16oz-12pk",'Sales Transactions Raw Data'!S:S,"296827748353",'Sales Transactions Raw Data'!J:J,"Finished Goods")</f>
        <v>0</v>
      </c>
      <c r="J5" s="79">
        <f>SUMIFS('Sales Transactions Raw Data'!V:V,'Sales Transactions Raw Data'!G:G,"Ola-Mate-VP1-16oz-12pk",'Sales Transactions Raw Data'!S:S,"faire",'Sales Transactions Raw Data'!J:J,"Finished Goods")</f>
        <v>0</v>
      </c>
      <c r="K5" s="79">
        <f>SUMIFS('Sales Transactions Raw Data'!V:V,'Sales Transactions Raw Data'!G:G,"Ola-Mate-VP1-16oz-12pk",'Sales Transactions Raw Data'!S:S,"tiktok",'Sales Transactions Raw Data'!J:J,"Finished Goods")</f>
        <v>0</v>
      </c>
      <c r="L5" s="79">
        <f>SUMIFS('Sales Transactions Raw Data'!V:V,'Sales Transactions Raw Data'!G:G,"Ola-Mate-VP1-16oz-12pk",'Sales Transactions Raw Data'!S:S,"4901177",'Sales Transactions Raw Data'!J:J,"Finished Goods")</f>
        <v>0</v>
      </c>
      <c r="M5" s="79">
        <f>SUMIFS('Sales Transactions Raw Data'!V:V,'Sales Transactions Raw Data'!G:G,"Ola-Mate-VP1-16oz-12pk",'Sales Transactions Raw Data'!S:S,"3890849",'Sales Transactions Raw Data'!J:J,"Finished Goods")</f>
        <v>0</v>
      </c>
      <c r="N5" s="80">
        <f t="shared" ref="N5:N11" si="0">SUM(B5:M5)</f>
        <v>0</v>
      </c>
      <c r="O5" s="2"/>
      <c r="P5" s="2"/>
      <c r="Q5" s="2"/>
      <c r="R5" s="2"/>
      <c r="S5" s="2"/>
      <c r="T5" s="2"/>
      <c r="U5" s="2"/>
      <c r="V5" s="2"/>
      <c r="W5" s="2"/>
      <c r="X5" s="2"/>
      <c r="Y5" s="2"/>
      <c r="Z5" s="2"/>
    </row>
    <row r="6" ht="16.5" customHeight="1" spans="1:26" x14ac:dyDescent="0.25">
      <c r="A6" s="21" t="s">
        <v>164</v>
      </c>
      <c r="B6" s="81">
        <f>SUMIFS('Sales Transactions Raw Data'!V:V,'Sales Transactions Raw Data'!G:G,"Ola-Mate-BC-16oz-12PK",'Sales Transactions Raw Data'!S:S,"amazon",'Sales Transactions Raw Data'!J:J,"Finished Goods")</f>
        <v>0</v>
      </c>
      <c r="C6" s="81">
        <f>SUMIFS('Sales Transactions Raw Data'!V:V,'Sales Transactions Raw Data'!G:G,"Ola-Mate-BC-16oz-12PK",'Sales Transactions Raw Data'!S:S,"amazon-us",'Sales Transactions Raw Data'!J:J,"Finished Goods")</f>
        <v>0</v>
      </c>
      <c r="D6" s="81">
        <f>SUMIFS('Sales Transactions Raw Data'!V:V,'Sales Transactions Raw Data'!G:G,"Ola-Mate-BC-16oz-12PK",'Sales Transactions Raw Data'!S:S,"Shopify web",'Sales Transactions Raw Data'!J:J,"Finished Goods")</f>
        <v>0</v>
      </c>
      <c r="E6" s="81">
        <f>SUMIFS('Sales Transactions Raw Data'!V:V,'Sales Transactions Raw Data'!G:G,"Ola-Mate-BC-16oz-12PK",'Sales Transactions Raw Data'!S:S,"Shopify POS",'Sales Transactions Raw Data'!J:J,"Finished Goods")</f>
        <v>0</v>
      </c>
      <c r="F6" s="81">
        <f>SUMIFS('Sales Transactions Raw Data'!V:V,'Sales Transactions Raw Data'!G:G,"Ola-Mate-BC-16oz-12PK",'Sales Transactions Raw Data'!S:S,"Shopify admin",'Sales Transactions Raw Data'!J:J,"Finished Goods")</f>
        <v>0</v>
      </c>
      <c r="G6" s="81">
        <f>SUMIFS('Sales Transactions Raw Data'!V:V,'Sales Transactions Raw Data'!G:G,"Ola-Mate-BC-16oz-12PK",'Sales Transactions Raw Data'!S:S,"subscription_contract",'Sales Transactions Raw Data'!J:J,"Finished Goods")</f>
        <v>0</v>
      </c>
      <c r="H6" s="81">
        <f>SUMIFS('Sales Transactions Raw Data'!V:V,'Sales Transactions Raw Data'!G:G,"Ola-Mate-BC-16oz-12PK",'Sales Transactions Raw Data'!S:S,"subscription_contract_checkout_one",'Sales Transactions Raw Data'!J:J,"Finished Goods")</f>
        <v>0</v>
      </c>
      <c r="I6" s="81">
        <f>SUMIFS('Sales Transactions Raw Data'!V:V,'Sales Transactions Raw Data'!G:G,"Ola-Mate-BC-16oz-12PK",'Sales Transactions Raw Data'!S:S,"296827748353",'Sales Transactions Raw Data'!J:J,"Finished Goods")</f>
        <v>0</v>
      </c>
      <c r="J6" s="81">
        <f>SUMIFS('Sales Transactions Raw Data'!V:V,'Sales Transactions Raw Data'!G:G,"Ola-Mate-BC-16oz-12PK",'Sales Transactions Raw Data'!S:S,"faire",'Sales Transactions Raw Data'!J:J,"Finished Goods")</f>
        <v>0</v>
      </c>
      <c r="K6" s="81">
        <f>SUMIFS('Sales Transactions Raw Data'!V:V,'Sales Transactions Raw Data'!G:G,"Ola-Mate-BC-16oz-12PK",'Sales Transactions Raw Data'!S:S,"tiktok",'Sales Transactions Raw Data'!J:J,"Finished Goods")</f>
        <v>0</v>
      </c>
      <c r="L6" s="81">
        <f>SUMIFS('Sales Transactions Raw Data'!V:V,'Sales Transactions Raw Data'!G:G,"Ola-Mate-BC-16oz-12PK",'Sales Transactions Raw Data'!S:S,"4901177",'Sales Transactions Raw Data'!J:J,"Finished Goods")</f>
        <v>0</v>
      </c>
      <c r="M6" s="81">
        <f>SUMIFS('Sales Transactions Raw Data'!V:V,'Sales Transactions Raw Data'!G:G,"Ola-Mate-BC-16oz-12PK",'Sales Transactions Raw Data'!S:S,"3890849",'Sales Transactions Raw Data'!J:J,"Finished Goods")</f>
        <v>0</v>
      </c>
      <c r="N6" s="82">
        <f t="shared" si="0"/>
        <v>0</v>
      </c>
      <c r="O6" s="2"/>
      <c r="P6" s="2"/>
      <c r="Q6" s="2"/>
      <c r="R6" s="2"/>
      <c r="S6" s="2"/>
      <c r="T6" s="2"/>
      <c r="U6" s="2"/>
      <c r="V6" s="2"/>
      <c r="W6" s="2"/>
      <c r="X6" s="2"/>
      <c r="Y6" s="2"/>
      <c r="Z6" s="2"/>
    </row>
    <row r="7" ht="16.5" customHeight="1" spans="1:26" x14ac:dyDescent="0.25">
      <c r="A7" s="19" t="s">
        <v>223</v>
      </c>
      <c r="B7" s="79">
        <f>SUMIFS('Sales Transactions Raw Data'!V:V,'Sales Transactions Raw Data'!G:G,"Ola-Mate-R-16oz-12pk",'Sales Transactions Raw Data'!S:S,"amazon",'Sales Transactions Raw Data'!J:J,"Finished Goods")</f>
        <v>0</v>
      </c>
      <c r="C7" s="79">
        <f>SUMIFS('Sales Transactions Raw Data'!V:V,'Sales Transactions Raw Data'!G:G,"Ola-Mate-R-16oz-12pk",'Sales Transactions Raw Data'!S:S,"amazon-us",'Sales Transactions Raw Data'!J:J,"Finished Goods")</f>
        <v>0</v>
      </c>
      <c r="D7" s="79">
        <f>SUMIFS('Sales Transactions Raw Data'!V:V,'Sales Transactions Raw Data'!G:G,"Ola-Mate-R-16oz-12pk",'Sales Transactions Raw Data'!S:S,"Shopify web",'Sales Transactions Raw Data'!J:J,"Finished Goods")</f>
        <v>0</v>
      </c>
      <c r="E7" s="79">
        <f>SUMIFS('Sales Transactions Raw Data'!V:V,'Sales Transactions Raw Data'!G:G,"Ola-Mate-R-16oz-12pk",'Sales Transactions Raw Data'!S:S,"Shopify POS",'Sales Transactions Raw Data'!J:J,"Finished Goods")</f>
        <v>0</v>
      </c>
      <c r="F7" s="79">
        <f>SUMIFS('Sales Transactions Raw Data'!V:V,'Sales Transactions Raw Data'!G:G,"Ola-Mate-R-16oz-12pk",'Sales Transactions Raw Data'!S:S,"Shopify admin",'Sales Transactions Raw Data'!J:J,"Finished Goods")</f>
        <v>0</v>
      </c>
      <c r="G7" s="79">
        <f>SUMIFS('Sales Transactions Raw Data'!V:V,'Sales Transactions Raw Data'!G:G,"Ola-Mate-R-16oz-12pk",'Sales Transactions Raw Data'!S:S,"subscription_contract",'Sales Transactions Raw Data'!J:J,"Finished Goods")</f>
        <v>0</v>
      </c>
      <c r="H7" s="79">
        <f>SUMIFS('Sales Transactions Raw Data'!V:V,'Sales Transactions Raw Data'!G:G,"Ola-Mate-R-16oz-12pk",'Sales Transactions Raw Data'!S:S,"subscription_contract_checkout_one",'Sales Transactions Raw Data'!J:J,"Finished Goods")</f>
        <v>0</v>
      </c>
      <c r="I7" s="79">
        <f>SUMIFS('Sales Transactions Raw Data'!V:V,'Sales Transactions Raw Data'!G:G,"Ola-Mate-R-16oz-12pk",'Sales Transactions Raw Data'!S:S,"296827748353",'Sales Transactions Raw Data'!J:J,"Finished Goods")</f>
        <v>0</v>
      </c>
      <c r="J7" s="79">
        <f>SUMIFS('Sales Transactions Raw Data'!V:V,'Sales Transactions Raw Data'!G:G,"Ola-Mate-R-16oz-12pk",'Sales Transactions Raw Data'!S:S,"faire",'Sales Transactions Raw Data'!J:J,"Finished Goods")</f>
        <v>0</v>
      </c>
      <c r="K7" s="79">
        <f>SUMIFS('Sales Transactions Raw Data'!V:V,'Sales Transactions Raw Data'!G:G,"Ola-Mate-R-16oz-12pk",'Sales Transactions Raw Data'!S:S,"tiktok",'Sales Transactions Raw Data'!J:J,"Finished Goods")</f>
        <v>0</v>
      </c>
      <c r="L7" s="79">
        <f>SUMIFS('Sales Transactions Raw Data'!V:V,'Sales Transactions Raw Data'!G:G,"Ola-Mate-R-16oz-12pk",'Sales Transactions Raw Data'!S:S,"4901177",'Sales Transactions Raw Data'!J:J,"Finished Goods")</f>
        <v>0</v>
      </c>
      <c r="M7" s="79">
        <f>SUMIFS('Sales Transactions Raw Data'!V:V,'Sales Transactions Raw Data'!G:G,"Ola-Mate-R-16oz-12pk",'Sales Transactions Raw Data'!S:S,"3890849",'Sales Transactions Raw Data'!J:J,"Finished Goods")</f>
        <v>0</v>
      </c>
      <c r="N7" s="80">
        <f t="shared" si="0"/>
        <v>0</v>
      </c>
      <c r="O7" s="2"/>
      <c r="P7" s="2"/>
      <c r="Q7" s="2"/>
      <c r="R7" s="2"/>
      <c r="S7" s="2"/>
      <c r="T7" s="2"/>
      <c r="U7" s="2"/>
      <c r="V7" s="2"/>
      <c r="W7" s="2"/>
      <c r="X7" s="2"/>
      <c r="Y7" s="2"/>
      <c r="Z7" s="2"/>
    </row>
    <row r="8" ht="16.5" customHeight="1" spans="1:26" x14ac:dyDescent="0.25">
      <c r="A8" s="21" t="s">
        <v>224</v>
      </c>
      <c r="B8" s="81">
        <f>SUMIFS('Sales Transactions Raw Data'!V:V,'Sales Transactions Raw Data'!G:G,"Ola-Mate-GG-16oz-12pk",'Sales Transactions Raw Data'!S:S,"amazon",'Sales Transactions Raw Data'!J:J,"Finished Goods")</f>
        <v>0</v>
      </c>
      <c r="C8" s="81">
        <f>SUMIFS('Sales Transactions Raw Data'!V:V,'Sales Transactions Raw Data'!G:G,"Ola-Mate-GG-16oz-12pk",'Sales Transactions Raw Data'!S:S,"amazon-us",'Sales Transactions Raw Data'!J:J,"Finished Goods")</f>
        <v>0</v>
      </c>
      <c r="D8" s="81">
        <f>SUMIFS('Sales Transactions Raw Data'!V:V,'Sales Transactions Raw Data'!G:G,"Ola-Mate-GG-16oz-12pk",'Sales Transactions Raw Data'!S:S,"Shopify web",'Sales Transactions Raw Data'!J:J,"Finished Goods")</f>
        <v>0</v>
      </c>
      <c r="E8" s="81">
        <f>SUMIFS('Sales Transactions Raw Data'!V:V,'Sales Transactions Raw Data'!G:G,"Ola-Mate-GG-16oz-12pk",'Sales Transactions Raw Data'!S:S,"Shopify POS",'Sales Transactions Raw Data'!J:J,"Finished Goods")</f>
        <v>0</v>
      </c>
      <c r="F8" s="81">
        <f>SUMIFS('Sales Transactions Raw Data'!V:V,'Sales Transactions Raw Data'!G:G,"Ola-Mate-GG-16oz-12pk",'Sales Transactions Raw Data'!S:S,"Shopify admin",'Sales Transactions Raw Data'!J:J,"Finished Goods")</f>
        <v>0</v>
      </c>
      <c r="G8" s="81">
        <f>SUMIFS('Sales Transactions Raw Data'!V:V,'Sales Transactions Raw Data'!G:G,"Ola-Mate-GG-16oz-12pk",'Sales Transactions Raw Data'!S:S,"subscription_contract",'Sales Transactions Raw Data'!J:J,"Finished Goods")</f>
        <v>0</v>
      </c>
      <c r="H8" s="81">
        <f>SUMIFS('Sales Transactions Raw Data'!V:V,'Sales Transactions Raw Data'!G:G,"Ola-Mate-GG-16oz-12pk",'Sales Transactions Raw Data'!S:S,"subscription_contract_checkout_one",'Sales Transactions Raw Data'!J:J,"Finished Goods")</f>
        <v>0</v>
      </c>
      <c r="I8" s="81">
        <f>SUMIFS('Sales Transactions Raw Data'!V:V,'Sales Transactions Raw Data'!G:G,"Ola-Mate-GG-16oz-12pk",'Sales Transactions Raw Data'!S:S,"296827748353",'Sales Transactions Raw Data'!J:J,"Finished Goods")</f>
        <v>0</v>
      </c>
      <c r="J8" s="81">
        <f>SUMIFS('Sales Transactions Raw Data'!V:V,'Sales Transactions Raw Data'!G:G,"Ola-Mate-GG-16oz-12pk",'Sales Transactions Raw Data'!S:S,"faire",'Sales Transactions Raw Data'!J:J,"Finished Goods")</f>
        <v>0</v>
      </c>
      <c r="K8" s="81">
        <f>SUMIFS('Sales Transactions Raw Data'!V:V,'Sales Transactions Raw Data'!G:G,"Ola-Mate-GG-16oz-12pk",'Sales Transactions Raw Data'!S:S,"tiktok",'Sales Transactions Raw Data'!J:J,"Finished Goods")</f>
        <v>0</v>
      </c>
      <c r="L8" s="81">
        <f>SUMIFS('Sales Transactions Raw Data'!V:V,'Sales Transactions Raw Data'!G:G,"Ola-Mate-GG-16oz-12pk",'Sales Transactions Raw Data'!S:S,"4901177",'Sales Transactions Raw Data'!J:J,"Finished Goods")</f>
        <v>0</v>
      </c>
      <c r="M8" s="81">
        <f>SUMIFS('Sales Transactions Raw Data'!V:V,'Sales Transactions Raw Data'!G:G,"Ola-Mate-GG-16oz-12pk",'Sales Transactions Raw Data'!S:S,"3890849",'Sales Transactions Raw Data'!J:J,"Finished Goods")</f>
        <v>0</v>
      </c>
      <c r="N8" s="82">
        <f t="shared" si="0"/>
        <v>0</v>
      </c>
      <c r="O8" s="2"/>
      <c r="P8" s="2"/>
      <c r="Q8" s="2"/>
      <c r="R8" s="2"/>
      <c r="S8" s="2"/>
      <c r="T8" s="2"/>
      <c r="U8" s="2"/>
      <c r="V8" s="2"/>
      <c r="W8" s="2"/>
      <c r="X8" s="2"/>
      <c r="Y8" s="2"/>
      <c r="Z8" s="2"/>
    </row>
    <row r="9" ht="16.5" customHeight="1" spans="1:26" x14ac:dyDescent="0.25">
      <c r="A9" s="19" t="s">
        <v>225</v>
      </c>
      <c r="B9" s="79">
        <f>SUMIFS('Sales Transactions Raw Data'!V:V,'Sales Transactions Raw Data'!G:G,"Ola-Mate-SP1-16oz-4pk",'Sales Transactions Raw Data'!S:S,"amazon",'Sales Transactions Raw Data'!J:J,"Finished Goods")</f>
        <v>0</v>
      </c>
      <c r="C9" s="79">
        <f>SUMIFS('Sales Transactions Raw Data'!V:V,'Sales Transactions Raw Data'!G:G,"Ola-Mate-SP1-16oz-4pk",'Sales Transactions Raw Data'!S:S,"amazon-us",'Sales Transactions Raw Data'!J:J,"Finished Goods")</f>
        <v>0</v>
      </c>
      <c r="D9" s="79">
        <f>SUMIFS('Sales Transactions Raw Data'!V:V,'Sales Transactions Raw Data'!G:G,"Ola-Mate-SP1-16oz-4pk",'Sales Transactions Raw Data'!S:S,"Shopify web",'Sales Transactions Raw Data'!J:J,"Finished Goods")</f>
        <v>0</v>
      </c>
      <c r="E9" s="79">
        <f>SUMIFS('Sales Transactions Raw Data'!V:V,'Sales Transactions Raw Data'!G:G,"Ola-Mate-SP1-16oz-4pk",'Sales Transactions Raw Data'!S:S,"Shopify POS",'Sales Transactions Raw Data'!J:J,"Finished Goods")</f>
        <v>0</v>
      </c>
      <c r="F9" s="79">
        <f>SUMIFS('Sales Transactions Raw Data'!V:V,'Sales Transactions Raw Data'!G:G,"Ola-Mate-SP1-16oz-4pk",'Sales Transactions Raw Data'!S:S,"Shopify admin",'Sales Transactions Raw Data'!J:J,"Finished Goods")</f>
        <v>0</v>
      </c>
      <c r="G9" s="79">
        <f>SUMIFS('Sales Transactions Raw Data'!V:V,'Sales Transactions Raw Data'!G:G,"Ola-Mate-SP1-16oz-4pk",'Sales Transactions Raw Data'!S:S,"subscription_contract",'Sales Transactions Raw Data'!J:J,"Finished Goods")</f>
        <v>0</v>
      </c>
      <c r="H9" s="79">
        <f>SUMIFS('Sales Transactions Raw Data'!V:V,'Sales Transactions Raw Data'!G:G,"Ola-Mate-SP1-16oz-4pk",'Sales Transactions Raw Data'!S:S,"subscription_contract_checkout_one",'Sales Transactions Raw Data'!J:J,"Finished Goods")</f>
        <v>0</v>
      </c>
      <c r="I9" s="79">
        <f>SUMIFS('Sales Transactions Raw Data'!V:V,'Sales Transactions Raw Data'!G:G,"Ola-Mate-SP1-16oz-4pk",'Sales Transactions Raw Data'!S:S,"296827748353",'Sales Transactions Raw Data'!J:J,"Finished Goods")</f>
        <v>0</v>
      </c>
      <c r="J9" s="79">
        <f>SUMIFS('Sales Transactions Raw Data'!V:V,'Sales Transactions Raw Data'!G:G,"Ola-Mate-SP1-16oz-4pk",'Sales Transactions Raw Data'!S:S,"faire",'Sales Transactions Raw Data'!J:J,"Finished Goods")</f>
        <v>0</v>
      </c>
      <c r="K9" s="79">
        <f>SUMIFS('Sales Transactions Raw Data'!V:V,'Sales Transactions Raw Data'!G:G,"Ola-Mate-SP1-16oz-4pk",'Sales Transactions Raw Data'!S:S,"tiktok",'Sales Transactions Raw Data'!J:J,"Finished Goods")</f>
        <v>0</v>
      </c>
      <c r="L9" s="79">
        <f>SUMIFS('Sales Transactions Raw Data'!V:V,'Sales Transactions Raw Data'!G:G,"Ola-Mate-SP1-16oz-4pk",'Sales Transactions Raw Data'!S:S,"4901177",'Sales Transactions Raw Data'!J:J,"Finished Goods")</f>
        <v>0</v>
      </c>
      <c r="M9" s="79">
        <f>SUMIFS('Sales Transactions Raw Data'!V:V,'Sales Transactions Raw Data'!G:G,"Ola-Mate-SP1-16oz-4pk",'Sales Transactions Raw Data'!S:S,"3890849",'Sales Transactions Raw Data'!J:J,"Finished Goods")</f>
        <v>0</v>
      </c>
      <c r="N9" s="80">
        <f t="shared" si="0"/>
        <v>0</v>
      </c>
      <c r="O9" s="2"/>
      <c r="P9" s="2"/>
      <c r="Q9" s="2"/>
      <c r="R9" s="2"/>
      <c r="S9" s="2"/>
      <c r="T9" s="2"/>
      <c r="U9" s="2"/>
      <c r="V9" s="2"/>
      <c r="W9" s="2"/>
      <c r="X9" s="2"/>
      <c r="Y9" s="2"/>
      <c r="Z9" s="2"/>
    </row>
    <row r="10" ht="16.5" customHeight="1" spans="1:26" x14ac:dyDescent="0.25">
      <c r="A10" s="21" t="s">
        <v>248</v>
      </c>
      <c r="B10" s="81">
        <f>SUMIFS('Sales Transactions Raw Data'!V:V,'Sales Transactions Raw Data'!G:G,"Ola-Mate-*-16oz-1can",'Sales Transactions Raw Data'!S:S,"amazon",'Sales Transactions Raw Data'!J:J,"Finished Goods")</f>
        <v>0</v>
      </c>
      <c r="C10" s="81">
        <f>SUMIFS('Sales Transactions Raw Data'!V:V,'Sales Transactions Raw Data'!G:G,"Ola-Mate-*-16oz-1can",'Sales Transactions Raw Data'!S:S,"amazon-us",'Sales Transactions Raw Data'!J:J,"Finished Goods")</f>
        <v>0</v>
      </c>
      <c r="D10" s="81">
        <f>SUMIFS('Sales Transactions Raw Data'!V:V,'Sales Transactions Raw Data'!G:G,"Ola-Mate-*-16oz-1can",'Sales Transactions Raw Data'!S:S,"Shopify web",'Sales Transactions Raw Data'!J:J,"Finished Goods")</f>
        <v>0</v>
      </c>
      <c r="E10" s="81">
        <f>SUMIFS('Sales Transactions Raw Data'!V:V,'Sales Transactions Raw Data'!G:G,"Ola-Mate-*-16oz-1can",'Sales Transactions Raw Data'!S:S,"Shopify POS",'Sales Transactions Raw Data'!J:J,"Finished Goods")</f>
        <v>0</v>
      </c>
      <c r="F10" s="81">
        <f>SUMIFS('Sales Transactions Raw Data'!V:V,'Sales Transactions Raw Data'!G:G,"Ola-Mate-*-16oz-1can",'Sales Transactions Raw Data'!S:S,"Shopify admin",'Sales Transactions Raw Data'!J:J,"Finished Goods")</f>
        <v>0</v>
      </c>
      <c r="G10" s="81">
        <f>SUMIFS('Sales Transactions Raw Data'!V:V,'Sales Transactions Raw Data'!G:G,"Ola-Mate-*-16oz-1can",'Sales Transactions Raw Data'!S:S,"subscription_contract",'Sales Transactions Raw Data'!J:J,"Finished Goods")</f>
        <v>0</v>
      </c>
      <c r="H10" s="81">
        <f>SUMIFS('Sales Transactions Raw Data'!V:V,'Sales Transactions Raw Data'!G:G,"Ola-Mate-*-16oz-1can",'Sales Transactions Raw Data'!S:S,"subscription_contract_checkout_one",'Sales Transactions Raw Data'!J:J,"Finished Goods")</f>
        <v>0</v>
      </c>
      <c r="I10" s="81">
        <f>SUMIFS('Sales Transactions Raw Data'!V:V,'Sales Transactions Raw Data'!G:G,"Ola-Mate-*-16oz-1can",'Sales Transactions Raw Data'!S:S,"296827748353",'Sales Transactions Raw Data'!J:J,"Finished Goods")</f>
        <v>0</v>
      </c>
      <c r="J10" s="81">
        <f>SUMIFS('Sales Transactions Raw Data'!V:V,'Sales Transactions Raw Data'!G:G,"Ola-Mate-*-16oz-1can",'Sales Transactions Raw Data'!S:S,"faire",'Sales Transactions Raw Data'!J:J,"Finished Goods")</f>
        <v>0</v>
      </c>
      <c r="K10" s="81">
        <f>SUMIFS('Sales Transactions Raw Data'!V:V,'Sales Transactions Raw Data'!G:G,"Ola-Mate-*-16oz-1can",'Sales Transactions Raw Data'!S:S,"tiktok",'Sales Transactions Raw Data'!J:J,"Finished Goods")</f>
        <v>0</v>
      </c>
      <c r="L10" s="81">
        <f>SUMIFS('Sales Transactions Raw Data'!V:V,'Sales Transactions Raw Data'!G:G,"Ola-Mate-*-16oz-1can",'Sales Transactions Raw Data'!S:S,"4901177",'Sales Transactions Raw Data'!J:J,"Finished Goods")</f>
        <v>0</v>
      </c>
      <c r="M10" s="81">
        <f>SUMIFS('Sales Transactions Raw Data'!V:V,'Sales Transactions Raw Data'!G:G,"Ola-Mate-*-16oz-1can",'Sales Transactions Raw Data'!S:S,"3890849",'Sales Transactions Raw Data'!J:J,"Finished Goods")</f>
        <v>0</v>
      </c>
      <c r="N10" s="82">
        <f t="shared" si="0"/>
        <v>0</v>
      </c>
      <c r="O10" s="2"/>
      <c r="P10" s="2"/>
      <c r="Q10" s="2"/>
      <c r="R10" s="2"/>
      <c r="S10" s="2"/>
      <c r="T10" s="2"/>
      <c r="U10" s="2"/>
      <c r="V10" s="2"/>
      <c r="W10" s="2"/>
      <c r="X10" s="2"/>
      <c r="Y10" s="2"/>
      <c r="Z10" s="2"/>
    </row>
    <row r="11" ht="16.5" customHeight="1" spans="1:26" x14ac:dyDescent="0.25">
      <c r="A11" s="74" t="s">
        <v>211</v>
      </c>
      <c r="B11" s="57">
        <f t="shared" ref="B11:M11" si="1">SUM(B5:B10)</f>
        <v>0</v>
      </c>
      <c r="C11" s="57">
        <f t="shared" si="1"/>
        <v>0</v>
      </c>
      <c r="D11" s="57">
        <f t="shared" si="1"/>
        <v>0</v>
      </c>
      <c r="E11" s="57">
        <f t="shared" si="1"/>
        <v>0</v>
      </c>
      <c r="F11" s="57">
        <f t="shared" si="1"/>
        <v>0</v>
      </c>
      <c r="G11" s="57">
        <f t="shared" si="1"/>
        <v>0</v>
      </c>
      <c r="H11" s="57">
        <f t="shared" si="1"/>
        <v>0</v>
      </c>
      <c r="I11" s="57">
        <f t="shared" si="1"/>
        <v>0</v>
      </c>
      <c r="J11" s="57">
        <f t="shared" si="1"/>
        <v>0</v>
      </c>
      <c r="K11" s="57">
        <f t="shared" si="1"/>
        <v>0</v>
      </c>
      <c r="L11" s="57">
        <f t="shared" si="1"/>
        <v>0</v>
      </c>
      <c r="M11" s="57">
        <f t="shared" si="1"/>
        <v>0</v>
      </c>
      <c r="N11" s="57">
        <f t="shared" si="0"/>
        <v>0</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83" t="s">
        <v>249</v>
      </c>
      <c r="B13" s="83" t="s">
        <v>236</v>
      </c>
      <c r="C13" s="83" t="s">
        <v>237</v>
      </c>
      <c r="D13" s="83" t="s">
        <v>238</v>
      </c>
      <c r="E13" s="83" t="s">
        <v>239</v>
      </c>
      <c r="F13" s="83" t="s">
        <v>240</v>
      </c>
      <c r="G13" s="83" t="s">
        <v>241</v>
      </c>
      <c r="H13" s="83" t="s">
        <v>242</v>
      </c>
      <c r="I13" s="83" t="s">
        <v>243</v>
      </c>
      <c r="J13" s="83" t="s">
        <v>244</v>
      </c>
      <c r="K13" s="83" t="s">
        <v>245</v>
      </c>
      <c r="L13" s="83" t="s">
        <v>246</v>
      </c>
      <c r="M13" s="83" t="s">
        <v>247</v>
      </c>
      <c r="N13" s="83" t="s">
        <v>196</v>
      </c>
      <c r="O13" s="2"/>
      <c r="P13" s="2"/>
      <c r="Q13" s="2"/>
      <c r="R13" s="2"/>
      <c r="S13" s="2"/>
      <c r="T13" s="2"/>
      <c r="U13" s="2"/>
      <c r="V13" s="2"/>
      <c r="W13" s="2"/>
      <c r="X13" s="2"/>
      <c r="Y13" s="2"/>
      <c r="Z13" s="2"/>
    </row>
    <row r="14" ht="16.5" customHeight="1" spans="1:26" x14ac:dyDescent="0.25">
      <c r="A14" s="84" t="s">
        <v>159</v>
      </c>
      <c r="B14" s="85">
        <f>SUMIFS('Sales Transactions Raw Data'!W:W,'Sales Transactions Raw Data'!G:G,"Ola-Mate-VP1-16oz-12pk",'Sales Transactions Raw Data'!S:S,"amazon",'Sales Transactions Raw Data'!J:J,"Finished Goods")</f>
        <v>0</v>
      </c>
      <c r="C14" s="85">
        <f>SUMIFS('Sales Transactions Raw Data'!W:W,'Sales Transactions Raw Data'!G:G,"Ola-Mate-VP1-16oz-12pk",'Sales Transactions Raw Data'!S:S,"amazon-us",'Sales Transactions Raw Data'!J:J,"Finished Goods")</f>
        <v>0</v>
      </c>
      <c r="D14" s="85">
        <f>SUMIFS('Sales Transactions Raw Data'!W:W,'Sales Transactions Raw Data'!G:G,"Ola-Mate-VP1-16oz-12pk",'Sales Transactions Raw Data'!S:S,"Shopify web",'Sales Transactions Raw Data'!J:J,"Finished Goods")</f>
        <v>0</v>
      </c>
      <c r="E14" s="85">
        <f>SUMIFS('Sales Transactions Raw Data'!W:W,'Sales Transactions Raw Data'!G:G,"Ola-Mate-VP1-16oz-12pk",'Sales Transactions Raw Data'!S:S,"Shopify POS",'Sales Transactions Raw Data'!J:J,"Finished Goods")</f>
        <v>0</v>
      </c>
      <c r="F14" s="85">
        <f>SUMIFS('Sales Transactions Raw Data'!W:W,'Sales Transactions Raw Data'!G:G,"Ola-Mate-VP1-16oz-12pk",'Sales Transactions Raw Data'!S:S,"Shopify admin",'Sales Transactions Raw Data'!J:J,"Finished Goods")</f>
        <v>0</v>
      </c>
      <c r="G14" s="85">
        <f>SUMIFS('Sales Transactions Raw Data'!W:W,'Sales Transactions Raw Data'!G:G,"Ola-Mate-VP1-16oz-12pk",'Sales Transactions Raw Data'!S:S,"subscription_contract",'Sales Transactions Raw Data'!J:J,"Finished Goods")</f>
        <v>0</v>
      </c>
      <c r="H14" s="85">
        <f>SUMIFS('Sales Transactions Raw Data'!W:W,'Sales Transactions Raw Data'!G:G,"Ola-Mate-VP1-16oz-12pk",'Sales Transactions Raw Data'!S:S,"subscription_contract_checkout_one",'Sales Transactions Raw Data'!J:J,"Finished Goods")</f>
        <v>0</v>
      </c>
      <c r="I14" s="85">
        <f>SUMIFS('Sales Transactions Raw Data'!W:W,'Sales Transactions Raw Data'!G:G,"Ola-Mate-VP1-16oz-12pk",'Sales Transactions Raw Data'!S:S,"296827748353",'Sales Transactions Raw Data'!J:J,"Finished Goods")</f>
        <v>0</v>
      </c>
      <c r="J14" s="85">
        <f>SUMIFS('Sales Transactions Raw Data'!W:W,'Sales Transactions Raw Data'!G:G,"Ola-Mate-VP1-16oz-12pk",'Sales Transactions Raw Data'!S:S,"faire",'Sales Transactions Raw Data'!J:J,"Finished Goods")</f>
        <v>0</v>
      </c>
      <c r="K14" s="85">
        <f>SUMIFS('Sales Transactions Raw Data'!W:W,'Sales Transactions Raw Data'!G:G,"Ola-Mate-VP1-16oz-12pk",'Sales Transactions Raw Data'!S:S,"tiktok",'Sales Transactions Raw Data'!J:J,"Finished Goods")</f>
        <v>0</v>
      </c>
      <c r="L14" s="85">
        <f>SUMIFS('Sales Transactions Raw Data'!W:W,'Sales Transactions Raw Data'!G:G,"Ola-Mate-VP1-16oz-12pk",'Sales Transactions Raw Data'!S:S,"4901177",'Sales Transactions Raw Data'!J:J,"Finished Goods")</f>
        <v>0</v>
      </c>
      <c r="M14" s="85">
        <f>SUMIFS('Sales Transactions Raw Data'!W:W,'Sales Transactions Raw Data'!G:G,"Ola-Mate-VP1-16oz-12pk",'Sales Transactions Raw Data'!S:S,"3890849",'Sales Transactions Raw Data'!J:J,"Finished Goods")</f>
        <v>0</v>
      </c>
      <c r="N14" s="86">
        <f t="shared" ref="N14:N20" si="2">SUM(B14:M14)</f>
        <v>0</v>
      </c>
      <c r="O14" s="2"/>
      <c r="P14" s="2"/>
      <c r="Q14" s="2"/>
      <c r="R14" s="2"/>
      <c r="S14" s="2"/>
      <c r="T14" s="2"/>
      <c r="U14" s="2"/>
      <c r="V14" s="2"/>
      <c r="W14" s="2"/>
      <c r="X14" s="2"/>
      <c r="Y14" s="2"/>
      <c r="Z14" s="2"/>
    </row>
    <row r="15" ht="16.5" customHeight="1" spans="1:26" x14ac:dyDescent="0.25">
      <c r="A15" s="19" t="s">
        <v>164</v>
      </c>
      <c r="B15" s="79">
        <f>SUMIFS('Sales Transactions Raw Data'!W:W,'Sales Transactions Raw Data'!G:G,"Ola-Mate-BC-16oz-12PK",'Sales Transactions Raw Data'!S:S,"amazon",'Sales Transactions Raw Data'!J:J,"Finished Goods")</f>
        <v>0</v>
      </c>
      <c r="C15" s="79">
        <f>SUMIFS('Sales Transactions Raw Data'!W:W,'Sales Transactions Raw Data'!G:G,"Ola-Mate-BC-16oz-12PK",'Sales Transactions Raw Data'!S:S,"amazon-us",'Sales Transactions Raw Data'!J:J,"Finished Goods")</f>
        <v>0</v>
      </c>
      <c r="D15" s="79">
        <f>SUMIFS('Sales Transactions Raw Data'!W:W,'Sales Transactions Raw Data'!G:G,"Ola-Mate-BC-16oz-12PK",'Sales Transactions Raw Data'!S:S,"Shopify web",'Sales Transactions Raw Data'!J:J,"Finished Goods")</f>
        <v>0</v>
      </c>
      <c r="E15" s="79">
        <f>SUMIFS('Sales Transactions Raw Data'!W:W,'Sales Transactions Raw Data'!G:G,"Ola-Mate-BC-16oz-12PK",'Sales Transactions Raw Data'!S:S,"Shopify POS",'Sales Transactions Raw Data'!J:J,"Finished Goods")</f>
        <v>0</v>
      </c>
      <c r="F15" s="79">
        <f>SUMIFS('Sales Transactions Raw Data'!W:W,'Sales Transactions Raw Data'!G:G,"Ola-Mate-BC-16oz-12PK",'Sales Transactions Raw Data'!S:S,"Shopify admin",'Sales Transactions Raw Data'!J:J,"Finished Goods")</f>
        <v>0</v>
      </c>
      <c r="G15" s="79">
        <f>SUMIFS('Sales Transactions Raw Data'!W:W,'Sales Transactions Raw Data'!G:G,"Ola-Mate-BC-16oz-12PK",'Sales Transactions Raw Data'!S:S,"subscription_contract",'Sales Transactions Raw Data'!J:J,"Finished Goods")</f>
        <v>0</v>
      </c>
      <c r="H15" s="79">
        <f>SUMIFS('Sales Transactions Raw Data'!W:W,'Sales Transactions Raw Data'!G:G,"Ola-Mate-BC-16oz-12PK",'Sales Transactions Raw Data'!S:S,"subscription_contract_checkout_one",'Sales Transactions Raw Data'!J:J,"Finished Goods")</f>
        <v>0</v>
      </c>
      <c r="I15" s="79">
        <f>SUMIFS('Sales Transactions Raw Data'!W:W,'Sales Transactions Raw Data'!G:G,"Ola-Mate-BC-16oz-12PK",'Sales Transactions Raw Data'!S:S,"296827748353",'Sales Transactions Raw Data'!J:J,"Finished Goods")</f>
        <v>0</v>
      </c>
      <c r="J15" s="79">
        <f>SUMIFS('Sales Transactions Raw Data'!W:W,'Sales Transactions Raw Data'!G:G,"Ola-Mate-BC-16oz-12PK",'Sales Transactions Raw Data'!S:S,"faire",'Sales Transactions Raw Data'!J:J,"Finished Goods")</f>
        <v>0</v>
      </c>
      <c r="K15" s="79">
        <f>SUMIFS('Sales Transactions Raw Data'!W:W,'Sales Transactions Raw Data'!G:G,"Ola-Mate-BC-16oz-12PK",'Sales Transactions Raw Data'!S:S,"tiktok",'Sales Transactions Raw Data'!J:J,"Finished Goods")</f>
        <v>0</v>
      </c>
      <c r="L15" s="79">
        <f>SUMIFS('Sales Transactions Raw Data'!W:W,'Sales Transactions Raw Data'!G:G,"Ola-Mate-BC-16oz-12PK",'Sales Transactions Raw Data'!S:S,"4901177",'Sales Transactions Raw Data'!J:J,"Finished Goods")</f>
        <v>0</v>
      </c>
      <c r="M15" s="79">
        <f>SUMIFS('Sales Transactions Raw Data'!W:W,'Sales Transactions Raw Data'!G:G,"Ola-Mate-BC-16oz-12PK",'Sales Transactions Raw Data'!S:S,"3890849",'Sales Transactions Raw Data'!J:J,"Finished Goods")</f>
        <v>0</v>
      </c>
      <c r="N15" s="80">
        <f t="shared" si="2"/>
        <v>0</v>
      </c>
      <c r="O15" s="2"/>
      <c r="P15" s="2"/>
      <c r="Q15" s="2"/>
      <c r="R15" s="2"/>
      <c r="S15" s="2"/>
      <c r="T15" s="2"/>
      <c r="U15" s="2"/>
      <c r="V15" s="2"/>
      <c r="W15" s="2"/>
      <c r="X15" s="2"/>
      <c r="Y15" s="2"/>
      <c r="Z15" s="2"/>
    </row>
    <row r="16" ht="16.5" customHeight="1" spans="1:26" x14ac:dyDescent="0.25">
      <c r="A16" s="84" t="s">
        <v>223</v>
      </c>
      <c r="B16" s="85">
        <f>SUMIFS('Sales Transactions Raw Data'!W:W,'Sales Transactions Raw Data'!G:G,"Ola-Mate-R-16oz-12pk",'Sales Transactions Raw Data'!S:S,"amazon",'Sales Transactions Raw Data'!J:J,"Finished Goods")</f>
        <v>0</v>
      </c>
      <c r="C16" s="85">
        <f>SUMIFS('Sales Transactions Raw Data'!W:W,'Sales Transactions Raw Data'!G:G,"Ola-Mate-R-16oz-12pk",'Sales Transactions Raw Data'!S:S,"amazon-us",'Sales Transactions Raw Data'!J:J,"Finished Goods")</f>
        <v>0</v>
      </c>
      <c r="D16" s="85">
        <f>SUMIFS('Sales Transactions Raw Data'!W:W,'Sales Transactions Raw Data'!G:G,"Ola-Mate-R-16oz-12pk",'Sales Transactions Raw Data'!S:S,"Shopify web",'Sales Transactions Raw Data'!J:J,"Finished Goods")</f>
        <v>0</v>
      </c>
      <c r="E16" s="85">
        <f>SUMIFS('Sales Transactions Raw Data'!W:W,'Sales Transactions Raw Data'!G:G,"Ola-Mate-R-16oz-12pk",'Sales Transactions Raw Data'!S:S,"Shopify POS",'Sales Transactions Raw Data'!J:J,"Finished Goods")</f>
        <v>0</v>
      </c>
      <c r="F16" s="85">
        <f>SUMIFS('Sales Transactions Raw Data'!W:W,'Sales Transactions Raw Data'!G:G,"Ola-Mate-R-16oz-12pk",'Sales Transactions Raw Data'!S:S,"Shopify admin",'Sales Transactions Raw Data'!J:J,"Finished Goods")</f>
        <v>0</v>
      </c>
      <c r="G16" s="85">
        <f>SUMIFS('Sales Transactions Raw Data'!W:W,'Sales Transactions Raw Data'!G:G,"Ola-Mate-R-16oz-12pk",'Sales Transactions Raw Data'!S:S,"subscription_contract",'Sales Transactions Raw Data'!J:J,"Finished Goods")</f>
        <v>0</v>
      </c>
      <c r="H16" s="85">
        <f>SUMIFS('Sales Transactions Raw Data'!W:W,'Sales Transactions Raw Data'!G:G,"Ola-Mate-R-16oz-12pk",'Sales Transactions Raw Data'!S:S,"subscription_contract_checkout_one",'Sales Transactions Raw Data'!J:J,"Finished Goods")</f>
        <v>0</v>
      </c>
      <c r="I16" s="85">
        <f>SUMIFS('Sales Transactions Raw Data'!W:W,'Sales Transactions Raw Data'!G:G,"Ola-Mate-R-16oz-12pk",'Sales Transactions Raw Data'!S:S,"296827748353",'Sales Transactions Raw Data'!J:J,"Finished Goods")</f>
        <v>0</v>
      </c>
      <c r="J16" s="85">
        <f>SUMIFS('Sales Transactions Raw Data'!W:W,'Sales Transactions Raw Data'!G:G,"Ola-Mate-R-16oz-12pk",'Sales Transactions Raw Data'!S:S,"faire",'Sales Transactions Raw Data'!J:J,"Finished Goods")</f>
        <v>0</v>
      </c>
      <c r="K16" s="85">
        <f>SUMIFS('Sales Transactions Raw Data'!W:W,'Sales Transactions Raw Data'!G:G,"Ola-Mate-R-16oz-12pk",'Sales Transactions Raw Data'!S:S,"tiktok",'Sales Transactions Raw Data'!J:J,"Finished Goods")</f>
        <v>0</v>
      </c>
      <c r="L16" s="85">
        <f>SUMIFS('Sales Transactions Raw Data'!W:W,'Sales Transactions Raw Data'!G:G,"Ola-Mate-R-16oz-12pk",'Sales Transactions Raw Data'!S:S,"4901177",'Sales Transactions Raw Data'!J:J,"Finished Goods")</f>
        <v>0</v>
      </c>
      <c r="M16" s="85">
        <f>SUMIFS('Sales Transactions Raw Data'!W:W,'Sales Transactions Raw Data'!G:G,"Ola-Mate-R-16oz-12pk",'Sales Transactions Raw Data'!S:S,"3890849",'Sales Transactions Raw Data'!J:J,"Finished Goods")</f>
        <v>0</v>
      </c>
      <c r="N16" s="86">
        <f t="shared" si="2"/>
        <v>0</v>
      </c>
      <c r="O16" s="2"/>
      <c r="P16" s="2"/>
      <c r="Q16" s="2"/>
      <c r="R16" s="2"/>
      <c r="S16" s="2"/>
      <c r="T16" s="2"/>
      <c r="U16" s="2"/>
      <c r="V16" s="2"/>
      <c r="W16" s="2"/>
      <c r="X16" s="2"/>
      <c r="Y16" s="2"/>
      <c r="Z16" s="2"/>
    </row>
    <row r="17" ht="16.5" customHeight="1" spans="1:26" x14ac:dyDescent="0.25">
      <c r="A17" s="19" t="s">
        <v>224</v>
      </c>
      <c r="B17" s="79">
        <f>SUMIFS('Sales Transactions Raw Data'!W:W,'Sales Transactions Raw Data'!G:G,"Ola-Mate-GG-16oz-12pk",'Sales Transactions Raw Data'!S:S,"amazon",'Sales Transactions Raw Data'!J:J,"Finished Goods")</f>
        <v>0</v>
      </c>
      <c r="C17" s="79">
        <f>SUMIFS('Sales Transactions Raw Data'!W:W,'Sales Transactions Raw Data'!G:G,"Ola-Mate-GG-16oz-12pk",'Sales Transactions Raw Data'!S:S,"amazon-us",'Sales Transactions Raw Data'!J:J,"Finished Goods")</f>
        <v>0</v>
      </c>
      <c r="D17" s="79">
        <f>SUMIFS('Sales Transactions Raw Data'!W:W,'Sales Transactions Raw Data'!G:G,"Ola-Mate-GG-16oz-12pk",'Sales Transactions Raw Data'!S:S,"Shopify web",'Sales Transactions Raw Data'!J:J,"Finished Goods")</f>
        <v>0</v>
      </c>
      <c r="E17" s="79">
        <f>SUMIFS('Sales Transactions Raw Data'!W:W,'Sales Transactions Raw Data'!G:G,"Ola-Mate-GG-16oz-12pk",'Sales Transactions Raw Data'!S:S,"Shopify POS",'Sales Transactions Raw Data'!J:J,"Finished Goods")</f>
        <v>0</v>
      </c>
      <c r="F17" s="79">
        <f>SUMIFS('Sales Transactions Raw Data'!W:W,'Sales Transactions Raw Data'!G:G,"Ola-Mate-GG-16oz-12pk",'Sales Transactions Raw Data'!S:S,"Shopify admin",'Sales Transactions Raw Data'!J:J,"Finished Goods")</f>
        <v>0</v>
      </c>
      <c r="G17" s="79">
        <f>SUMIFS('Sales Transactions Raw Data'!W:W,'Sales Transactions Raw Data'!G:G,"Ola-Mate-GG-16oz-12pk",'Sales Transactions Raw Data'!S:S,"subscription_contract",'Sales Transactions Raw Data'!J:J,"Finished Goods")</f>
        <v>0</v>
      </c>
      <c r="H17" s="79">
        <f>SUMIFS('Sales Transactions Raw Data'!W:W,'Sales Transactions Raw Data'!G:G,"Ola-Mate-GG-16oz-12pk",'Sales Transactions Raw Data'!S:S,"subscription_contract_checkout_one",'Sales Transactions Raw Data'!J:J,"Finished Goods")</f>
        <v>0</v>
      </c>
      <c r="I17" s="79">
        <f>SUMIFS('Sales Transactions Raw Data'!W:W,'Sales Transactions Raw Data'!G:G,"Ola-Mate-GG-16oz-12pk",'Sales Transactions Raw Data'!S:S,"296827748353",'Sales Transactions Raw Data'!J:J,"Finished Goods")</f>
        <v>0</v>
      </c>
      <c r="J17" s="79">
        <f>SUMIFS('Sales Transactions Raw Data'!W:W,'Sales Transactions Raw Data'!G:G,"Ola-Mate-GG-16oz-12pk",'Sales Transactions Raw Data'!S:S,"faire",'Sales Transactions Raw Data'!J:J,"Finished Goods")</f>
        <v>0</v>
      </c>
      <c r="K17" s="79">
        <f>SUMIFS('Sales Transactions Raw Data'!W:W,'Sales Transactions Raw Data'!G:G,"Ola-Mate-GG-16oz-12pk",'Sales Transactions Raw Data'!S:S,"tiktok",'Sales Transactions Raw Data'!J:J,"Finished Goods")</f>
        <v>0</v>
      </c>
      <c r="L17" s="79">
        <f>SUMIFS('Sales Transactions Raw Data'!W:W,'Sales Transactions Raw Data'!G:G,"Ola-Mate-GG-16oz-12pk",'Sales Transactions Raw Data'!S:S,"4901177",'Sales Transactions Raw Data'!J:J,"Finished Goods")</f>
        <v>0</v>
      </c>
      <c r="M17" s="79">
        <f>SUMIFS('Sales Transactions Raw Data'!W:W,'Sales Transactions Raw Data'!G:G,"Ola-Mate-GG-16oz-12pk",'Sales Transactions Raw Data'!S:S,"3890849",'Sales Transactions Raw Data'!J:J,"Finished Goods")</f>
        <v>0</v>
      </c>
      <c r="N17" s="80">
        <f t="shared" si="2"/>
        <v>0</v>
      </c>
      <c r="O17" s="2"/>
      <c r="P17" s="2"/>
      <c r="Q17" s="2"/>
      <c r="R17" s="2"/>
      <c r="S17" s="2"/>
      <c r="T17" s="2"/>
      <c r="U17" s="2"/>
      <c r="V17" s="2"/>
      <c r="W17" s="2"/>
      <c r="X17" s="2"/>
      <c r="Y17" s="2"/>
      <c r="Z17" s="2"/>
    </row>
    <row r="18" ht="16.5" customHeight="1" spans="1:26" x14ac:dyDescent="0.25">
      <c r="A18" s="84" t="s">
        <v>225</v>
      </c>
      <c r="B18" s="85">
        <f>SUMIFS('Sales Transactions Raw Data'!W:W,'Sales Transactions Raw Data'!G:G,"Ola-Mate-SP1-16oz-4pk",'Sales Transactions Raw Data'!S:S,"amazon",'Sales Transactions Raw Data'!J:J,"Finished Goods")</f>
        <v>0</v>
      </c>
      <c r="C18" s="85">
        <f>SUMIFS('Sales Transactions Raw Data'!W:W,'Sales Transactions Raw Data'!G:G,"Ola-Mate-SP1-16oz-4pk",'Sales Transactions Raw Data'!S:S,"amazon-us",'Sales Transactions Raw Data'!J:J,"Finished Goods")</f>
        <v>0</v>
      </c>
      <c r="D18" s="85">
        <f>SUMIFS('Sales Transactions Raw Data'!W:W,'Sales Transactions Raw Data'!G:G,"Ola-Mate-SP1-16oz-4pk",'Sales Transactions Raw Data'!S:S,"Shopify web",'Sales Transactions Raw Data'!J:J,"Finished Goods")</f>
        <v>0</v>
      </c>
      <c r="E18" s="85">
        <f>SUMIFS('Sales Transactions Raw Data'!W:W,'Sales Transactions Raw Data'!G:G,"Ola-Mate-SP1-16oz-4pk",'Sales Transactions Raw Data'!S:S,"Shopify POS",'Sales Transactions Raw Data'!J:J,"Finished Goods")</f>
        <v>0</v>
      </c>
      <c r="F18" s="85">
        <f>SUMIFS('Sales Transactions Raw Data'!W:W,'Sales Transactions Raw Data'!G:G,"Ola-Mate-SP1-16oz-4pk",'Sales Transactions Raw Data'!S:S,"Shopify admin",'Sales Transactions Raw Data'!J:J,"Finished Goods")</f>
        <v>0</v>
      </c>
      <c r="G18" s="85">
        <f>SUMIFS('Sales Transactions Raw Data'!W:W,'Sales Transactions Raw Data'!G:G,"Ola-Mate-SP1-16oz-4pk",'Sales Transactions Raw Data'!S:S,"subscription_contract",'Sales Transactions Raw Data'!J:J,"Finished Goods")</f>
        <v>0</v>
      </c>
      <c r="H18" s="85">
        <f>SUMIFS('Sales Transactions Raw Data'!W:W,'Sales Transactions Raw Data'!G:G,"Ola-Mate-SP1-16oz-4pk",'Sales Transactions Raw Data'!S:S,"subscription_contract_checkout_one",'Sales Transactions Raw Data'!J:J,"Finished Goods")</f>
        <v>0</v>
      </c>
      <c r="I18" s="85">
        <f>SUMIFS('Sales Transactions Raw Data'!W:W,'Sales Transactions Raw Data'!G:G,"Ola-Mate-SP1-16oz-4pk",'Sales Transactions Raw Data'!S:S,"296827748353",'Sales Transactions Raw Data'!J:J,"Finished Goods")</f>
        <v>0</v>
      </c>
      <c r="J18" s="85">
        <f>SUMIFS('Sales Transactions Raw Data'!W:W,'Sales Transactions Raw Data'!G:G,"Ola-Mate-SP1-16oz-4pk",'Sales Transactions Raw Data'!S:S,"faire",'Sales Transactions Raw Data'!J:J,"Finished Goods")</f>
        <v>0</v>
      </c>
      <c r="K18" s="85">
        <f>SUMIFS('Sales Transactions Raw Data'!W:W,'Sales Transactions Raw Data'!G:G,"Ola-Mate-SP1-16oz-4pk",'Sales Transactions Raw Data'!S:S,"tiktok",'Sales Transactions Raw Data'!J:J,"Finished Goods")</f>
        <v>0</v>
      </c>
      <c r="L18" s="85">
        <f>SUMIFS('Sales Transactions Raw Data'!W:W,'Sales Transactions Raw Data'!G:G,"Ola-Mate-SP1-16oz-4pk",'Sales Transactions Raw Data'!S:S,"4901177",'Sales Transactions Raw Data'!J:J,"Finished Goods")</f>
        <v>0</v>
      </c>
      <c r="M18" s="85">
        <f>SUMIFS('Sales Transactions Raw Data'!W:W,'Sales Transactions Raw Data'!G:G,"Ola-Mate-SP1-16oz-4pk",'Sales Transactions Raw Data'!S:S,"3890849",'Sales Transactions Raw Data'!J:J,"Finished Goods")</f>
        <v>0</v>
      </c>
      <c r="N18" s="86">
        <f t="shared" si="2"/>
        <v>0</v>
      </c>
      <c r="O18" s="2"/>
      <c r="P18" s="2"/>
      <c r="Q18" s="2"/>
      <c r="R18" s="2"/>
      <c r="S18" s="2"/>
      <c r="T18" s="2"/>
      <c r="U18" s="2"/>
      <c r="V18" s="2"/>
      <c r="W18" s="2"/>
      <c r="X18" s="2"/>
      <c r="Y18" s="2"/>
      <c r="Z18" s="2"/>
    </row>
    <row r="19" ht="16.5" customHeight="1" spans="1:26" x14ac:dyDescent="0.25">
      <c r="A19" s="19" t="s">
        <v>248</v>
      </c>
      <c r="B19" s="79">
        <f>SUMIFS('Sales Transactions Raw Data'!W:W,'Sales Transactions Raw Data'!G:G,"Ola-Mate-*-16oz-1can",'Sales Transactions Raw Data'!S:S,"amazon",'Sales Transactions Raw Data'!J:J,"Finished Goods")</f>
        <v>0</v>
      </c>
      <c r="C19" s="79">
        <f>SUMIFS('Sales Transactions Raw Data'!W:W,'Sales Transactions Raw Data'!G:G,"Ola-Mate-*-16oz-1can",'Sales Transactions Raw Data'!S:S,"amazon-us",'Sales Transactions Raw Data'!J:J,"Finished Goods")</f>
        <v>0</v>
      </c>
      <c r="D19" s="79">
        <f>SUMIFS('Sales Transactions Raw Data'!W:W,'Sales Transactions Raw Data'!G:G,"Ola-Mate-*-16oz-1can",'Sales Transactions Raw Data'!S:S,"Shopify web",'Sales Transactions Raw Data'!J:J,"Finished Goods")</f>
        <v>0</v>
      </c>
      <c r="E19" s="79">
        <f>SUMIFS('Sales Transactions Raw Data'!W:W,'Sales Transactions Raw Data'!G:G,"Ola-Mate-*-16oz-1can",'Sales Transactions Raw Data'!S:S,"Shopify POS",'Sales Transactions Raw Data'!J:J,"Finished Goods")</f>
        <v>0</v>
      </c>
      <c r="F19" s="79">
        <f>SUMIFS('Sales Transactions Raw Data'!W:W,'Sales Transactions Raw Data'!G:G,"Ola-Mate-*-16oz-1can",'Sales Transactions Raw Data'!S:S,"Shopify admin",'Sales Transactions Raw Data'!J:J,"Finished Goods")</f>
        <v>0</v>
      </c>
      <c r="G19" s="79">
        <f>SUMIFS('Sales Transactions Raw Data'!W:W,'Sales Transactions Raw Data'!G:G,"Ola-Mate-*-16oz-1can",'Sales Transactions Raw Data'!S:S,"subscription_contract",'Sales Transactions Raw Data'!J:J,"Finished Goods")</f>
        <v>0</v>
      </c>
      <c r="H19" s="79">
        <f>SUMIFS('Sales Transactions Raw Data'!W:W,'Sales Transactions Raw Data'!G:G,"Ola-Mate-*-16oz-1can",'Sales Transactions Raw Data'!S:S,"subscription_contract_checkout_one",'Sales Transactions Raw Data'!J:J,"Finished Goods")</f>
        <v>0</v>
      </c>
      <c r="I19" s="79">
        <f>SUMIFS('Sales Transactions Raw Data'!W:W,'Sales Transactions Raw Data'!G:G,"Ola-Mate-*-16oz-1can",'Sales Transactions Raw Data'!S:S,"296827748353",'Sales Transactions Raw Data'!J:J,"Finished Goods")</f>
        <v>0</v>
      </c>
      <c r="J19" s="79">
        <f>SUMIFS('Sales Transactions Raw Data'!W:W,'Sales Transactions Raw Data'!G:G,"Ola-Mate-*-16oz-1can",'Sales Transactions Raw Data'!S:S,"faire",'Sales Transactions Raw Data'!J:J,"Finished Goods")</f>
        <v>0</v>
      </c>
      <c r="K19" s="79">
        <f>SUMIFS('Sales Transactions Raw Data'!W:W,'Sales Transactions Raw Data'!G:G,"Ola-Mate-*-16oz-1can",'Sales Transactions Raw Data'!S:S,"tiktok",'Sales Transactions Raw Data'!J:J,"Finished Goods")</f>
        <v>0</v>
      </c>
      <c r="L19" s="79">
        <f>SUMIFS('Sales Transactions Raw Data'!W:W,'Sales Transactions Raw Data'!G:G,"Ola-Mate-*-16oz-1can",'Sales Transactions Raw Data'!S:S,"4901177",'Sales Transactions Raw Data'!J:J,"Finished Goods")</f>
        <v>0</v>
      </c>
      <c r="M19" s="79">
        <f>SUMIFS('Sales Transactions Raw Data'!W:W,'Sales Transactions Raw Data'!G:G,"Ola-Mate-*-16oz-1can",'Sales Transactions Raw Data'!S:S,"3890849",'Sales Transactions Raw Data'!J:J,"Finished Goods")</f>
        <v>0</v>
      </c>
      <c r="N19" s="80">
        <f t="shared" si="2"/>
        <v>0</v>
      </c>
      <c r="O19" s="2"/>
      <c r="P19" s="2"/>
      <c r="Q19" s="2"/>
      <c r="R19" s="2"/>
      <c r="S19" s="2"/>
      <c r="T19" s="2"/>
      <c r="U19" s="2"/>
      <c r="V19" s="2"/>
      <c r="W19" s="2"/>
      <c r="X19" s="2"/>
      <c r="Y19" s="2"/>
      <c r="Z19" s="2"/>
    </row>
    <row r="20" ht="16.5" customHeight="1" spans="1:26" x14ac:dyDescent="0.25">
      <c r="A20" s="87" t="s">
        <v>250</v>
      </c>
      <c r="B20" s="68">
        <f t="shared" ref="B20:M20" si="3">SUM(B14:B19)</f>
        <v>0</v>
      </c>
      <c r="C20" s="68">
        <f t="shared" si="3"/>
        <v>0</v>
      </c>
      <c r="D20" s="68">
        <f t="shared" si="3"/>
        <v>0</v>
      </c>
      <c r="E20" s="68">
        <f t="shared" si="3"/>
        <v>0</v>
      </c>
      <c r="F20" s="68">
        <f t="shared" si="3"/>
        <v>0</v>
      </c>
      <c r="G20" s="68">
        <f t="shared" si="3"/>
        <v>0</v>
      </c>
      <c r="H20" s="68">
        <f t="shared" si="3"/>
        <v>0</v>
      </c>
      <c r="I20" s="68">
        <f t="shared" si="3"/>
        <v>0</v>
      </c>
      <c r="J20" s="68">
        <f t="shared" si="3"/>
        <v>0</v>
      </c>
      <c r="K20" s="68">
        <f t="shared" si="3"/>
        <v>0</v>
      </c>
      <c r="L20" s="68">
        <f t="shared" si="3"/>
        <v>0</v>
      </c>
      <c r="M20" s="68">
        <f t="shared" si="3"/>
        <v>0</v>
      </c>
      <c r="N20" s="68">
        <f t="shared" si="2"/>
        <v>0</v>
      </c>
      <c r="O20" s="2"/>
      <c r="P20" s="2"/>
      <c r="Q20" s="2"/>
      <c r="R20" s="2"/>
      <c r="S20" s="2"/>
      <c r="T20" s="2"/>
      <c r="U20" s="2"/>
      <c r="V20" s="2"/>
      <c r="W20" s="2"/>
      <c r="X20" s="2"/>
      <c r="Y20" s="2"/>
      <c r="Z20" s="2"/>
    </row>
    <row r="21" ht="16.5" customHeight="1" spans="1:26" x14ac:dyDescent="0.25">
      <c r="A21" s="64" t="s">
        <v>251</v>
      </c>
      <c r="B21" s="65">
        <f t="shared" ref="B21:N21" si="4">B11-B20</f>
        <v>0</v>
      </c>
      <c r="C21" s="65">
        <f t="shared" si="4"/>
        <v>0</v>
      </c>
      <c r="D21" s="65">
        <f t="shared" si="4"/>
        <v>0</v>
      </c>
      <c r="E21" s="65">
        <f t="shared" si="4"/>
        <v>0</v>
      </c>
      <c r="F21" s="65">
        <f t="shared" si="4"/>
        <v>0</v>
      </c>
      <c r="G21" s="65">
        <f t="shared" si="4"/>
        <v>0</v>
      </c>
      <c r="H21" s="65">
        <f t="shared" si="4"/>
        <v>0</v>
      </c>
      <c r="I21" s="65">
        <f t="shared" si="4"/>
        <v>0</v>
      </c>
      <c r="J21" s="65">
        <f t="shared" si="4"/>
        <v>0</v>
      </c>
      <c r="K21" s="65">
        <f t="shared" si="4"/>
        <v>0</v>
      </c>
      <c r="L21" s="65">
        <f t="shared" si="4"/>
        <v>0</v>
      </c>
      <c r="M21" s="65">
        <f t="shared" si="4"/>
        <v>0</v>
      </c>
      <c r="N21" s="65">
        <f t="shared" si="4"/>
        <v>0</v>
      </c>
      <c r="O21" s="2"/>
      <c r="P21" s="2"/>
      <c r="Q21" s="2"/>
      <c r="R21" s="2"/>
      <c r="S21" s="2"/>
      <c r="T21" s="2"/>
      <c r="U21" s="2"/>
      <c r="V21" s="2"/>
      <c r="W21" s="2"/>
      <c r="X21" s="2"/>
      <c r="Y21" s="2"/>
      <c r="Z21" s="2"/>
    </row>
    <row r="22" ht="16.5" customHeight="1" spans="1:26" x14ac:dyDescent="0.25">
      <c r="A22" s="23" t="s">
        <v>252</v>
      </c>
      <c r="B22" s="70" t="str">
        <f t="shared" ref="B22:N22" si="5">IF(B11=0,"-",B21/B11)</f>
        <v>-</v>
      </c>
      <c r="C22" s="70" t="str">
        <f t="shared" si="5"/>
        <v>-</v>
      </c>
      <c r="D22" s="70" t="str">
        <f t="shared" si="5"/>
        <v>-</v>
      </c>
      <c r="E22" s="70" t="str">
        <f t="shared" si="5"/>
        <v>-</v>
      </c>
      <c r="F22" s="70" t="str">
        <f t="shared" si="5"/>
        <v>-</v>
      </c>
      <c r="G22" s="70" t="str">
        <f t="shared" si="5"/>
        <v>-</v>
      </c>
      <c r="H22" s="70" t="str">
        <f t="shared" si="5"/>
        <v>-</v>
      </c>
      <c r="I22" s="70" t="str">
        <f t="shared" si="5"/>
        <v>-</v>
      </c>
      <c r="J22" s="70" t="str">
        <f t="shared" si="5"/>
        <v>-</v>
      </c>
      <c r="K22" s="70" t="str">
        <f t="shared" si="5"/>
        <v>-</v>
      </c>
      <c r="L22" s="70" t="str">
        <f t="shared" si="5"/>
        <v>-</v>
      </c>
      <c r="M22" s="70" t="str">
        <f t="shared" si="5"/>
        <v>-</v>
      </c>
      <c r="N22" s="70" t="str">
        <f t="shared" si="5"/>
        <v>-</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2" sqref="A32"/>
    </sheetView>
  </sheetViews>
  <sheetFormatPr defaultRowHeight="15" outlineLevelRow="0" outlineLevelCol="0" x14ac:dyDescent="0.25"/>
  <cols>
    <col min="1" max="1" width="34.28515625" customWidth="1"/>
    <col min="2" max="2" width="38.140625" customWidth="1"/>
    <col min="3" max="10" width="17.140625" customWidth="1"/>
    <col min="11" max="11" width="22.85546875" customWidth="1"/>
  </cols>
  <sheetData>
    <row r="1" ht="20.25" customHeight="1" spans="1:26" x14ac:dyDescent="0.25">
      <c r="A1" s="46" t="s">
        <v>253</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254</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74" t="s">
        <v>255</v>
      </c>
      <c r="B3" s="88"/>
      <c r="C3" s="88"/>
      <c r="D3" s="88"/>
      <c r="E3" s="88"/>
      <c r="F3" s="88"/>
      <c r="G3" s="88"/>
      <c r="H3" s="88"/>
      <c r="I3" s="88"/>
      <c r="J3" s="88"/>
      <c r="K3" s="88"/>
      <c r="L3" s="2"/>
      <c r="M3" s="2"/>
      <c r="N3" s="2"/>
      <c r="O3" s="2"/>
      <c r="P3" s="2"/>
      <c r="Q3" s="2"/>
      <c r="R3" s="2"/>
      <c r="S3" s="2"/>
      <c r="T3" s="2"/>
      <c r="U3" s="2"/>
      <c r="V3" s="2"/>
      <c r="W3" s="2"/>
      <c r="X3" s="2"/>
      <c r="Y3" s="2"/>
      <c r="Z3" s="2"/>
    </row>
    <row r="4" ht="16.5" customHeight="1" spans="1:26" x14ac:dyDescent="0.25">
      <c r="A4" s="53" t="s">
        <v>256</v>
      </c>
      <c r="B4" s="53" t="s">
        <v>257</v>
      </c>
      <c r="C4" s="53" t="s">
        <v>157</v>
      </c>
      <c r="D4" s="53" t="s">
        <v>161</v>
      </c>
      <c r="E4" s="53" t="s">
        <v>258</v>
      </c>
      <c r="F4" s="53" t="s">
        <v>259</v>
      </c>
      <c r="G4" s="53" t="s">
        <v>260</v>
      </c>
      <c r="H4" s="53" t="s">
        <v>261</v>
      </c>
      <c r="I4" s="53" t="s">
        <v>262</v>
      </c>
      <c r="J4" s="53" t="s">
        <v>263</v>
      </c>
      <c r="K4" s="53" t="s">
        <v>264</v>
      </c>
      <c r="L4" s="2"/>
      <c r="M4" s="2"/>
      <c r="N4" s="2"/>
      <c r="O4" s="2"/>
      <c r="P4" s="2"/>
      <c r="Q4" s="2"/>
      <c r="R4" s="2"/>
      <c r="S4" s="2"/>
      <c r="T4" s="2"/>
      <c r="U4" s="2"/>
      <c r="V4" s="2"/>
      <c r="W4" s="2"/>
      <c r="X4" s="2"/>
      <c r="Y4" s="2"/>
      <c r="Z4" s="2"/>
    </row>
    <row r="5" ht="16.5" customHeight="1" spans="1:26" x14ac:dyDescent="0.25">
      <c r="A5" s="19" t="s">
        <v>158</v>
      </c>
      <c r="B5" s="19" t="s">
        <v>159</v>
      </c>
      <c r="C5" s="89">
        <f>SUMIFS('Inventory On Hand Raw Data'!E:E,'Inventory On Hand Raw Data'!B:B,"Ola-Mate-VP1-16oz-12pk",'Inventory On Hand Raw Data'!A:A,"Amazon FBA")</f>
        <v>0</v>
      </c>
      <c r="D5" s="89">
        <f>SUMIFS('Inventory On Hand Raw Data'!E:E,'Inventory On Hand Raw Data'!B:B,"Ola-Mate-VP1-16oz-12pk",'Inventory On Hand Raw Data'!A:A,"Founders")</f>
        <v>0</v>
      </c>
      <c r="E5" s="89">
        <f>SUMIFS('Inventory On Hand Raw Data'!E:E,'Inventory On Hand Raw Data'!B:B,"Ola-Mate-VP1-16oz-12pk",'Inventory On Hand Raw Data'!A:A,"NJ Warehouse")</f>
        <v>0</v>
      </c>
      <c r="F5" s="89">
        <f>SUMIFS('Inventory On Hand Raw Data'!E:E,'Inventory On Hand Raw Data'!B:B,"Ola-Mate-VP1-16oz-12pk",'Inventory On Hand Raw Data'!A:A,"NY Warehouse")</f>
        <v>0</v>
      </c>
      <c r="G5" s="89">
        <f>SUMIFS('Inventory On Hand Raw Data'!E:E,'Inventory On Hand Raw Data'!B:B,"Ola-Mate-VP1-16oz-12pk",'Inventory On Hand Raw Data'!A:A,"NOBL")</f>
        <v>0</v>
      </c>
      <c r="H5" s="90">
        <f t="shared" ref="H5:H12" si="0">SUM(C5:G5)</f>
        <v>0</v>
      </c>
      <c r="I5" s="89">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91" t="str">
        <f t="shared" ref="J5:J12" si="1">IF(I5=0,"N/A",H5/I5)</f>
        <v>N/A</v>
      </c>
      <c r="K5" s="92" t="str">
        <f t="shared" ref="K5:K12" si="2">IF(I5=0,"⚪ No Sales",IF(J5="N/A","⚪ No Sales",IF(J5&lt;1,"🔴 CRITICAL",IF(J5&lt;2,"🟡 LOW",IF(J5&lt;=6,"🟢 HEALTHY","🔵 OVERSTOCK")))))</f>
        <v>⚪ No Sales</v>
      </c>
      <c r="L5" s="2"/>
      <c r="M5" s="2"/>
      <c r="N5" s="2"/>
      <c r="O5" s="2"/>
      <c r="P5" s="2"/>
      <c r="Q5" s="2"/>
      <c r="R5" s="2"/>
      <c r="S5" s="2"/>
      <c r="T5" s="2"/>
      <c r="U5" s="2"/>
      <c r="V5" s="2"/>
      <c r="W5" s="2"/>
      <c r="X5" s="2"/>
      <c r="Y5" s="2"/>
      <c r="Z5" s="2"/>
    </row>
    <row r="6" ht="16.5" customHeight="1" spans="1:26" x14ac:dyDescent="0.25">
      <c r="A6" s="21" t="s">
        <v>163</v>
      </c>
      <c r="B6" s="21" t="s">
        <v>164</v>
      </c>
      <c r="C6" s="93">
        <f>SUMIFS('Inventory On Hand Raw Data'!E:E,'Inventory On Hand Raw Data'!B:B,"Ola-Mate-BC-16oz-12PK",'Inventory On Hand Raw Data'!A:A,"Amazon FBA")</f>
        <v>0</v>
      </c>
      <c r="D6" s="93">
        <f>SUMIFS('Inventory On Hand Raw Data'!E:E,'Inventory On Hand Raw Data'!B:B,"Ola-Mate-BC-16oz-12PK",'Inventory On Hand Raw Data'!A:A,"Founders")</f>
        <v>0</v>
      </c>
      <c r="E6" s="93">
        <f>SUMIFS('Inventory On Hand Raw Data'!E:E,'Inventory On Hand Raw Data'!B:B,"Ola-Mate-BC-16oz-12PK",'Inventory On Hand Raw Data'!A:A,"NJ Warehouse")</f>
        <v>0</v>
      </c>
      <c r="F6" s="93">
        <f>SUMIFS('Inventory On Hand Raw Data'!E:E,'Inventory On Hand Raw Data'!B:B,"Ola-Mate-BC-16oz-12PK",'Inventory On Hand Raw Data'!A:A,"NY Warehouse")</f>
        <v>0</v>
      </c>
      <c r="G6" s="93">
        <f>SUMIFS('Inventory On Hand Raw Data'!E:E,'Inventory On Hand Raw Data'!B:B,"Ola-Mate-BC-16oz-12PK",'Inventory On Hand Raw Data'!A:A,"NOBL")</f>
        <v>0</v>
      </c>
      <c r="H6" s="94">
        <f t="shared" si="0"/>
        <v>0</v>
      </c>
      <c r="I6" s="93">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95" t="str">
        <f t="shared" si="1"/>
        <v>N/A</v>
      </c>
      <c r="K6" s="96" t="str">
        <f t="shared" si="2"/>
        <v>⚪ No Sales</v>
      </c>
      <c r="L6" s="2"/>
      <c r="M6" s="2"/>
      <c r="N6" s="2"/>
      <c r="O6" s="2"/>
      <c r="P6" s="2"/>
      <c r="Q6" s="2"/>
      <c r="R6" s="2"/>
      <c r="S6" s="2"/>
      <c r="T6" s="2"/>
      <c r="U6" s="2"/>
      <c r="V6" s="2"/>
      <c r="W6" s="2"/>
      <c r="X6" s="2"/>
      <c r="Y6" s="2"/>
      <c r="Z6" s="2"/>
    </row>
    <row r="7" ht="16.5" customHeight="1" spans="1:26" x14ac:dyDescent="0.25">
      <c r="A7" s="19" t="s">
        <v>165</v>
      </c>
      <c r="B7" s="19" t="s">
        <v>224</v>
      </c>
      <c r="C7" s="89">
        <f>SUMIFS('Inventory On Hand Raw Data'!E:E,'Inventory On Hand Raw Data'!B:B,"Ola-Mate-GG-16oz-12pk",'Inventory On Hand Raw Data'!A:A,"Amazon FBA")</f>
        <v>0</v>
      </c>
      <c r="D7" s="89">
        <f>SUMIFS('Inventory On Hand Raw Data'!E:E,'Inventory On Hand Raw Data'!B:B,"Ola-Mate-GG-16oz-12pk",'Inventory On Hand Raw Data'!A:A,"Founders")</f>
        <v>0</v>
      </c>
      <c r="E7" s="89">
        <f>SUMIFS('Inventory On Hand Raw Data'!E:E,'Inventory On Hand Raw Data'!B:B,"Ola-Mate-GG-16oz-12pk",'Inventory On Hand Raw Data'!A:A,"NJ Warehouse")</f>
        <v>0</v>
      </c>
      <c r="F7" s="89">
        <f>SUMIFS('Inventory On Hand Raw Data'!E:E,'Inventory On Hand Raw Data'!B:B,"Ola-Mate-GG-16oz-12pk",'Inventory On Hand Raw Data'!A:A,"NY Warehouse")</f>
        <v>0</v>
      </c>
      <c r="G7" s="89">
        <f>SUMIFS('Inventory On Hand Raw Data'!E:E,'Inventory On Hand Raw Data'!B:B,"Ola-Mate-GG-16oz-12pk",'Inventory On Hand Raw Data'!A:A,"NOBL")</f>
        <v>0</v>
      </c>
      <c r="H7" s="90">
        <f t="shared" si="0"/>
        <v>0</v>
      </c>
      <c r="I7" s="89">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91" t="str">
        <f t="shared" si="1"/>
        <v>N/A</v>
      </c>
      <c r="K7" s="92" t="str">
        <f t="shared" si="2"/>
        <v>⚪ No Sales</v>
      </c>
      <c r="L7" s="2"/>
      <c r="M7" s="2"/>
      <c r="N7" s="2"/>
      <c r="O7" s="2"/>
      <c r="P7" s="2"/>
      <c r="Q7" s="2"/>
      <c r="R7" s="2"/>
      <c r="S7" s="2"/>
      <c r="T7" s="2"/>
      <c r="U7" s="2"/>
      <c r="V7" s="2"/>
      <c r="W7" s="2"/>
      <c r="X7" s="2"/>
      <c r="Y7" s="2"/>
      <c r="Z7" s="2"/>
    </row>
    <row r="8" ht="16.5" customHeight="1" spans="1:26" x14ac:dyDescent="0.25">
      <c r="A8" s="21" t="s">
        <v>167</v>
      </c>
      <c r="B8" s="21" t="s">
        <v>223</v>
      </c>
      <c r="C8" s="93">
        <f>SUMIFS('Inventory On Hand Raw Data'!E:E,'Inventory On Hand Raw Data'!B:B,"Ola-Mate-R-16oz-12pk",'Inventory On Hand Raw Data'!A:A,"Amazon FBA")</f>
        <v>0</v>
      </c>
      <c r="D8" s="93">
        <f>SUMIFS('Inventory On Hand Raw Data'!E:E,'Inventory On Hand Raw Data'!B:B,"Ola-Mate-R-16oz-12pk",'Inventory On Hand Raw Data'!A:A,"Founders")</f>
        <v>0</v>
      </c>
      <c r="E8" s="93">
        <f>SUMIFS('Inventory On Hand Raw Data'!E:E,'Inventory On Hand Raw Data'!B:B,"Ola-Mate-R-16oz-12pk",'Inventory On Hand Raw Data'!A:A,"NJ Warehouse")</f>
        <v>0</v>
      </c>
      <c r="F8" s="93">
        <f>SUMIFS('Inventory On Hand Raw Data'!E:E,'Inventory On Hand Raw Data'!B:B,"Ola-Mate-R-16oz-12pk",'Inventory On Hand Raw Data'!A:A,"NY Warehouse")</f>
        <v>0</v>
      </c>
      <c r="G8" s="93">
        <f>SUMIFS('Inventory On Hand Raw Data'!E:E,'Inventory On Hand Raw Data'!B:B,"Ola-Mate-R-16oz-12pk",'Inventory On Hand Raw Data'!A:A,"NOBL")</f>
        <v>0</v>
      </c>
      <c r="H8" s="94">
        <f t="shared" si="0"/>
        <v>0</v>
      </c>
      <c r="I8" s="93">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95" t="str">
        <f t="shared" si="1"/>
        <v>N/A</v>
      </c>
      <c r="K8" s="96" t="str">
        <f t="shared" si="2"/>
        <v>⚪ No Sales</v>
      </c>
      <c r="L8" s="2"/>
      <c r="M8" s="2"/>
      <c r="N8" s="2"/>
      <c r="O8" s="2"/>
      <c r="P8" s="2"/>
      <c r="Q8" s="2"/>
      <c r="R8" s="2"/>
      <c r="S8" s="2"/>
      <c r="T8" s="2"/>
      <c r="U8" s="2"/>
      <c r="V8" s="2"/>
      <c r="W8" s="2"/>
      <c r="X8" s="2"/>
      <c r="Y8" s="2"/>
      <c r="Z8" s="2"/>
    </row>
    <row r="9" ht="16.5" customHeight="1" spans="1:26" x14ac:dyDescent="0.25">
      <c r="A9" s="19" t="s">
        <v>265</v>
      </c>
      <c r="B9" s="19" t="s">
        <v>225</v>
      </c>
      <c r="C9" s="89">
        <f>SUMIFS('Inventory On Hand Raw Data'!E:E,'Inventory On Hand Raw Data'!B:B,"Ola-Mate-SP1-16oz-4pk",'Inventory On Hand Raw Data'!A:A,"Amazon FBA")</f>
        <v>0</v>
      </c>
      <c r="D9" s="89">
        <f>SUMIFS('Inventory On Hand Raw Data'!E:E,'Inventory On Hand Raw Data'!B:B,"Ola-Mate-SP1-16oz-4pk",'Inventory On Hand Raw Data'!A:A,"Founders")</f>
        <v>0</v>
      </c>
      <c r="E9" s="89">
        <f>SUMIFS('Inventory On Hand Raw Data'!E:E,'Inventory On Hand Raw Data'!B:B,"Ola-Mate-SP1-16oz-4pk",'Inventory On Hand Raw Data'!A:A,"NJ Warehouse")</f>
        <v>0</v>
      </c>
      <c r="F9" s="89">
        <f>SUMIFS('Inventory On Hand Raw Data'!E:E,'Inventory On Hand Raw Data'!B:B,"Ola-Mate-SP1-16oz-4pk",'Inventory On Hand Raw Data'!A:A,"NY Warehouse")</f>
        <v>0</v>
      </c>
      <c r="G9" s="89">
        <f>SUMIFS('Inventory On Hand Raw Data'!E:E,'Inventory On Hand Raw Data'!B:B,"Ola-Mate-SP1-16oz-4pk",'Inventory On Hand Raw Data'!A:A,"NOBL")</f>
        <v>0</v>
      </c>
      <c r="H9" s="90">
        <f t="shared" si="0"/>
        <v>0</v>
      </c>
      <c r="I9" s="89">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91" t="str">
        <f t="shared" si="1"/>
        <v>N/A</v>
      </c>
      <c r="K9" s="92" t="str">
        <f t="shared" si="2"/>
        <v>⚪ No Sales</v>
      </c>
      <c r="L9" s="2"/>
      <c r="M9" s="2"/>
      <c r="N9" s="2"/>
      <c r="O9" s="2"/>
      <c r="P9" s="2"/>
      <c r="Q9" s="2"/>
      <c r="R9" s="2"/>
      <c r="S9" s="2"/>
      <c r="T9" s="2"/>
      <c r="U9" s="2"/>
      <c r="V9" s="2"/>
      <c r="W9" s="2"/>
      <c r="X9" s="2"/>
      <c r="Y9" s="2"/>
      <c r="Z9" s="2"/>
    </row>
    <row r="10" ht="16.5" customHeight="1" spans="1:26" x14ac:dyDescent="0.25">
      <c r="A10" s="21" t="s">
        <v>266</v>
      </c>
      <c r="B10" s="21" t="s">
        <v>267</v>
      </c>
      <c r="C10" s="93">
        <f>SUMIFS('Inventory On Hand Raw Data'!E:E,'Inventory On Hand Raw Data'!B:B,"Ola-Mate-BC-16oz-1can",'Inventory On Hand Raw Data'!A:A,"Amazon FBA")</f>
        <v>0</v>
      </c>
      <c r="D10" s="93">
        <f>SUMIFS('Inventory On Hand Raw Data'!E:E,'Inventory On Hand Raw Data'!B:B,"Ola-Mate-BC-16oz-1can",'Inventory On Hand Raw Data'!A:A,"Founders")</f>
        <v>0</v>
      </c>
      <c r="E10" s="93">
        <f>SUMIFS('Inventory On Hand Raw Data'!E:E,'Inventory On Hand Raw Data'!B:B,"Ola-Mate-BC-16oz-1can",'Inventory On Hand Raw Data'!A:A,"NJ Warehouse")</f>
        <v>0</v>
      </c>
      <c r="F10" s="93">
        <f>SUMIFS('Inventory On Hand Raw Data'!E:E,'Inventory On Hand Raw Data'!B:B,"Ola-Mate-BC-16oz-1can",'Inventory On Hand Raw Data'!A:A,"NY Warehouse")</f>
        <v>0</v>
      </c>
      <c r="G10" s="93">
        <f>SUMIFS('Inventory On Hand Raw Data'!E:E,'Inventory On Hand Raw Data'!B:B,"Ola-Mate-BC-16oz-1can",'Inventory On Hand Raw Data'!A:A,"NOBL")</f>
        <v>0</v>
      </c>
      <c r="H10" s="94">
        <f t="shared" si="0"/>
        <v>0</v>
      </c>
      <c r="I10" s="93">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95" t="str">
        <f t="shared" si="1"/>
        <v>N/A</v>
      </c>
      <c r="K10" s="96" t="str">
        <f t="shared" si="2"/>
        <v>⚪ No Sales</v>
      </c>
      <c r="L10" s="2"/>
      <c r="M10" s="2"/>
      <c r="N10" s="2"/>
      <c r="O10" s="2"/>
      <c r="P10" s="2"/>
      <c r="Q10" s="2"/>
      <c r="R10" s="2"/>
      <c r="S10" s="2"/>
      <c r="T10" s="2"/>
      <c r="U10" s="2"/>
      <c r="V10" s="2"/>
      <c r="W10" s="2"/>
      <c r="X10" s="2"/>
      <c r="Y10" s="2"/>
      <c r="Z10" s="2"/>
    </row>
    <row r="11" ht="16.5" customHeight="1" spans="1:26" x14ac:dyDescent="0.25">
      <c r="A11" s="19" t="s">
        <v>268</v>
      </c>
      <c r="B11" s="19" t="s">
        <v>269</v>
      </c>
      <c r="C11" s="89">
        <f>SUMIFS('Inventory On Hand Raw Data'!E:E,'Inventory On Hand Raw Data'!B:B,"Ola-Mate-GG-16oz-1can",'Inventory On Hand Raw Data'!A:A,"Amazon FBA")</f>
        <v>0</v>
      </c>
      <c r="D11" s="89">
        <f>SUMIFS('Inventory On Hand Raw Data'!E:E,'Inventory On Hand Raw Data'!B:B,"Ola-Mate-GG-16oz-1can",'Inventory On Hand Raw Data'!A:A,"Founders")</f>
        <v>0</v>
      </c>
      <c r="E11" s="89">
        <f>SUMIFS('Inventory On Hand Raw Data'!E:E,'Inventory On Hand Raw Data'!B:B,"Ola-Mate-GG-16oz-1can",'Inventory On Hand Raw Data'!A:A,"NJ Warehouse")</f>
        <v>0</v>
      </c>
      <c r="F11" s="89">
        <f>SUMIFS('Inventory On Hand Raw Data'!E:E,'Inventory On Hand Raw Data'!B:B,"Ola-Mate-GG-16oz-1can",'Inventory On Hand Raw Data'!A:A,"NY Warehouse")</f>
        <v>0</v>
      </c>
      <c r="G11" s="89">
        <f>SUMIFS('Inventory On Hand Raw Data'!E:E,'Inventory On Hand Raw Data'!B:B,"Ola-Mate-GG-16oz-1can",'Inventory On Hand Raw Data'!A:A,"NOBL")</f>
        <v>0</v>
      </c>
      <c r="H11" s="90">
        <f t="shared" si="0"/>
        <v>0</v>
      </c>
      <c r="I11" s="89">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91" t="str">
        <f t="shared" si="1"/>
        <v>N/A</v>
      </c>
      <c r="K11" s="92" t="str">
        <f t="shared" si="2"/>
        <v>⚪ No Sales</v>
      </c>
      <c r="L11" s="2"/>
      <c r="M11" s="2"/>
      <c r="N11" s="2"/>
      <c r="O11" s="2"/>
      <c r="P11" s="2"/>
      <c r="Q11" s="2"/>
      <c r="R11" s="2"/>
      <c r="S11" s="2"/>
      <c r="T11" s="2"/>
      <c r="U11" s="2"/>
      <c r="V11" s="2"/>
      <c r="W11" s="2"/>
      <c r="X11" s="2"/>
      <c r="Y11" s="2"/>
      <c r="Z11" s="2"/>
    </row>
    <row r="12" ht="16.5" customHeight="1" spans="1:26" x14ac:dyDescent="0.25">
      <c r="A12" s="21" t="s">
        <v>270</v>
      </c>
      <c r="B12" s="21" t="s">
        <v>271</v>
      </c>
      <c r="C12" s="93">
        <f>SUMIFS('Inventory On Hand Raw Data'!E:E,'Inventory On Hand Raw Data'!B:B,"Ola-Mate-R-16oz-1can",'Inventory On Hand Raw Data'!A:A,"Amazon FBA")</f>
        <v>0</v>
      </c>
      <c r="D12" s="93">
        <f>SUMIFS('Inventory On Hand Raw Data'!E:E,'Inventory On Hand Raw Data'!B:B,"Ola-Mate-R-16oz-1can",'Inventory On Hand Raw Data'!A:A,"Founders")</f>
        <v>0</v>
      </c>
      <c r="E12" s="93">
        <f>SUMIFS('Inventory On Hand Raw Data'!E:E,'Inventory On Hand Raw Data'!B:B,"Ola-Mate-R-16oz-1can",'Inventory On Hand Raw Data'!A:A,"NJ Warehouse")</f>
        <v>0</v>
      </c>
      <c r="F12" s="93">
        <f>SUMIFS('Inventory On Hand Raw Data'!E:E,'Inventory On Hand Raw Data'!B:B,"Ola-Mate-R-16oz-1can",'Inventory On Hand Raw Data'!A:A,"NY Warehouse")</f>
        <v>0</v>
      </c>
      <c r="G12" s="93">
        <f>SUMIFS('Inventory On Hand Raw Data'!E:E,'Inventory On Hand Raw Data'!B:B,"Ola-Mate-R-16oz-1can",'Inventory On Hand Raw Data'!A:A,"NOBL")</f>
        <v>0</v>
      </c>
      <c r="H12" s="94">
        <f t="shared" si="0"/>
        <v>0</v>
      </c>
      <c r="I12" s="93">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95" t="str">
        <f t="shared" si="1"/>
        <v>N/A</v>
      </c>
      <c r="K12" s="96" t="str">
        <f t="shared" si="2"/>
        <v>⚪ No Sales</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272</v>
      </c>
      <c r="B14" s="97"/>
      <c r="C14" s="97"/>
      <c r="D14" s="97"/>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74" t="s">
        <v>273</v>
      </c>
      <c r="B15" s="74" t="s">
        <v>274</v>
      </c>
      <c r="C15" s="74" t="s">
        <v>275</v>
      </c>
      <c r="D15" s="74" t="s">
        <v>276</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277</v>
      </c>
      <c r="B16" s="26">
        <f>COUNTIF(K5:K12,"*CRITICAL*")</f>
        <v>0</v>
      </c>
      <c r="C16" s="20"/>
      <c r="D16" s="26" t="s">
        <v>278</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279</v>
      </c>
      <c r="B17" s="20">
        <f>COUNTIF(K5:K12,"*LOW*")</f>
        <v>0</v>
      </c>
      <c r="C17" s="20">
        <f t="array" ref="C17">IFERROR(_xlfn.TEXTJOIN(", ",TRUE,IF(K5:K12="🟡 LOW",A5:A12,"")),"None")</f>
      </c>
      <c r="D17" s="20" t="s">
        <v>280</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281</v>
      </c>
      <c r="B18" s="23">
        <f>COUNTIF(K5:K12,"*HEALTHY*")</f>
        <v>0</v>
      </c>
      <c r="C18" s="23"/>
      <c r="D18" s="23" t="s">
        <v>282</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98" t="s">
        <v>283</v>
      </c>
      <c r="B19" s="98">
        <f>COUNTIF(K5:K12,"*OVERSTOCK*")</f>
        <v>0</v>
      </c>
      <c r="C19" s="98"/>
      <c r="D19" s="98" t="s">
        <v>284</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99" t="s">
        <v>285</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25"/>
  <cols>
    <col min="1" max="1" width="34.28515625" customWidth="1"/>
    <col min="2" max="2" width="24.7109375" customWidth="1"/>
    <col min="3" max="8" width="17.140625" customWidth="1"/>
  </cols>
  <sheetData>
    <row r="1" ht="20.25" customHeight="1" spans="1:26" x14ac:dyDescent="0.25">
      <c r="A1" s="46" t="s">
        <v>286</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287</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53" t="s">
        <v>288</v>
      </c>
      <c r="B4" s="53" t="s">
        <v>289</v>
      </c>
      <c r="C4" s="53" t="s">
        <v>290</v>
      </c>
      <c r="D4" s="53" t="s">
        <v>291</v>
      </c>
      <c r="E4" s="53" t="s">
        <v>182</v>
      </c>
      <c r="F4" s="53" t="s">
        <v>292</v>
      </c>
      <c r="G4" s="53" t="s">
        <v>293</v>
      </c>
      <c r="H4" s="53" t="s">
        <v>294</v>
      </c>
      <c r="I4" s="2"/>
      <c r="J4" s="2"/>
      <c r="K4" s="2"/>
      <c r="L4" s="2"/>
      <c r="M4" s="2"/>
      <c r="N4" s="2"/>
      <c r="O4" s="2"/>
      <c r="P4" s="2"/>
      <c r="Q4" s="2"/>
      <c r="R4" s="2"/>
      <c r="S4" s="2"/>
      <c r="T4" s="2"/>
      <c r="U4" s="2"/>
      <c r="V4" s="2"/>
      <c r="W4" s="2"/>
      <c r="X4" s="2"/>
      <c r="Y4" s="2"/>
      <c r="Z4" s="2"/>
    </row>
    <row r="5" ht="16.5" customHeight="1" spans="1:26" x14ac:dyDescent="0.25">
      <c r="A5" s="18" t="s">
        <v>159</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00" t="s">
        <v>158</v>
      </c>
      <c r="B6" s="100" t="s">
        <v>218</v>
      </c>
      <c r="C6" s="101">
        <f>SUMIFS('Sales Transactions Raw Data'!T:T,'Sales Transactions Raw Data'!G:G,"Ola-Mate-VP1-16oz-12pk",'Sales Transactions Raw Data'!B:B,"March",'Sales Transactions Raw Data'!A:A,2025,'Sales Transactions Raw Data'!J:J,"Finished Goods")</f>
        <v>0</v>
      </c>
      <c r="D6" s="101">
        <f>SUMIFS('Sales Transactions Raw Data'!T:T,'Sales Transactions Raw Data'!G:G,"Ola-Mate-VP1-16oz-12pk",'Sales Transactions Raw Data'!B:B,"July",'Sales Transactions Raw Data'!A:A,2025,'Sales Transactions Raw Data'!J:J,"Finished Goods")</f>
        <v>0</v>
      </c>
      <c r="E6" s="101">
        <f>SUMIFS('Sales Transactions Raw Data'!T:T,'Sales Transactions Raw Data'!G:G,"Ola-Mate-VP1-16oz-12pk",'Sales Transactions Raw Data'!B:B,"August",'Sales Transactions Raw Data'!A:A,2025,'Sales Transactions Raw Data'!J:J,"Finished Goods")</f>
        <v>0</v>
      </c>
      <c r="F6" s="101">
        <f>SUMIFS('Sales Transactions Raw Data'!T:T,'Sales Transactions Raw Data'!G:G,"Ola-Mate-VP1-16oz-12pk",'Sales Transactions Raw Data'!B:B,"September",'Sales Transactions Raw Data'!A:A,2025,'Sales Transactions Raw Data'!J:J,"Finished Goods")</f>
        <v>0</v>
      </c>
      <c r="G6" s="101">
        <f>SUMIFS('Sales Transactions Raw Data'!T:T,'Sales Transactions Raw Data'!G:G,"Ola-Mate-VP1-16oz-12pk",'Sales Transactions Raw Data'!B:B,"October",'Sales Transactions Raw Data'!A:A,2025,'Sales Transactions Raw Data'!J:J,"Finished Goods")</f>
        <v>0</v>
      </c>
      <c r="H6" s="101">
        <f>SUMIFS('Sales Transactions Raw Data'!T:T,'Sales Transactions Raw Data'!G:G,"Ola-Mate-VP1-16oz-12pk",'Sales Transactions Raw Data'!B:B,"November",'Sales Transactions Raw Data'!A:A,2025,'Sales Transactions Raw Data'!J:J,"Finished Goods")</f>
        <v>0</v>
      </c>
      <c r="I6" s="2"/>
      <c r="J6" s="2"/>
      <c r="K6" s="2"/>
      <c r="L6" s="2"/>
      <c r="M6" s="2"/>
      <c r="N6" s="2"/>
      <c r="O6" s="2"/>
      <c r="P6" s="2"/>
      <c r="Q6" s="2"/>
      <c r="R6" s="2"/>
      <c r="S6" s="2"/>
      <c r="T6" s="2"/>
      <c r="U6" s="2"/>
      <c r="V6" s="2"/>
      <c r="W6" s="2"/>
      <c r="X6" s="2"/>
      <c r="Y6" s="2"/>
      <c r="Z6" s="2"/>
    </row>
    <row r="7" ht="16.5" customHeight="1" spans="1:26" x14ac:dyDescent="0.25">
      <c r="A7" s="23" t="s">
        <v>158</v>
      </c>
      <c r="B7" s="23" t="s">
        <v>295</v>
      </c>
      <c r="C7" s="102">
        <f>SUMIFS('Purchase Transactions Raw data'!F:F,'Purchase Transactions Raw data'!B:B,"Ola-Mate-VP1-16oz-12pk",'Purchase Transactions Raw data'!H:H,"March")</f>
        <v>0</v>
      </c>
      <c r="D7" s="102">
        <f>SUMIFS('Purchase Transactions Raw data'!F:F,'Purchase Transactions Raw data'!B:B,"Ola-Mate-VP1-16oz-12pk",'Purchase Transactions Raw data'!H:H,"July")</f>
        <v>0</v>
      </c>
      <c r="E7" s="102">
        <f>SUMIFS('Purchase Transactions Raw data'!F:F,'Purchase Transactions Raw data'!B:B,"Ola-Mate-VP1-16oz-12pk",'Purchase Transactions Raw data'!H:H,"August")</f>
        <v>0</v>
      </c>
      <c r="F7" s="102">
        <f>SUMIFS('Purchase Transactions Raw data'!F:F,'Purchase Transactions Raw data'!B:B,"Ola-Mate-VP1-16oz-12pk",'Purchase Transactions Raw data'!H:H,"September")</f>
        <v>0</v>
      </c>
      <c r="G7" s="102">
        <f>SUMIFS('Purchase Transactions Raw data'!F:F,'Purchase Transactions Raw data'!B:B,"Ola-Mate-VP1-16oz-12pk",'Purchase Transactions Raw data'!H:H,"October")</f>
        <v>0</v>
      </c>
      <c r="H7" s="102">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88" t="s">
        <v>158</v>
      </c>
      <c r="B8" s="88" t="s">
        <v>296</v>
      </c>
      <c r="C8" s="103">
        <f t="shared" ref="C8:H8" si="0">C7-C6</f>
        <v>0</v>
      </c>
      <c r="D8" s="103">
        <f t="shared" si="0"/>
        <v>0</v>
      </c>
      <c r="E8" s="103">
        <f t="shared" si="0"/>
        <v>0</v>
      </c>
      <c r="F8" s="103">
        <f t="shared" si="0"/>
        <v>0</v>
      </c>
      <c r="G8" s="103">
        <f t="shared" si="0"/>
        <v>0</v>
      </c>
      <c r="H8" s="103">
        <f t="shared" si="0"/>
        <v>0</v>
      </c>
      <c r="I8" s="2"/>
      <c r="J8" s="2"/>
      <c r="K8" s="2"/>
      <c r="L8" s="2"/>
      <c r="M8" s="2"/>
      <c r="N8" s="2"/>
      <c r="O8" s="2"/>
      <c r="P8" s="2"/>
      <c r="Q8" s="2"/>
      <c r="R8" s="2"/>
      <c r="S8" s="2"/>
      <c r="T8" s="2"/>
      <c r="U8" s="2"/>
      <c r="V8" s="2"/>
      <c r="W8" s="2"/>
      <c r="X8" s="2"/>
      <c r="Y8" s="2"/>
      <c r="Z8" s="2"/>
    </row>
    <row r="9" ht="16.5" customHeight="1" spans="1:26" x14ac:dyDescent="0.25">
      <c r="A9" s="18" t="s">
        <v>164</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00" t="s">
        <v>163</v>
      </c>
      <c r="B10" s="100" t="s">
        <v>218</v>
      </c>
      <c r="C10" s="101">
        <f>SUMIFS('Sales Transactions Raw Data'!T:T,'Sales Transactions Raw Data'!G:G,"Ola-Mate-BC-16oz-12PK",'Sales Transactions Raw Data'!B:B,"March",'Sales Transactions Raw Data'!A:A,2025,'Sales Transactions Raw Data'!J:J,"Finished Goods")</f>
        <v>0</v>
      </c>
      <c r="D10" s="101">
        <f>SUMIFS('Sales Transactions Raw Data'!T:T,'Sales Transactions Raw Data'!G:G,"Ola-Mate-BC-16oz-12PK",'Sales Transactions Raw Data'!B:B,"July",'Sales Transactions Raw Data'!A:A,2025,'Sales Transactions Raw Data'!J:J,"Finished Goods")</f>
        <v>0</v>
      </c>
      <c r="E10" s="101">
        <f>SUMIFS('Sales Transactions Raw Data'!T:T,'Sales Transactions Raw Data'!G:G,"Ola-Mate-BC-16oz-12PK",'Sales Transactions Raw Data'!B:B,"August",'Sales Transactions Raw Data'!A:A,2025,'Sales Transactions Raw Data'!J:J,"Finished Goods")</f>
        <v>0</v>
      </c>
      <c r="F10" s="101">
        <f>SUMIFS('Sales Transactions Raw Data'!T:T,'Sales Transactions Raw Data'!G:G,"Ola-Mate-BC-16oz-12PK",'Sales Transactions Raw Data'!B:B,"September",'Sales Transactions Raw Data'!A:A,2025,'Sales Transactions Raw Data'!J:J,"Finished Goods")</f>
        <v>0</v>
      </c>
      <c r="G10" s="101">
        <f>SUMIFS('Sales Transactions Raw Data'!T:T,'Sales Transactions Raw Data'!G:G,"Ola-Mate-BC-16oz-12PK",'Sales Transactions Raw Data'!B:B,"October",'Sales Transactions Raw Data'!A:A,2025,'Sales Transactions Raw Data'!J:J,"Finished Goods")</f>
        <v>0</v>
      </c>
      <c r="H10" s="101">
        <f>SUMIFS('Sales Transactions Raw Data'!T:T,'Sales Transactions Raw Data'!G:G,"Ola-Mate-BC-16oz-12PK",'Sales Transactions Raw Data'!B:B,"November",'Sales Transactions Raw Data'!A:A,2025,'Sales Transactions Raw Data'!J:J,"Finished Goods")</f>
        <v>0</v>
      </c>
      <c r="I10" s="2"/>
      <c r="J10" s="2"/>
      <c r="K10" s="2"/>
      <c r="L10" s="2"/>
      <c r="M10" s="2"/>
      <c r="N10" s="2"/>
      <c r="O10" s="2"/>
      <c r="P10" s="2"/>
      <c r="Q10" s="2"/>
      <c r="R10" s="2"/>
      <c r="S10" s="2"/>
      <c r="T10" s="2"/>
      <c r="U10" s="2"/>
      <c r="V10" s="2"/>
      <c r="W10" s="2"/>
      <c r="X10" s="2"/>
      <c r="Y10" s="2"/>
      <c r="Z10" s="2"/>
    </row>
    <row r="11" ht="16.5" customHeight="1" spans="1:26" x14ac:dyDescent="0.25">
      <c r="A11" s="23" t="s">
        <v>163</v>
      </c>
      <c r="B11" s="23" t="s">
        <v>295</v>
      </c>
      <c r="C11" s="102">
        <f>SUMIFS('Purchase Transactions Raw data'!F:F,'Purchase Transactions Raw data'!B:B,"Ola-Mate-BC-16oz-12PK",'Purchase Transactions Raw data'!H:H,"March")</f>
        <v>0</v>
      </c>
      <c r="D11" s="102">
        <f>SUMIFS('Purchase Transactions Raw data'!F:F,'Purchase Transactions Raw data'!B:B,"Ola-Mate-BC-16oz-12PK",'Purchase Transactions Raw data'!H:H,"July")</f>
        <v>0</v>
      </c>
      <c r="E11" s="102">
        <f>SUMIFS('Purchase Transactions Raw data'!F:F,'Purchase Transactions Raw data'!B:B,"Ola-Mate-BC-16oz-12PK",'Purchase Transactions Raw data'!H:H,"August")</f>
        <v>0</v>
      </c>
      <c r="F11" s="102">
        <f>SUMIFS('Purchase Transactions Raw data'!F:F,'Purchase Transactions Raw data'!B:B,"Ola-Mate-BC-16oz-12PK",'Purchase Transactions Raw data'!H:H,"September")</f>
        <v>0</v>
      </c>
      <c r="G11" s="102">
        <f>SUMIFS('Purchase Transactions Raw data'!F:F,'Purchase Transactions Raw data'!B:B,"Ola-Mate-BC-16oz-12PK",'Purchase Transactions Raw data'!H:H,"October")</f>
        <v>0</v>
      </c>
      <c r="H11" s="102">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88" t="s">
        <v>163</v>
      </c>
      <c r="B12" s="88" t="s">
        <v>296</v>
      </c>
      <c r="C12" s="103">
        <f t="shared" ref="C12:H12" si="1">C11-C10</f>
        <v>0</v>
      </c>
      <c r="D12" s="103">
        <f t="shared" si="1"/>
        <v>0</v>
      </c>
      <c r="E12" s="103">
        <f t="shared" si="1"/>
        <v>0</v>
      </c>
      <c r="F12" s="103">
        <f t="shared" si="1"/>
        <v>0</v>
      </c>
      <c r="G12" s="103">
        <f t="shared" si="1"/>
        <v>0</v>
      </c>
      <c r="H12" s="103">
        <f t="shared" si="1"/>
        <v>0</v>
      </c>
      <c r="I12" s="2"/>
      <c r="J12" s="2"/>
      <c r="K12" s="2"/>
      <c r="L12" s="2"/>
      <c r="M12" s="2"/>
      <c r="N12" s="2"/>
      <c r="O12" s="2"/>
      <c r="P12" s="2"/>
      <c r="Q12" s="2"/>
      <c r="R12" s="2"/>
      <c r="S12" s="2"/>
      <c r="T12" s="2"/>
      <c r="U12" s="2"/>
      <c r="V12" s="2"/>
      <c r="W12" s="2"/>
      <c r="X12" s="2"/>
      <c r="Y12" s="2"/>
      <c r="Z12" s="2"/>
    </row>
    <row r="13" ht="16.5" customHeight="1" spans="1:26" x14ac:dyDescent="0.25">
      <c r="A13" s="18" t="s">
        <v>224</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00" t="s">
        <v>165</v>
      </c>
      <c r="B14" s="100" t="s">
        <v>218</v>
      </c>
      <c r="C14" s="101">
        <f>SUMIFS('Sales Transactions Raw Data'!T:T,'Sales Transactions Raw Data'!G:G,"Ola-Mate-GG-16oz-12pk",'Sales Transactions Raw Data'!B:B,"March",'Sales Transactions Raw Data'!A:A,2025,'Sales Transactions Raw Data'!J:J,"Finished Goods")</f>
        <v>0</v>
      </c>
      <c r="D14" s="101">
        <f>SUMIFS('Sales Transactions Raw Data'!T:T,'Sales Transactions Raw Data'!G:G,"Ola-Mate-GG-16oz-12pk",'Sales Transactions Raw Data'!B:B,"July",'Sales Transactions Raw Data'!A:A,2025,'Sales Transactions Raw Data'!J:J,"Finished Goods")</f>
        <v>0</v>
      </c>
      <c r="E14" s="101">
        <f>SUMIFS('Sales Transactions Raw Data'!T:T,'Sales Transactions Raw Data'!G:G,"Ola-Mate-GG-16oz-12pk",'Sales Transactions Raw Data'!B:B,"August",'Sales Transactions Raw Data'!A:A,2025,'Sales Transactions Raw Data'!J:J,"Finished Goods")</f>
        <v>0</v>
      </c>
      <c r="F14" s="101">
        <f>SUMIFS('Sales Transactions Raw Data'!T:T,'Sales Transactions Raw Data'!G:G,"Ola-Mate-GG-16oz-12pk",'Sales Transactions Raw Data'!B:B,"September",'Sales Transactions Raw Data'!A:A,2025,'Sales Transactions Raw Data'!J:J,"Finished Goods")</f>
        <v>0</v>
      </c>
      <c r="G14" s="101">
        <f>SUMIFS('Sales Transactions Raw Data'!T:T,'Sales Transactions Raw Data'!G:G,"Ola-Mate-GG-16oz-12pk",'Sales Transactions Raw Data'!B:B,"October",'Sales Transactions Raw Data'!A:A,2025,'Sales Transactions Raw Data'!J:J,"Finished Goods")</f>
        <v>0</v>
      </c>
      <c r="H14" s="101">
        <f>SUMIFS('Sales Transactions Raw Data'!T:T,'Sales Transactions Raw Data'!G:G,"Ola-Mate-GG-16oz-12pk",'Sales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23" t="s">
        <v>165</v>
      </c>
      <c r="B15" s="23" t="s">
        <v>295</v>
      </c>
      <c r="C15" s="102">
        <f>SUMIFS('Purchase Transactions Raw data'!F:F,'Purchase Transactions Raw data'!B:B,"Ola-Mate-GG-16oz-12pk",'Purchase Transactions Raw data'!H:H,"March")</f>
        <v>0</v>
      </c>
      <c r="D15" s="102">
        <f>SUMIFS('Purchase Transactions Raw data'!F:F,'Purchase Transactions Raw data'!B:B,"Ola-Mate-GG-16oz-12pk",'Purchase Transactions Raw data'!H:H,"July")</f>
        <v>0</v>
      </c>
      <c r="E15" s="102">
        <f>SUMIFS('Purchase Transactions Raw data'!F:F,'Purchase Transactions Raw data'!B:B,"Ola-Mate-GG-16oz-12pk",'Purchase Transactions Raw data'!H:H,"August")</f>
        <v>0</v>
      </c>
      <c r="F15" s="102">
        <f>SUMIFS('Purchase Transactions Raw data'!F:F,'Purchase Transactions Raw data'!B:B,"Ola-Mate-GG-16oz-12pk",'Purchase Transactions Raw data'!H:H,"September")</f>
        <v>0</v>
      </c>
      <c r="G15" s="102">
        <f>SUMIFS('Purchase Transactions Raw data'!F:F,'Purchase Transactions Raw data'!B:B,"Ola-Mate-GG-16oz-12pk",'Purchase Transactions Raw data'!H:H,"October")</f>
        <v>0</v>
      </c>
      <c r="H15" s="102">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88" t="s">
        <v>165</v>
      </c>
      <c r="B16" s="88" t="s">
        <v>296</v>
      </c>
      <c r="C16" s="103">
        <f t="shared" ref="C16:H16" si="2">C15-C14</f>
        <v>0</v>
      </c>
      <c r="D16" s="103">
        <f t="shared" si="2"/>
        <v>0</v>
      </c>
      <c r="E16" s="103">
        <f t="shared" si="2"/>
        <v>0</v>
      </c>
      <c r="F16" s="103">
        <f t="shared" si="2"/>
        <v>0</v>
      </c>
      <c r="G16" s="103">
        <f t="shared" si="2"/>
        <v>0</v>
      </c>
      <c r="H16" s="103">
        <f t="shared" si="2"/>
        <v>0</v>
      </c>
      <c r="I16" s="2"/>
      <c r="J16" s="2"/>
      <c r="K16" s="2"/>
      <c r="L16" s="2"/>
      <c r="M16" s="2"/>
      <c r="N16" s="2"/>
      <c r="O16" s="2"/>
      <c r="P16" s="2"/>
      <c r="Q16" s="2"/>
      <c r="R16" s="2"/>
      <c r="S16" s="2"/>
      <c r="T16" s="2"/>
      <c r="U16" s="2"/>
      <c r="V16" s="2"/>
      <c r="W16" s="2"/>
      <c r="X16" s="2"/>
      <c r="Y16" s="2"/>
      <c r="Z16" s="2"/>
    </row>
    <row r="17" ht="16.5" customHeight="1" spans="1:26" x14ac:dyDescent="0.25">
      <c r="A17" s="18" t="s">
        <v>223</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00" t="s">
        <v>167</v>
      </c>
      <c r="B18" s="100" t="s">
        <v>218</v>
      </c>
      <c r="C18" s="101">
        <f>SUMIFS('Sales Transactions Raw Data'!T:T,'Sales Transactions Raw Data'!G:G,"Ola-Mate-R-16oz-12pk",'Sales Transactions Raw Data'!B:B,"March",'Sales Transactions Raw Data'!A:A,2025,'Sales Transactions Raw Data'!J:J,"Finished Goods")</f>
        <v>0</v>
      </c>
      <c r="D18" s="101">
        <f>SUMIFS('Sales Transactions Raw Data'!T:T,'Sales Transactions Raw Data'!G:G,"Ola-Mate-R-16oz-12pk",'Sales Transactions Raw Data'!B:B,"July",'Sales Transactions Raw Data'!A:A,2025,'Sales Transactions Raw Data'!J:J,"Finished Goods")</f>
        <v>0</v>
      </c>
      <c r="E18" s="101">
        <f>SUMIFS('Sales Transactions Raw Data'!T:T,'Sales Transactions Raw Data'!G:G,"Ola-Mate-R-16oz-12pk",'Sales Transactions Raw Data'!B:B,"August",'Sales Transactions Raw Data'!A:A,2025,'Sales Transactions Raw Data'!J:J,"Finished Goods")</f>
        <v>0</v>
      </c>
      <c r="F18" s="101">
        <f>SUMIFS('Sales Transactions Raw Data'!T:T,'Sales Transactions Raw Data'!G:G,"Ola-Mate-R-16oz-12pk",'Sales Transactions Raw Data'!B:B,"September",'Sales Transactions Raw Data'!A:A,2025,'Sales Transactions Raw Data'!J:J,"Finished Goods")</f>
        <v>0</v>
      </c>
      <c r="G18" s="101">
        <f>SUMIFS('Sales Transactions Raw Data'!T:T,'Sales Transactions Raw Data'!G:G,"Ola-Mate-R-16oz-12pk",'Sales Transactions Raw Data'!B:B,"October",'Sales Transactions Raw Data'!A:A,2025,'Sales Transactions Raw Data'!J:J,"Finished Goods")</f>
        <v>0</v>
      </c>
      <c r="H18" s="101">
        <f>SUMIFS('Sales Transactions Raw Data'!T:T,'Sales Transactions Raw Data'!G:G,"Ola-Mate-R-16oz-12pk",'Sales Transactions Raw Data'!B:B,"November",'Sales Transactions Raw Data'!A:A,2025,'Sales Transactions Raw Data'!J:J,"Finished Goods")</f>
        <v>0</v>
      </c>
      <c r="I18" s="2"/>
      <c r="J18" s="2"/>
      <c r="K18" s="2"/>
      <c r="L18" s="2"/>
      <c r="M18" s="2"/>
      <c r="N18" s="2"/>
      <c r="O18" s="2"/>
      <c r="P18" s="2"/>
      <c r="Q18" s="2"/>
      <c r="R18" s="2"/>
      <c r="S18" s="2"/>
      <c r="T18" s="2"/>
      <c r="U18" s="2"/>
      <c r="V18" s="2"/>
      <c r="W18" s="2"/>
      <c r="X18" s="2"/>
      <c r="Y18" s="2"/>
      <c r="Z18" s="2"/>
    </row>
    <row r="19" ht="16.5" customHeight="1" spans="1:26" x14ac:dyDescent="0.25">
      <c r="A19" s="23" t="s">
        <v>167</v>
      </c>
      <c r="B19" s="23" t="s">
        <v>295</v>
      </c>
      <c r="C19" s="102">
        <f>SUMIFS('Purchase Transactions Raw data'!F:F,'Purchase Transactions Raw data'!B:B,"Ola-Mate-R-16oz-12pk",'Purchase Transactions Raw data'!H:H,"March")</f>
        <v>0</v>
      </c>
      <c r="D19" s="102">
        <f>SUMIFS('Purchase Transactions Raw data'!F:F,'Purchase Transactions Raw data'!B:B,"Ola-Mate-R-16oz-12pk",'Purchase Transactions Raw data'!H:H,"July")</f>
        <v>0</v>
      </c>
      <c r="E19" s="102">
        <f>SUMIFS('Purchase Transactions Raw data'!F:F,'Purchase Transactions Raw data'!B:B,"Ola-Mate-R-16oz-12pk",'Purchase Transactions Raw data'!H:H,"August")</f>
        <v>0</v>
      </c>
      <c r="F19" s="102">
        <f>SUMIFS('Purchase Transactions Raw data'!F:F,'Purchase Transactions Raw data'!B:B,"Ola-Mate-R-16oz-12pk",'Purchase Transactions Raw data'!H:H,"September")</f>
        <v>0</v>
      </c>
      <c r="G19" s="102">
        <f>SUMIFS('Purchase Transactions Raw data'!F:F,'Purchase Transactions Raw data'!B:B,"Ola-Mate-R-16oz-12pk",'Purchase Transactions Raw data'!H:H,"October")</f>
        <v>0</v>
      </c>
      <c r="H19" s="102">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88" t="s">
        <v>167</v>
      </c>
      <c r="B20" s="88" t="s">
        <v>296</v>
      </c>
      <c r="C20" s="103">
        <f t="shared" ref="C20:H20" si="3">C19-C18</f>
        <v>0</v>
      </c>
      <c r="D20" s="103">
        <f t="shared" si="3"/>
        <v>0</v>
      </c>
      <c r="E20" s="103">
        <f t="shared" si="3"/>
        <v>0</v>
      </c>
      <c r="F20" s="103">
        <f t="shared" si="3"/>
        <v>0</v>
      </c>
      <c r="G20" s="103">
        <f t="shared" si="3"/>
        <v>0</v>
      </c>
      <c r="H20" s="103">
        <f t="shared" si="3"/>
        <v>0</v>
      </c>
      <c r="I20" s="2"/>
      <c r="J20" s="2"/>
      <c r="K20" s="2"/>
      <c r="L20" s="2"/>
      <c r="M20" s="2"/>
      <c r="N20" s="2"/>
      <c r="O20" s="2"/>
      <c r="P20" s="2"/>
      <c r="Q20" s="2"/>
      <c r="R20" s="2"/>
      <c r="S20" s="2"/>
      <c r="T20" s="2"/>
      <c r="U20" s="2"/>
      <c r="V20" s="2"/>
      <c r="W20" s="2"/>
      <c r="X20" s="2"/>
      <c r="Y20" s="2"/>
      <c r="Z20" s="2"/>
    </row>
    <row r="21" ht="16.5" customHeight="1" spans="1:26" x14ac:dyDescent="0.25">
      <c r="A21" s="18" t="s">
        <v>225</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00" t="s">
        <v>265</v>
      </c>
      <c r="B22" s="100" t="s">
        <v>218</v>
      </c>
      <c r="C22" s="101">
        <f>SUMIFS('Sales Transactions Raw Data'!T:T,'Sales Transactions Raw Data'!G:G,"Ola-Mate-SP1-16oz-4pk",'Sales Transactions Raw Data'!B:B,"March",'Sales Transactions Raw Data'!A:A,2025,'Sales Transactions Raw Data'!J:J,"Finished Goods")</f>
        <v>0</v>
      </c>
      <c r="D22" s="101">
        <f>SUMIFS('Sales Transactions Raw Data'!T:T,'Sales Transactions Raw Data'!G:G,"Ola-Mate-SP1-16oz-4pk",'Sales Transactions Raw Data'!B:B,"July",'Sales Transactions Raw Data'!A:A,2025,'Sales Transactions Raw Data'!J:J,"Finished Goods")</f>
        <v>0</v>
      </c>
      <c r="E22" s="101">
        <f>SUMIFS('Sales Transactions Raw Data'!T:T,'Sales Transactions Raw Data'!G:G,"Ola-Mate-SP1-16oz-4pk",'Sales Transactions Raw Data'!B:B,"August",'Sales Transactions Raw Data'!A:A,2025,'Sales Transactions Raw Data'!J:J,"Finished Goods")</f>
        <v>0</v>
      </c>
      <c r="F22" s="101">
        <f>SUMIFS('Sales Transactions Raw Data'!T:T,'Sales Transactions Raw Data'!G:G,"Ola-Mate-SP1-16oz-4pk",'Sales Transactions Raw Data'!B:B,"September",'Sales Transactions Raw Data'!A:A,2025,'Sales Transactions Raw Data'!J:J,"Finished Goods")</f>
        <v>0</v>
      </c>
      <c r="G22" s="101">
        <f>SUMIFS('Sales Transactions Raw Data'!T:T,'Sales Transactions Raw Data'!G:G,"Ola-Mate-SP1-16oz-4pk",'Sales Transactions Raw Data'!B:B,"October",'Sales Transactions Raw Data'!A:A,2025,'Sales Transactions Raw Data'!J:J,"Finished Goods")</f>
        <v>0</v>
      </c>
      <c r="H22" s="101">
        <f>SUMIFS('Sales Transactions Raw Data'!T:T,'Sales Transactions Raw Data'!G:G,"Ola-Mate-SP1-16oz-4pk",'Sales Transactions Raw Data'!B:B,"November",'Sales Transactions Raw Data'!A:A,2025,'Sales Transactions Raw Data'!J:J,"Finished Goods")</f>
        <v>0</v>
      </c>
      <c r="I22" s="2"/>
      <c r="J22" s="2"/>
      <c r="K22" s="2"/>
      <c r="L22" s="2"/>
      <c r="M22" s="2"/>
      <c r="N22" s="2"/>
      <c r="O22" s="2"/>
      <c r="P22" s="2"/>
      <c r="Q22" s="2"/>
      <c r="R22" s="2"/>
      <c r="S22" s="2"/>
      <c r="T22" s="2"/>
      <c r="U22" s="2"/>
      <c r="V22" s="2"/>
      <c r="W22" s="2"/>
      <c r="X22" s="2"/>
      <c r="Y22" s="2"/>
      <c r="Z22" s="2"/>
    </row>
    <row r="23" ht="16.5" customHeight="1" spans="1:26" x14ac:dyDescent="0.25">
      <c r="A23" s="23" t="s">
        <v>265</v>
      </c>
      <c r="B23" s="23" t="s">
        <v>295</v>
      </c>
      <c r="C23" s="102">
        <f>SUMIFS('Purchase Transactions Raw data'!F:F,'Purchase Transactions Raw data'!B:B,"Ola-Mate-SP1-16oz-4pk",'Purchase Transactions Raw data'!H:H,"March")</f>
        <v>0</v>
      </c>
      <c r="D23" s="102">
        <f>SUMIFS('Purchase Transactions Raw data'!F:F,'Purchase Transactions Raw data'!B:B,"Ola-Mate-SP1-16oz-4pk",'Purchase Transactions Raw data'!H:H,"July")</f>
        <v>0</v>
      </c>
      <c r="E23" s="102">
        <f>SUMIFS('Purchase Transactions Raw data'!F:F,'Purchase Transactions Raw data'!B:B,"Ola-Mate-SP1-16oz-4pk",'Purchase Transactions Raw data'!H:H,"August")</f>
        <v>0</v>
      </c>
      <c r="F23" s="102">
        <f>SUMIFS('Purchase Transactions Raw data'!F:F,'Purchase Transactions Raw data'!B:B,"Ola-Mate-SP1-16oz-4pk",'Purchase Transactions Raw data'!H:H,"September")</f>
        <v>0</v>
      </c>
      <c r="G23" s="102">
        <f>SUMIFS('Purchase Transactions Raw data'!F:F,'Purchase Transactions Raw data'!B:B,"Ola-Mate-SP1-16oz-4pk",'Purchase Transactions Raw data'!H:H,"October")</f>
        <v>0</v>
      </c>
      <c r="H23" s="102">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88" t="s">
        <v>265</v>
      </c>
      <c r="B24" s="88" t="s">
        <v>296</v>
      </c>
      <c r="C24" s="103">
        <f t="shared" ref="C24:H24" si="4">C23-C22</f>
        <v>0</v>
      </c>
      <c r="D24" s="103">
        <f t="shared" si="4"/>
        <v>0</v>
      </c>
      <c r="E24" s="103">
        <f t="shared" si="4"/>
        <v>0</v>
      </c>
      <c r="F24" s="103">
        <f t="shared" si="4"/>
        <v>0</v>
      </c>
      <c r="G24" s="103">
        <f t="shared" si="4"/>
        <v>0</v>
      </c>
      <c r="H24" s="103">
        <f t="shared" si="4"/>
        <v>0</v>
      </c>
      <c r="I24" s="2"/>
      <c r="J24" s="2"/>
      <c r="K24" s="2"/>
      <c r="L24" s="2"/>
      <c r="M24" s="2"/>
      <c r="N24" s="2"/>
      <c r="O24" s="2"/>
      <c r="P24" s="2"/>
      <c r="Q24" s="2"/>
      <c r="R24" s="2"/>
      <c r="S24" s="2"/>
      <c r="T24" s="2"/>
      <c r="U24" s="2"/>
      <c r="V24" s="2"/>
      <c r="W24" s="2"/>
      <c r="X24" s="2"/>
      <c r="Y24" s="2"/>
      <c r="Z24" s="2"/>
    </row>
    <row r="25" ht="16.5" customHeight="1" spans="1:26" x14ac:dyDescent="0.25">
      <c r="A25" s="18" t="s">
        <v>267</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00" t="s">
        <v>266</v>
      </c>
      <c r="B26" s="100" t="s">
        <v>218</v>
      </c>
      <c r="C26" s="101">
        <f>SUMIFS('Sales Transactions Raw Data'!T:T,'Sales Transactions Raw Data'!G:G,"Ola-Mate-BC-16oz-1can",'Sales Transactions Raw Data'!B:B,"March",'Sales Transactions Raw Data'!A:A,2025,'Sales Transactions Raw Data'!J:J,"Finished Goods")</f>
        <v>0</v>
      </c>
      <c r="D26" s="101">
        <f>SUMIFS('Sales Transactions Raw Data'!T:T,'Sales Transactions Raw Data'!G:G,"Ola-Mate-BC-16oz-1can",'Sales Transactions Raw Data'!B:B,"July",'Sales Transactions Raw Data'!A:A,2025,'Sales Transactions Raw Data'!J:J,"Finished Goods")</f>
        <v>0</v>
      </c>
      <c r="E26" s="101">
        <f>SUMIFS('Sales Transactions Raw Data'!T:T,'Sales Transactions Raw Data'!G:G,"Ola-Mate-BC-16oz-1can",'Sales Transactions Raw Data'!B:B,"August",'Sales Transactions Raw Data'!A:A,2025,'Sales Transactions Raw Data'!J:J,"Finished Goods")</f>
        <v>0</v>
      </c>
      <c r="F26" s="101">
        <f>SUMIFS('Sales Transactions Raw Data'!T:T,'Sales Transactions Raw Data'!G:G,"Ola-Mate-BC-16oz-1can",'Sales Transactions Raw Data'!B:B,"September",'Sales Transactions Raw Data'!A:A,2025,'Sales Transactions Raw Data'!J:J,"Finished Goods")</f>
        <v>0</v>
      </c>
      <c r="G26" s="101">
        <f>SUMIFS('Sales Transactions Raw Data'!T:T,'Sales Transactions Raw Data'!G:G,"Ola-Mate-BC-16oz-1can",'Sales Transactions Raw Data'!B:B,"October",'Sales Transactions Raw Data'!A:A,2025,'Sales Transactions Raw Data'!J:J,"Finished Goods")</f>
        <v>0</v>
      </c>
      <c r="H26" s="101">
        <f>SUMIFS('Sales Transactions Raw Data'!T:T,'Sales Transactions Raw Data'!G:G,"Ola-Mate-BC-16oz-1can",'Sales Transactions Raw Data'!B:B,"November",'Sales Transactions Raw Data'!A:A,2025,'Sales Transactions Raw Data'!J:J,"Finished Goods")</f>
        <v>0</v>
      </c>
      <c r="I26" s="2"/>
      <c r="J26" s="2"/>
      <c r="K26" s="2"/>
      <c r="L26" s="2"/>
      <c r="M26" s="2"/>
      <c r="N26" s="2"/>
      <c r="O26" s="2"/>
      <c r="P26" s="2"/>
      <c r="Q26" s="2"/>
      <c r="R26" s="2"/>
      <c r="S26" s="2"/>
      <c r="T26" s="2"/>
      <c r="U26" s="2"/>
      <c r="V26" s="2"/>
      <c r="W26" s="2"/>
      <c r="X26" s="2"/>
      <c r="Y26" s="2"/>
      <c r="Z26" s="2"/>
    </row>
    <row r="27" ht="16.5" customHeight="1" spans="1:26" x14ac:dyDescent="0.25">
      <c r="A27" s="23" t="s">
        <v>266</v>
      </c>
      <c r="B27" s="23" t="s">
        <v>295</v>
      </c>
      <c r="C27" s="102">
        <f>SUMIFS('Purchase Transactions Raw data'!F:F,'Purchase Transactions Raw data'!B:B,"Ola-Mate-BC-16oz-1can",'Purchase Transactions Raw data'!H:H,"March")</f>
        <v>0</v>
      </c>
      <c r="D27" s="102">
        <f>SUMIFS('Purchase Transactions Raw data'!F:F,'Purchase Transactions Raw data'!B:B,"Ola-Mate-BC-16oz-1can",'Purchase Transactions Raw data'!H:H,"July")</f>
        <v>0</v>
      </c>
      <c r="E27" s="102">
        <f>SUMIFS('Purchase Transactions Raw data'!F:F,'Purchase Transactions Raw data'!B:B,"Ola-Mate-BC-16oz-1can",'Purchase Transactions Raw data'!H:H,"August")</f>
        <v>0</v>
      </c>
      <c r="F27" s="102">
        <f>SUMIFS('Purchase Transactions Raw data'!F:F,'Purchase Transactions Raw data'!B:B,"Ola-Mate-BC-16oz-1can",'Purchase Transactions Raw data'!H:H,"September")</f>
        <v>0</v>
      </c>
      <c r="G27" s="102">
        <f>SUMIFS('Purchase Transactions Raw data'!F:F,'Purchase Transactions Raw data'!B:B,"Ola-Mate-BC-16oz-1can",'Purchase Transactions Raw data'!H:H,"October")</f>
        <v>0</v>
      </c>
      <c r="H27" s="102">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88" t="s">
        <v>266</v>
      </c>
      <c r="B28" s="88" t="s">
        <v>296</v>
      </c>
      <c r="C28" s="103">
        <f t="shared" ref="C28:H28" si="5">C27-C26</f>
        <v>0</v>
      </c>
      <c r="D28" s="103">
        <f t="shared" si="5"/>
        <v>0</v>
      </c>
      <c r="E28" s="103">
        <f t="shared" si="5"/>
        <v>0</v>
      </c>
      <c r="F28" s="103">
        <f t="shared" si="5"/>
        <v>0</v>
      </c>
      <c r="G28" s="103">
        <f t="shared" si="5"/>
        <v>0</v>
      </c>
      <c r="H28" s="103">
        <f t="shared" si="5"/>
        <v>0</v>
      </c>
      <c r="I28" s="2"/>
      <c r="J28" s="2"/>
      <c r="K28" s="2"/>
      <c r="L28" s="2"/>
      <c r="M28" s="2"/>
      <c r="N28" s="2"/>
      <c r="O28" s="2"/>
      <c r="P28" s="2"/>
      <c r="Q28" s="2"/>
      <c r="R28" s="2"/>
      <c r="S28" s="2"/>
      <c r="T28" s="2"/>
      <c r="U28" s="2"/>
      <c r="V28" s="2"/>
      <c r="W28" s="2"/>
      <c r="X28" s="2"/>
      <c r="Y28" s="2"/>
      <c r="Z28" s="2"/>
    </row>
    <row r="29" ht="16.5" customHeight="1" spans="1:26" x14ac:dyDescent="0.25">
      <c r="A29" s="18" t="s">
        <v>269</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00" t="s">
        <v>268</v>
      </c>
      <c r="B30" s="100" t="s">
        <v>218</v>
      </c>
      <c r="C30" s="101">
        <f>SUMIFS('Sales Transactions Raw Data'!T:T,'Sales Transactions Raw Data'!G:G,"Ola-Mate-GG-16oz-1can",'Sales Transactions Raw Data'!B:B,"March",'Sales Transactions Raw Data'!A:A,2025,'Sales Transactions Raw Data'!J:J,"Finished Goods")</f>
        <v>0</v>
      </c>
      <c r="D30" s="101">
        <f>SUMIFS('Sales Transactions Raw Data'!T:T,'Sales Transactions Raw Data'!G:G,"Ola-Mate-GG-16oz-1can",'Sales Transactions Raw Data'!B:B,"July",'Sales Transactions Raw Data'!A:A,2025,'Sales Transactions Raw Data'!J:J,"Finished Goods")</f>
        <v>0</v>
      </c>
      <c r="E30" s="101">
        <f>SUMIFS('Sales Transactions Raw Data'!T:T,'Sales Transactions Raw Data'!G:G,"Ola-Mate-GG-16oz-1can",'Sales Transactions Raw Data'!B:B,"August",'Sales Transactions Raw Data'!A:A,2025,'Sales Transactions Raw Data'!J:J,"Finished Goods")</f>
        <v>0</v>
      </c>
      <c r="F30" s="101">
        <f>SUMIFS('Sales Transactions Raw Data'!T:T,'Sales Transactions Raw Data'!G:G,"Ola-Mate-GG-16oz-1can",'Sales Transactions Raw Data'!B:B,"September",'Sales Transactions Raw Data'!A:A,2025,'Sales Transactions Raw Data'!J:J,"Finished Goods")</f>
        <v>0</v>
      </c>
      <c r="G30" s="101">
        <f>SUMIFS('Sales Transactions Raw Data'!T:T,'Sales Transactions Raw Data'!G:G,"Ola-Mate-GG-16oz-1can",'Sales Transactions Raw Data'!B:B,"October",'Sales Transactions Raw Data'!A:A,2025,'Sales Transactions Raw Data'!J:J,"Finished Goods")</f>
        <v>0</v>
      </c>
      <c r="H30" s="101">
        <f>SUMIFS('Sales Transactions Raw Data'!T:T,'Sales Transactions Raw Data'!G:G,"Ola-Mate-GG-16oz-1can",'Sales Transactions Raw Data'!B:B,"November",'Sales Transactions Raw Data'!A:A,2025,'Sales Transactions Raw Data'!J:J,"Finished Goods")</f>
        <v>0</v>
      </c>
      <c r="I30" s="2"/>
      <c r="J30" s="2"/>
      <c r="K30" s="2"/>
      <c r="L30" s="2"/>
      <c r="M30" s="2"/>
      <c r="N30" s="2"/>
      <c r="O30" s="2"/>
      <c r="P30" s="2"/>
      <c r="Q30" s="2"/>
      <c r="R30" s="2"/>
      <c r="S30" s="2"/>
      <c r="T30" s="2"/>
      <c r="U30" s="2"/>
      <c r="V30" s="2"/>
      <c r="W30" s="2"/>
      <c r="X30" s="2"/>
      <c r="Y30" s="2"/>
      <c r="Z30" s="2"/>
    </row>
    <row r="31" ht="16.5" customHeight="1" spans="1:26" x14ac:dyDescent="0.25">
      <c r="A31" s="23" t="s">
        <v>268</v>
      </c>
      <c r="B31" s="23" t="s">
        <v>295</v>
      </c>
      <c r="C31" s="102">
        <f>SUMIFS('Purchase Transactions Raw data'!F:F,'Purchase Transactions Raw data'!B:B,"Ola-Mate-GG-16oz-1can",'Purchase Transactions Raw data'!H:H,"March")</f>
        <v>0</v>
      </c>
      <c r="D31" s="102">
        <f>SUMIFS('Purchase Transactions Raw data'!F:F,'Purchase Transactions Raw data'!B:B,"Ola-Mate-GG-16oz-1can",'Purchase Transactions Raw data'!H:H,"July")</f>
        <v>0</v>
      </c>
      <c r="E31" s="102">
        <f>SUMIFS('Purchase Transactions Raw data'!F:F,'Purchase Transactions Raw data'!B:B,"Ola-Mate-GG-16oz-1can",'Purchase Transactions Raw data'!H:H,"August")</f>
        <v>0</v>
      </c>
      <c r="F31" s="102">
        <f>SUMIFS('Purchase Transactions Raw data'!F:F,'Purchase Transactions Raw data'!B:B,"Ola-Mate-GG-16oz-1can",'Purchase Transactions Raw data'!H:H,"September")</f>
        <v>0</v>
      </c>
      <c r="G31" s="102">
        <f>SUMIFS('Purchase Transactions Raw data'!F:F,'Purchase Transactions Raw data'!B:B,"Ola-Mate-GG-16oz-1can",'Purchase Transactions Raw data'!H:H,"October")</f>
        <v>0</v>
      </c>
      <c r="H31" s="102">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88" t="s">
        <v>268</v>
      </c>
      <c r="B32" s="88" t="s">
        <v>296</v>
      </c>
      <c r="C32" s="103">
        <f t="shared" ref="C32:H32" si="6">C31-C30</f>
        <v>0</v>
      </c>
      <c r="D32" s="103">
        <f t="shared" si="6"/>
        <v>0</v>
      </c>
      <c r="E32" s="103">
        <f t="shared" si="6"/>
        <v>0</v>
      </c>
      <c r="F32" s="103">
        <f t="shared" si="6"/>
        <v>0</v>
      </c>
      <c r="G32" s="103">
        <f t="shared" si="6"/>
        <v>0</v>
      </c>
      <c r="H32" s="103">
        <f t="shared" si="6"/>
        <v>0</v>
      </c>
      <c r="I32" s="2"/>
      <c r="J32" s="2"/>
      <c r="K32" s="2"/>
      <c r="L32" s="2"/>
      <c r="M32" s="2"/>
      <c r="N32" s="2"/>
      <c r="O32" s="2"/>
      <c r="P32" s="2"/>
      <c r="Q32" s="2"/>
      <c r="R32" s="2"/>
      <c r="S32" s="2"/>
      <c r="T32" s="2"/>
      <c r="U32" s="2"/>
      <c r="V32" s="2"/>
      <c r="W32" s="2"/>
      <c r="X32" s="2"/>
      <c r="Y32" s="2"/>
      <c r="Z32" s="2"/>
    </row>
    <row r="33" ht="16.5" customHeight="1" spans="1:26" x14ac:dyDescent="0.25">
      <c r="A33" s="18" t="s">
        <v>271</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00" t="s">
        <v>270</v>
      </c>
      <c r="B34" s="100" t="s">
        <v>218</v>
      </c>
      <c r="C34" s="101">
        <f>SUMIFS('Sales Transactions Raw Data'!T:T,'Sales Transactions Raw Data'!G:G,"Ola-Mate-R-16oz-1can",'Sales Transactions Raw Data'!B:B,"March",'Sales Transactions Raw Data'!A:A,2025,'Sales Transactions Raw Data'!J:J,"Finished Goods")</f>
        <v>0</v>
      </c>
      <c r="D34" s="101">
        <f>SUMIFS('Sales Transactions Raw Data'!T:T,'Sales Transactions Raw Data'!G:G,"Ola-Mate-R-16oz-1can",'Sales Transactions Raw Data'!B:B,"July",'Sales Transactions Raw Data'!A:A,2025,'Sales Transactions Raw Data'!J:J,"Finished Goods")</f>
        <v>0</v>
      </c>
      <c r="E34" s="101">
        <f>SUMIFS('Sales Transactions Raw Data'!T:T,'Sales Transactions Raw Data'!G:G,"Ola-Mate-R-16oz-1can",'Sales Transactions Raw Data'!B:B,"August",'Sales Transactions Raw Data'!A:A,2025,'Sales Transactions Raw Data'!J:J,"Finished Goods")</f>
        <v>0</v>
      </c>
      <c r="F34" s="101">
        <f>SUMIFS('Sales Transactions Raw Data'!T:T,'Sales Transactions Raw Data'!G:G,"Ola-Mate-R-16oz-1can",'Sales Transactions Raw Data'!B:B,"September",'Sales Transactions Raw Data'!A:A,2025,'Sales Transactions Raw Data'!J:J,"Finished Goods")</f>
        <v>0</v>
      </c>
      <c r="G34" s="101">
        <f>SUMIFS('Sales Transactions Raw Data'!T:T,'Sales Transactions Raw Data'!G:G,"Ola-Mate-R-16oz-1can",'Sales Transactions Raw Data'!B:B,"October",'Sales Transactions Raw Data'!A:A,2025,'Sales Transactions Raw Data'!J:J,"Finished Goods")</f>
        <v>0</v>
      </c>
      <c r="H34" s="101">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270</v>
      </c>
      <c r="B35" s="23" t="s">
        <v>295</v>
      </c>
      <c r="C35" s="102">
        <f>SUMIFS('Purchase Transactions Raw data'!F:F,'Purchase Transactions Raw data'!B:B,"Ola-Mate-R-16oz-1can",'Purchase Transactions Raw data'!H:H,"March")</f>
        <v>0</v>
      </c>
      <c r="D35" s="102">
        <f>SUMIFS('Purchase Transactions Raw data'!F:F,'Purchase Transactions Raw data'!B:B,"Ola-Mate-R-16oz-1can",'Purchase Transactions Raw data'!H:H,"July")</f>
        <v>0</v>
      </c>
      <c r="E35" s="102">
        <f>SUMIFS('Purchase Transactions Raw data'!F:F,'Purchase Transactions Raw data'!B:B,"Ola-Mate-R-16oz-1can",'Purchase Transactions Raw data'!H:H,"August")</f>
        <v>0</v>
      </c>
      <c r="F35" s="102">
        <f>SUMIFS('Purchase Transactions Raw data'!F:F,'Purchase Transactions Raw data'!B:B,"Ola-Mate-R-16oz-1can",'Purchase Transactions Raw data'!H:H,"September")</f>
        <v>0</v>
      </c>
      <c r="G35" s="102">
        <f>SUMIFS('Purchase Transactions Raw data'!F:F,'Purchase Transactions Raw data'!B:B,"Ola-Mate-R-16oz-1can",'Purchase Transactions Raw data'!H:H,"October")</f>
        <v>0</v>
      </c>
      <c r="H35" s="102">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88" t="s">
        <v>270</v>
      </c>
      <c r="B36" s="88" t="s">
        <v>296</v>
      </c>
      <c r="C36" s="103">
        <f t="shared" ref="C36:H36" si="7">C35-C34</f>
        <v>0</v>
      </c>
      <c r="D36" s="103">
        <f t="shared" si="7"/>
        <v>0</v>
      </c>
      <c r="E36" s="103">
        <f t="shared" si="7"/>
        <v>0</v>
      </c>
      <c r="F36" s="103">
        <f t="shared" si="7"/>
        <v>0</v>
      </c>
      <c r="G36" s="103">
        <f t="shared" si="7"/>
        <v>0</v>
      </c>
      <c r="H36" s="103">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297</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74" t="s">
        <v>298</v>
      </c>
      <c r="B39" s="74" t="s">
        <v>218</v>
      </c>
      <c r="C39" s="75">
        <f>SUMIFS('Sales Transactions Raw Data'!T:T,'Sales Transactions Raw Data'!B:B,"March",'Sales Transactions Raw Data'!A:A,2025,'Sales Transactions Raw Data'!J:J,"Finished Goods")</f>
        <v>0</v>
      </c>
      <c r="D39" s="75">
        <f>SUMIFS('Sales Transactions Raw Data'!T:T,'Sales Transactions Raw Data'!B:B,"July",'Sales Transactions Raw Data'!A:A,2025,'Sales Transactions Raw Data'!J:J,"Finished Goods")</f>
        <v>0</v>
      </c>
      <c r="E39" s="75">
        <f>SUMIFS('Sales Transactions Raw Data'!T:T,'Sales Transactions Raw Data'!B:B,"August",'Sales Transactions Raw Data'!A:A,2025,'Sales Transactions Raw Data'!J:J,"Finished Goods")</f>
        <v>0</v>
      </c>
      <c r="F39" s="75">
        <f>SUMIFS('Sales Transactions Raw Data'!T:T,'Sales Transactions Raw Data'!B:B,"September",'Sales Transactions Raw Data'!A:A,2025,'Sales Transactions Raw Data'!J:J,"Finished Goods")</f>
        <v>0</v>
      </c>
      <c r="G39" s="75">
        <f>SUMIFS('Sales Transactions Raw Data'!T:T,'Sales Transactions Raw Data'!B:B,"October",'Sales Transactions Raw Data'!A:A,2025,'Sales Transactions Raw Data'!J:J,"Finished Goods")</f>
        <v>0</v>
      </c>
      <c r="H39" s="75">
        <f>SUMIFS('Sales Transactions Raw Data'!T:T,'Sales Transactions Raw Data'!B:B,"November",'Sales Transactions Raw Data'!A:A,2025,'Sales Transactions Raw Data'!J:J,"Finished Goods")</f>
        <v>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25"/>
  <cols>
    <col min="1" max="1" width="38.140625" customWidth="1"/>
    <col min="2" max="3" width="21" customWidth="1"/>
  </cols>
  <sheetData>
    <row r="1" ht="20.25" customHeight="1" spans="1:26" x14ac:dyDescent="0.25">
      <c r="A1" s="46" t="s">
        <v>699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700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701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702</v>
      </c>
      <c r="B5" s="18" t="s">
        <v>219</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236</v>
      </c>
      <c r="B6" s="81">
        <f>SUMIFS('Sales Transactions Raw Data'!V:V,'Sales Transactions Raw Data'!S:S,"amazon",'Sales Transactions Raw Data'!J:J,"Finished Goods")</f>
        <v>0</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238</v>
      </c>
      <c r="B7" s="79">
        <f>SUMIFS('Sales Transactions Raw Data'!V:V,'Sales Transactions Raw Data'!S:S,"Shopify web",'Sales Transactions Raw Data'!J:J,"Finished Goods")</f>
        <v>0</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239</v>
      </c>
      <c r="B8" s="81">
        <f>SUMIFS('Sales Transactions Raw Data'!V:V,'Sales Transactions Raw Data'!S:S,"Shopify POS",'Sales Transactions Raw Data'!J:J,"Finished Goods")</f>
        <v>0</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240</v>
      </c>
      <c r="B9" s="79">
        <f>SUMIFS('Sales Transactions Raw Data'!V:V,'Sales Transactions Raw Data'!S:S,"Shopify admin",'Sales Transactions Raw Data'!J:J,"Finished Goods")</f>
        <v>0</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703</v>
      </c>
      <c r="B10" s="81">
        <f>SUMIFS('Sales Transactions Raw Data'!V:V,'Sales Transactions Raw Data'!S:S,"subscription_contract",'Sales Transactions Raw Data'!J:J,"Finished Goods")</f>
        <v>0</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320</v>
      </c>
      <c r="B11" s="79">
        <f>SUMIFS('Sales Transactions Raw Data'!V:V,'Sales Transactions Raw Data'!S:S,"3890849",'Sales Transactions Raw Data'!J:J,"Finished Goods")</f>
        <v>0</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704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705</v>
      </c>
      <c r="B15" s="18" t="s">
        <v>219</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08">
        <v>46106</v>
      </c>
      <c r="B16" s="81">
        <f>SUMIFS('Sales Transactions Raw Data'!V:V,'Sales Transactions Raw Data'!B:B,"March",'Sales Transactions Raw Data'!A:A,2025,'Sales Transactions Raw Data'!J:J,"Finished Goods")</f>
        <v>0</v>
      </c>
      <c r="C16" s="81">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09">
        <v>46228</v>
      </c>
      <c r="B17" s="79">
        <f>SUMIFS('Sales Transactions Raw Data'!V:V,'Sales Transactions Raw Data'!B:B,"July",'Sales Transactions Raw Data'!A:A,2025,'Sales Transactions Raw Data'!J:J,"Finished Goods")</f>
        <v>0</v>
      </c>
      <c r="C17" s="79">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08">
        <v>46259</v>
      </c>
      <c r="B18" s="81">
        <f>SUMIFS('Sales Transactions Raw Data'!V:V,'Sales Transactions Raw Data'!B:B,"August",'Sales Transactions Raw Data'!A:A,2025,'Sales Transactions Raw Data'!J:J,"Finished Goods")</f>
        <v>0</v>
      </c>
      <c r="C18" s="81">
        <f>B18-SUMIFS('Sales Transactions Raw Data'!W:W,'Sales Transactions Raw Data'!B:B,"August",'Sales Transactions Raw Data'!A:A,2025,'Sales Transactions Raw Data'!J:J,"Finished Goods")</f>
        <v>0</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09">
        <v>46290</v>
      </c>
      <c r="B19" s="79">
        <f>SUMIFS('Sales Transactions Raw Data'!V:V,'Sales Transactions Raw Data'!B:B,"September",'Sales Transactions Raw Data'!A:A,2025,'Sales Transactions Raw Data'!J:J,"Finished Goods")</f>
        <v>0</v>
      </c>
      <c r="C19" s="79">
        <f>B19-SUMIFS('Sales Transactions Raw Data'!W:W,'Sales Transactions Raw Data'!B:B,"September",'Sales Transactions Raw Data'!A:A,2025,'Sales Transactions Raw Data'!J:J,"Finished Goods")</f>
        <v>0</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08">
        <v>46320</v>
      </c>
      <c r="B20" s="81">
        <f>SUMIFS('Sales Transactions Raw Data'!V:V,'Sales Transactions Raw Data'!B:B,"October",'Sales Transactions Raw Data'!A:A,2025,'Sales Transactions Raw Data'!J:J,"Finished Goods")</f>
        <v>0</v>
      </c>
      <c r="C20" s="81">
        <f>B20-SUMIFS('Sales Transactions Raw Data'!W:W,'Sales Transactions Raw Data'!B:B,"October",'Sales Transactions Raw Data'!A:A,2025,'Sales Transactions Raw Data'!J:J,"Finished Goods")</f>
        <v>0</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09">
        <v>46351</v>
      </c>
      <c r="B21" s="79">
        <f>SUMIFS('Sales Transactions Raw Data'!V:V,'Sales Transactions Raw Data'!B:B,"November",'Sales Transactions Raw Data'!A:A,2025,'Sales Transactions Raw Data'!J:J,"Finished Goods")</f>
        <v>0</v>
      </c>
      <c r="C21" s="79">
        <f>B21-SUMIFS('Sales Transactions Raw Data'!W:W,'Sales Transactions Raw Data'!B:B,"November",'Sales Transactions Raw Data'!A:A,2025,'Sales Transactions Raw Data'!J:J,"Finished Goods")</f>
        <v>0</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706</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707</v>
      </c>
      <c r="B25" s="18" t="s">
        <v>219</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159</v>
      </c>
      <c r="B26" s="81">
        <f>'Product Margin Analysis'!C5</f>
        <v>0</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164</v>
      </c>
      <c r="B27" s="79">
        <f>'Product Margin Analysis'!C6</f>
        <v>0</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223</v>
      </c>
      <c r="B28" s="81">
        <f>'Product Margin Analysis'!C7</f>
        <v>0</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224</v>
      </c>
      <c r="B29" s="79">
        <f>'Product Margin Analysis'!C8</f>
        <v>0</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225</v>
      </c>
      <c r="B30" s="81">
        <f>'Product Margin Analysis'!C9</f>
        <v>0</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708</v>
      </c>
      <c r="B31" s="79">
        <f>'Product Margin Analysis'!C10</f>
        <v>0</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26"/>
  <sheetViews>
    <sheetView workbookViewId="0" showGridLines="0" zoomScale="100" zoomScaleNormal="100">
      <selection activeCell="D18" sqref="D18"/>
    </sheetView>
  </sheetViews>
  <sheetFormatPr defaultRowHeight="15" outlineLevelRow="0" outlineLevelCol="0" x14ac:dyDescent="0.25"/>
  <cols>
    <col min="1" max="1" width="43.85546875" customWidth="1"/>
    <col min="2" max="12" width="18.140625" customWidth="1"/>
  </cols>
  <sheetData>
    <row r="1" ht="20.25" customHeight="1" spans="1:26" x14ac:dyDescent="0.25">
      <c r="A1" s="46" t="s">
        <v>299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53" t="s">
        <v>301</v>
      </c>
      <c r="B4" s="53" t="s">
        <v>236</v>
      </c>
      <c r="C4" s="53" t="s">
        <v>237</v>
      </c>
      <c r="D4" s="53" t="s">
        <v>238</v>
      </c>
      <c r="E4" s="53" t="s">
        <v>239</v>
      </c>
      <c r="F4" s="53" t="s">
        <v>240</v>
      </c>
      <c r="G4" s="53" t="s">
        <v>241</v>
      </c>
      <c r="H4" s="53" t="s">
        <v>242</v>
      </c>
      <c r="I4" s="53" t="s">
        <v>243</v>
      </c>
      <c r="J4" s="53" t="s">
        <v>244</v>
      </c>
      <c r="K4" s="53" t="s">
        <v>245</v>
      </c>
      <c r="L4" s="53" t="s">
        <v>298</v>
      </c>
      <c r="M4" s="2"/>
      <c r="N4" s="2"/>
      <c r="O4" s="2"/>
      <c r="P4" s="2"/>
      <c r="Q4" s="2"/>
      <c r="R4" s="2"/>
      <c r="S4" s="2"/>
      <c r="T4" s="2"/>
      <c r="U4" s="2"/>
      <c r="V4" s="2"/>
      <c r="W4" s="2"/>
      <c r="X4" s="2"/>
      <c r="Y4" s="2"/>
      <c r="Z4" s="2"/>
    </row>
    <row r="5" ht="16.5" customHeight="1" spans="1:26" x14ac:dyDescent="0.25">
      <c r="A5" s="36" t="s">
        <v>219</v>
      </c>
      <c r="B5" s="104">
        <f>SUMIFS('Sales Transactions Raw Data'!V:V,'Sales Transactions Raw Data'!S:S,"amazon",'Sales Transactions Raw Data'!J:J,"Finished Goods")</f>
        <v>0</v>
      </c>
      <c r="C5" s="104">
        <f>SUMIFS('Sales Transactions Raw Data'!V:V,'Sales Transactions Raw Data'!S:S,"amazon-us",'Sales Transactions Raw Data'!J:J,"Finished Goods")</f>
        <v>0</v>
      </c>
      <c r="D5" s="104">
        <f>SUMIFS('Sales Transactions Raw Data'!V:V,'Sales Transactions Raw Data'!S:S,"Shopify web",'Sales Transactions Raw Data'!J:J,"Finished Goods")</f>
        <v>0</v>
      </c>
      <c r="E5" s="104">
        <f>SUMIFS('Sales Transactions Raw Data'!V:V,'Sales Transactions Raw Data'!S:S,"Shopify POS",'Sales Transactions Raw Data'!J:J,"Finished Goods")</f>
        <v>0</v>
      </c>
      <c r="F5" s="104">
        <f>SUMIFS('Sales Transactions Raw Data'!V:V,'Sales Transactions Raw Data'!S:S,"Shopify admin",'Sales Transactions Raw Data'!J:J,"Finished Goods")</f>
        <v>0</v>
      </c>
      <c r="G5" s="104">
        <f>SUMIFS('Sales Transactions Raw Data'!V:V,'Sales Transactions Raw Data'!S:S,"subscription_contract",'Sales Transactions Raw Data'!J:J,"Finished Goods")</f>
        <v>0</v>
      </c>
      <c r="H5" s="104">
        <f>SUMIFS('Sales Transactions Raw Data'!V:V,'Sales Transactions Raw Data'!S:S,"subscription_contract_checkout_one",'Sales Transactions Raw Data'!J:J,"Finished Goods")</f>
        <v>0</v>
      </c>
      <c r="I5" s="104">
        <f>SUMIFS('Sales Transactions Raw Data'!V:V,'Sales Transactions Raw Data'!S:S,"296827748353",'Sales Transactions Raw Data'!J:J,"Finished Goods")</f>
        <v>0</v>
      </c>
      <c r="J5" s="104">
        <f>SUMIFS('Sales Transactions Raw Data'!V:V,'Sales Transactions Raw Data'!S:S,"faire",'Sales Transactions Raw Data'!J:J,"Finished Goods")</f>
        <v>0</v>
      </c>
      <c r="K5" s="104">
        <f>SUMIFS('Sales Transactions Raw Data'!V:V,'Sales Transactions Raw Data'!S:S,"tiktok",'Sales Transactions Raw Data'!J:J,"Finished Goods")</f>
        <v>0</v>
      </c>
      <c r="L5" s="104">
        <f>SUM(B5:K5)</f>
        <v>0</v>
      </c>
      <c r="M5" s="2"/>
      <c r="N5" s="2"/>
      <c r="O5" s="2"/>
      <c r="P5" s="2"/>
      <c r="Q5" s="2"/>
      <c r="R5" s="2"/>
      <c r="S5" s="2"/>
      <c r="T5" s="2"/>
      <c r="U5" s="2"/>
      <c r="V5" s="2"/>
      <c r="W5" s="2"/>
      <c r="X5" s="2"/>
      <c r="Y5" s="2"/>
      <c r="Z5" s="2"/>
    </row>
    <row r="6" ht="16.5" customHeight="1" spans="1:26" x14ac:dyDescent="0.25">
      <c r="A6" s="25" t="s">
        <v>177</v>
      </c>
      <c r="B6" s="105">
        <f>SUMIFS('Sales Transactions Raw Data'!W:W,'Sales Transactions Raw Data'!S:S,"amazon",'Sales Transactions Raw Data'!J:J,"Finished Goods")</f>
        <v>0</v>
      </c>
      <c r="C6" s="105">
        <f>SUMIFS('Sales Transactions Raw Data'!W:W,'Sales Transactions Raw Data'!S:S,"amazon-us",'Sales Transactions Raw Data'!J:J,"Finished Goods")</f>
        <v>0</v>
      </c>
      <c r="D6" s="105">
        <f>SUMIFS('Sales Transactions Raw Data'!W:W,'Sales Transactions Raw Data'!S:S,"Shopify web",'Sales Transactions Raw Data'!J:J,"Finished Goods")</f>
        <v>0</v>
      </c>
      <c r="E6" s="105">
        <f>SUMIFS('Sales Transactions Raw Data'!W:W,'Sales Transactions Raw Data'!S:S,"Shopify POS",'Sales Transactions Raw Data'!J:J,"Finished Goods")</f>
        <v>0</v>
      </c>
      <c r="F6" s="105">
        <f>SUMIFS('Sales Transactions Raw Data'!W:W,'Sales Transactions Raw Data'!S:S,"Shopify admin",'Sales Transactions Raw Data'!J:J,"Finished Goods")</f>
        <v>0</v>
      </c>
      <c r="G6" s="105">
        <f>SUMIFS('Sales Transactions Raw Data'!W:W,'Sales Transactions Raw Data'!S:S,"subscription_contract",'Sales Transactions Raw Data'!J:J,"Finished Goods")</f>
        <v>0</v>
      </c>
      <c r="H6" s="105">
        <f>SUMIFS('Sales Transactions Raw Data'!W:W,'Sales Transactions Raw Data'!S:S,"subscription_contract_checkout_one",'Sales Transactions Raw Data'!J:J,"Finished Goods")</f>
        <v>0</v>
      </c>
      <c r="I6" s="105">
        <f>SUMIFS('Sales Transactions Raw Data'!W:W,'Sales Transactions Raw Data'!S:S,"296827748353",'Sales Transactions Raw Data'!J:J,"Finished Goods")</f>
        <v>0</v>
      </c>
      <c r="J6" s="105">
        <f>SUMIFS('Sales Transactions Raw Data'!W:W,'Sales Transactions Raw Data'!S:S,"faire",'Sales Transactions Raw Data'!J:J,"Finished Goods")</f>
        <v>0</v>
      </c>
      <c r="K6" s="105">
        <f>SUMIFS('Sales Transactions Raw Data'!W:W,'Sales Transactions Raw Data'!S:S,"tiktok",'Sales Transactions Raw Data'!J:J,"Finished Goods")</f>
        <v>0</v>
      </c>
      <c r="L6" s="105">
        <f>SUM(B6:K6)</f>
        <v>0</v>
      </c>
      <c r="M6" s="2"/>
      <c r="N6" s="2"/>
      <c r="O6" s="2"/>
      <c r="P6" s="2"/>
      <c r="Q6" s="2"/>
      <c r="R6" s="2"/>
      <c r="S6" s="2"/>
      <c r="T6" s="2"/>
      <c r="U6" s="2"/>
      <c r="V6" s="2"/>
      <c r="W6" s="2"/>
      <c r="X6" s="2"/>
      <c r="Y6" s="2"/>
      <c r="Z6" s="2"/>
    </row>
    <row r="7" spans="1:26" x14ac:dyDescent="0.25">
      <c r="A7" s="43">
        <v>2025</v>
      </c>
      <c r="B7" s="43" t="s">
        <v>302</v>
      </c>
      <c r="C7" s="106" t="s">
        <v>303</v>
      </c>
      <c r="D7" s="43" t="s">
        <v>304</v>
      </c>
      <c r="E7" s="43" t="s">
        <v>305</v>
      </c>
      <c r="F7" s="43" t="s">
        <v>158</v>
      </c>
      <c r="G7" s="43" t="s">
        <v>158</v>
      </c>
      <c r="H7" s="43" t="s">
        <v>306</v>
      </c>
      <c r="I7" s="43" t="s">
        <v>186</v>
      </c>
      <c r="J7" s="43" t="s">
        <v>186</v>
      </c>
      <c r="K7" s="49" t="s">
        <v>307</v>
      </c>
      <c r="L7" s="49" t="s">
        <v>308</v>
      </c>
      <c r="M7" s="43" t="s">
        <v>309</v>
      </c>
      <c r="N7" s="43" t="s">
        <v>310</v>
      </c>
      <c r="O7" s="43" t="s">
        <v>311</v>
      </c>
      <c r="P7" s="43" t="s">
        <v>312</v>
      </c>
      <c r="Q7" s="49" t="s">
        <v>313</v>
      </c>
      <c r="R7" s="43" t="s">
        <v>314</v>
      </c>
      <c r="S7" s="43" t="s">
        <v>315</v>
      </c>
      <c r="T7" s="44">
        <v>50</v>
      </c>
      <c r="U7" s="44">
        <v>1900</v>
      </c>
      <c r="V7" s="44">
        <v>1900</v>
      </c>
      <c r="W7" s="44">
        <v>925</v>
      </c>
      <c r="X7" s="44">
        <v>0</v>
      </c>
      <c r="Y7" s="107">
        <v>975</v>
      </c>
      <c r="Z7" s="44">
        <v>975</v>
      </c>
    </row>
    <row r="8" spans="1:26" x14ac:dyDescent="0.25">
      <c r="A8" s="43">
        <v>2025</v>
      </c>
      <c r="B8" s="43" t="s">
        <v>302</v>
      </c>
      <c r="C8" s="106" t="s">
        <v>316</v>
      </c>
      <c r="D8" s="43" t="s">
        <v>317</v>
      </c>
      <c r="E8" s="43" t="s">
        <v>318</v>
      </c>
      <c r="F8" s="43" t="s">
        <v>163</v>
      </c>
      <c r="G8" s="43" t="s">
        <v>163</v>
      </c>
      <c r="H8" s="43" t="s">
        <v>306</v>
      </c>
      <c r="I8" s="43" t="s">
        <v>186</v>
      </c>
      <c r="J8" s="43" t="s">
        <v>186</v>
      </c>
      <c r="K8" s="49" t="s">
        <v>307</v>
      </c>
      <c r="L8" s="49" t="s">
        <v>319</v>
      </c>
      <c r="M8" s="43" t="s">
        <v>309</v>
      </c>
      <c r="N8" s="43" t="s">
        <v>310</v>
      </c>
      <c r="O8" s="43" t="s">
        <v>311</v>
      </c>
      <c r="P8" s="43" t="s">
        <v>312</v>
      </c>
      <c r="Q8" s="49" t="s">
        <v>313</v>
      </c>
      <c r="R8" s="43" t="s">
        <v>320</v>
      </c>
      <c r="S8" s="43" t="s">
        <v>321</v>
      </c>
      <c r="T8" s="44">
        <v>61</v>
      </c>
      <c r="U8" s="44">
        <v>2196</v>
      </c>
      <c r="V8" s="44">
        <v>2196</v>
      </c>
      <c r="W8" s="44">
        <v>1049.2</v>
      </c>
      <c r="X8" s="44">
        <v>0</v>
      </c>
      <c r="Y8" s="107">
        <v>1146.8</v>
      </c>
      <c r="Z8" s="44">
        <v>1146.8</v>
      </c>
    </row>
    <row r="9" spans="1:26" x14ac:dyDescent="0.25">
      <c r="A9" s="43">
        <v>2025</v>
      </c>
      <c r="B9" s="43" t="s">
        <v>302</v>
      </c>
      <c r="C9" s="106" t="s">
        <v>322</v>
      </c>
      <c r="D9" s="43" t="s">
        <v>323</v>
      </c>
      <c r="E9" s="43" t="s">
        <v>324</v>
      </c>
      <c r="F9" s="43" t="s">
        <v>325</v>
      </c>
      <c r="G9" s="43" t="s">
        <v>325</v>
      </c>
      <c r="H9" s="43" t="s">
        <v>306</v>
      </c>
      <c r="I9" s="43" t="s">
        <v>186</v>
      </c>
      <c r="J9" s="43" t="s">
        <v>186</v>
      </c>
      <c r="K9" s="49" t="s">
        <v>307</v>
      </c>
      <c r="L9" s="49" t="s">
        <v>326</v>
      </c>
      <c r="M9" s="43" t="s">
        <v>309</v>
      </c>
      <c r="N9" s="43" t="s">
        <v>310</v>
      </c>
      <c r="O9" s="43" t="s">
        <v>311</v>
      </c>
      <c r="P9" s="43" t="s">
        <v>312</v>
      </c>
      <c r="Q9" s="49" t="s">
        <v>313</v>
      </c>
      <c r="R9" s="43" t="s">
        <v>327</v>
      </c>
      <c r="S9" s="43" t="s">
        <v>328</v>
      </c>
      <c r="T9" s="44">
        <v>72</v>
      </c>
      <c r="U9" s="44">
        <v>2592</v>
      </c>
      <c r="V9" s="44">
        <v>2592</v>
      </c>
      <c r="W9" s="44">
        <v>1260</v>
      </c>
      <c r="X9" s="44">
        <v>0</v>
      </c>
      <c r="Y9" s="107">
        <v>1332</v>
      </c>
      <c r="Z9" s="44">
        <v>1332</v>
      </c>
    </row>
    <row r="10" spans="1:26" x14ac:dyDescent="0.25">
      <c r="A10" s="43">
        <v>2025</v>
      </c>
      <c r="B10" s="43" t="s">
        <v>302</v>
      </c>
      <c r="C10" s="106" t="s">
        <v>329</v>
      </c>
      <c r="D10" s="43" t="s">
        <v>330</v>
      </c>
      <c r="E10" s="43" t="s">
        <v>331</v>
      </c>
      <c r="F10" s="43" t="s">
        <v>167</v>
      </c>
      <c r="G10" s="43" t="s">
        <v>167</v>
      </c>
      <c r="H10" s="43" t="s">
        <v>306</v>
      </c>
      <c r="I10" s="43" t="s">
        <v>186</v>
      </c>
      <c r="J10" s="43" t="s">
        <v>186</v>
      </c>
      <c r="K10" s="49" t="s">
        <v>307</v>
      </c>
      <c r="L10" s="49" t="s">
        <v>332</v>
      </c>
      <c r="M10" s="43" t="s">
        <v>309</v>
      </c>
      <c r="N10" s="43" t="s">
        <v>310</v>
      </c>
      <c r="O10" s="43" t="s">
        <v>311</v>
      </c>
      <c r="P10" s="43" t="s">
        <v>312</v>
      </c>
      <c r="Q10" s="49" t="s">
        <v>313</v>
      </c>
      <c r="R10" s="43" t="s">
        <v>314</v>
      </c>
      <c r="S10" s="43" t="s">
        <v>333</v>
      </c>
      <c r="T10" s="44">
        <v>83</v>
      </c>
      <c r="U10" s="44">
        <v>2905</v>
      </c>
      <c r="V10" s="44">
        <v>2905</v>
      </c>
      <c r="W10" s="44">
        <v>1394.4</v>
      </c>
      <c r="X10" s="44">
        <v>0</v>
      </c>
      <c r="Y10" s="107">
        <v>1510.6</v>
      </c>
      <c r="Z10" s="44">
        <v>1510.6</v>
      </c>
    </row>
    <row r="11" spans="1:26" x14ac:dyDescent="0.25">
      <c r="A11" s="43">
        <v>2025</v>
      </c>
      <c r="B11" s="43" t="s">
        <v>302</v>
      </c>
      <c r="C11" s="106" t="s">
        <v>334</v>
      </c>
      <c r="D11" s="43" t="s">
        <v>335</v>
      </c>
      <c r="E11" s="43" t="s">
        <v>336</v>
      </c>
      <c r="F11" s="43" t="s">
        <v>165</v>
      </c>
      <c r="G11" s="43" t="s">
        <v>165</v>
      </c>
      <c r="H11" s="43" t="s">
        <v>306</v>
      </c>
      <c r="I11" s="43" t="s">
        <v>186</v>
      </c>
      <c r="J11" s="43" t="s">
        <v>186</v>
      </c>
      <c r="K11" s="49" t="s">
        <v>307</v>
      </c>
      <c r="L11" s="49" t="s">
        <v>337</v>
      </c>
      <c r="M11" s="43" t="s">
        <v>309</v>
      </c>
      <c r="N11" s="43" t="s">
        <v>310</v>
      </c>
      <c r="O11" s="43" t="s">
        <v>311</v>
      </c>
      <c r="P11" s="43" t="s">
        <v>312</v>
      </c>
      <c r="Q11" s="49" t="s">
        <v>313</v>
      </c>
      <c r="R11" s="43" t="s">
        <v>320</v>
      </c>
      <c r="S11" s="43" t="s">
        <v>338</v>
      </c>
      <c r="T11" s="44">
        <v>94</v>
      </c>
      <c r="U11" s="44">
        <v>3196</v>
      </c>
      <c r="V11" s="44">
        <v>3196</v>
      </c>
      <c r="W11" s="44">
        <v>1551</v>
      </c>
      <c r="X11" s="44">
        <v>0</v>
      </c>
      <c r="Y11" s="107">
        <v>1645</v>
      </c>
      <c r="Z11" s="44">
        <v>1645</v>
      </c>
    </row>
    <row r="12" spans="1:26" x14ac:dyDescent="0.25">
      <c r="A12" s="43">
        <v>2025</v>
      </c>
      <c r="B12" s="43" t="s">
        <v>339</v>
      </c>
      <c r="C12" s="106" t="s">
        <v>340</v>
      </c>
      <c r="D12" s="43" t="s">
        <v>341</v>
      </c>
      <c r="E12" s="43" t="s">
        <v>342</v>
      </c>
      <c r="F12" s="43" t="s">
        <v>158</v>
      </c>
      <c r="G12" s="43" t="s">
        <v>158</v>
      </c>
      <c r="H12" s="43" t="s">
        <v>306</v>
      </c>
      <c r="I12" s="43" t="s">
        <v>186</v>
      </c>
      <c r="J12" s="43" t="s">
        <v>186</v>
      </c>
      <c r="K12" s="49" t="s">
        <v>307</v>
      </c>
      <c r="L12" s="49" t="s">
        <v>343</v>
      </c>
      <c r="M12" s="43" t="s">
        <v>309</v>
      </c>
      <c r="N12" s="43" t="s">
        <v>310</v>
      </c>
      <c r="O12" s="43" t="s">
        <v>311</v>
      </c>
      <c r="P12" s="43" t="s">
        <v>312</v>
      </c>
      <c r="Q12" s="49" t="s">
        <v>313</v>
      </c>
      <c r="R12" s="43" t="s">
        <v>314</v>
      </c>
      <c r="S12" s="43" t="s">
        <v>315</v>
      </c>
      <c r="T12" s="44">
        <v>50</v>
      </c>
      <c r="U12" s="44">
        <v>1900</v>
      </c>
      <c r="V12" s="44">
        <v>1900</v>
      </c>
      <c r="W12" s="44">
        <v>925</v>
      </c>
      <c r="X12" s="44">
        <v>0</v>
      </c>
      <c r="Y12" s="107">
        <v>975</v>
      </c>
      <c r="Z12" s="44">
        <v>975</v>
      </c>
    </row>
    <row r="13" spans="1:26" x14ac:dyDescent="0.25">
      <c r="A13" s="43">
        <v>2025</v>
      </c>
      <c r="B13" s="43" t="s">
        <v>339</v>
      </c>
      <c r="C13" s="106" t="s">
        <v>344</v>
      </c>
      <c r="D13" s="43" t="s">
        <v>345</v>
      </c>
      <c r="E13" s="43" t="s">
        <v>346</v>
      </c>
      <c r="F13" s="43" t="s">
        <v>163</v>
      </c>
      <c r="G13" s="43" t="s">
        <v>163</v>
      </c>
      <c r="H13" s="43" t="s">
        <v>306</v>
      </c>
      <c r="I13" s="43" t="s">
        <v>186</v>
      </c>
      <c r="J13" s="43" t="s">
        <v>186</v>
      </c>
      <c r="K13" s="49" t="s">
        <v>307</v>
      </c>
      <c r="L13" s="49" t="s">
        <v>347</v>
      </c>
      <c r="M13" s="43" t="s">
        <v>309</v>
      </c>
      <c r="N13" s="43" t="s">
        <v>310</v>
      </c>
      <c r="O13" s="43" t="s">
        <v>311</v>
      </c>
      <c r="P13" s="43" t="s">
        <v>312</v>
      </c>
      <c r="Q13" s="49" t="s">
        <v>313</v>
      </c>
      <c r="R13" s="43" t="s">
        <v>320</v>
      </c>
      <c r="S13" s="43" t="s">
        <v>321</v>
      </c>
      <c r="T13" s="44">
        <v>61</v>
      </c>
      <c r="U13" s="44">
        <v>2196</v>
      </c>
      <c r="V13" s="44">
        <v>2196</v>
      </c>
      <c r="W13" s="44">
        <v>1049.2</v>
      </c>
      <c r="X13" s="44">
        <v>0</v>
      </c>
      <c r="Y13" s="107">
        <v>1146.8</v>
      </c>
      <c r="Z13" s="44">
        <v>1146.8</v>
      </c>
    </row>
    <row r="14" spans="1:26" x14ac:dyDescent="0.25">
      <c r="A14" s="43">
        <v>2025</v>
      </c>
      <c r="B14" s="43" t="s">
        <v>339</v>
      </c>
      <c r="C14" s="106" t="s">
        <v>348</v>
      </c>
      <c r="D14" s="43" t="s">
        <v>349</v>
      </c>
      <c r="E14" s="43" t="s">
        <v>350</v>
      </c>
      <c r="F14" s="43" t="s">
        <v>325</v>
      </c>
      <c r="G14" s="43" t="s">
        <v>325</v>
      </c>
      <c r="H14" s="43" t="s">
        <v>306</v>
      </c>
      <c r="I14" s="43" t="s">
        <v>186</v>
      </c>
      <c r="J14" s="43" t="s">
        <v>186</v>
      </c>
      <c r="K14" s="49" t="s">
        <v>307</v>
      </c>
      <c r="L14" s="49" t="s">
        <v>351</v>
      </c>
      <c r="M14" s="43" t="s">
        <v>309</v>
      </c>
      <c r="N14" s="43" t="s">
        <v>310</v>
      </c>
      <c r="O14" s="43" t="s">
        <v>311</v>
      </c>
      <c r="P14" s="43" t="s">
        <v>312</v>
      </c>
      <c r="Q14" s="49" t="s">
        <v>313</v>
      </c>
      <c r="R14" s="43" t="s">
        <v>327</v>
      </c>
      <c r="S14" s="43" t="s">
        <v>328</v>
      </c>
      <c r="T14" s="44">
        <v>72</v>
      </c>
      <c r="U14" s="44">
        <v>2592</v>
      </c>
      <c r="V14" s="44">
        <v>2592</v>
      </c>
      <c r="W14" s="44">
        <v>1260</v>
      </c>
      <c r="X14" s="44">
        <v>0</v>
      </c>
      <c r="Y14" s="107">
        <v>1332</v>
      </c>
      <c r="Z14" s="44">
        <v>1332</v>
      </c>
    </row>
    <row r="15" spans="1:26" x14ac:dyDescent="0.25">
      <c r="A15" s="43">
        <v>2025</v>
      </c>
      <c r="B15" s="43" t="s">
        <v>339</v>
      </c>
      <c r="C15" s="106" t="s">
        <v>352</v>
      </c>
      <c r="D15" s="43" t="s">
        <v>353</v>
      </c>
      <c r="E15" s="43" t="s">
        <v>354</v>
      </c>
      <c r="F15" s="43" t="s">
        <v>167</v>
      </c>
      <c r="G15" s="43" t="s">
        <v>167</v>
      </c>
      <c r="H15" s="43" t="s">
        <v>306</v>
      </c>
      <c r="I15" s="43" t="s">
        <v>186</v>
      </c>
      <c r="J15" s="43" t="s">
        <v>186</v>
      </c>
      <c r="K15" s="49" t="s">
        <v>307</v>
      </c>
      <c r="L15" s="49" t="s">
        <v>355</v>
      </c>
      <c r="M15" s="43" t="s">
        <v>309</v>
      </c>
      <c r="N15" s="43" t="s">
        <v>310</v>
      </c>
      <c r="O15" s="43" t="s">
        <v>311</v>
      </c>
      <c r="P15" s="43" t="s">
        <v>312</v>
      </c>
      <c r="Q15" s="49" t="s">
        <v>313</v>
      </c>
      <c r="R15" s="43" t="s">
        <v>314</v>
      </c>
      <c r="S15" s="43" t="s">
        <v>333</v>
      </c>
      <c r="T15" s="44">
        <v>83</v>
      </c>
      <c r="U15" s="44">
        <v>2905</v>
      </c>
      <c r="V15" s="44">
        <v>2905</v>
      </c>
      <c r="W15" s="44">
        <v>1394.4</v>
      </c>
      <c r="X15" s="44">
        <v>0</v>
      </c>
      <c r="Y15" s="107">
        <v>1510.6</v>
      </c>
      <c r="Z15" s="44">
        <v>1510.6</v>
      </c>
    </row>
    <row r="16" spans="1:26" x14ac:dyDescent="0.25">
      <c r="A16" s="43">
        <v>2025</v>
      </c>
      <c r="B16" s="43" t="s">
        <v>339</v>
      </c>
      <c r="C16" s="106" t="s">
        <v>356</v>
      </c>
      <c r="D16" s="43" t="s">
        <v>357</v>
      </c>
      <c r="E16" s="43" t="s">
        <v>358</v>
      </c>
      <c r="F16" s="43" t="s">
        <v>165</v>
      </c>
      <c r="G16" s="43" t="s">
        <v>165</v>
      </c>
      <c r="H16" s="43" t="s">
        <v>306</v>
      </c>
      <c r="I16" s="43" t="s">
        <v>186</v>
      </c>
      <c r="J16" s="43" t="s">
        <v>186</v>
      </c>
      <c r="K16" s="49" t="s">
        <v>307</v>
      </c>
      <c r="L16" s="49" t="s">
        <v>359</v>
      </c>
      <c r="M16" s="43" t="s">
        <v>309</v>
      </c>
      <c r="N16" s="43" t="s">
        <v>310</v>
      </c>
      <c r="O16" s="43" t="s">
        <v>311</v>
      </c>
      <c r="P16" s="43" t="s">
        <v>312</v>
      </c>
      <c r="Q16" s="49" t="s">
        <v>313</v>
      </c>
      <c r="R16" s="43" t="s">
        <v>320</v>
      </c>
      <c r="S16" s="43" t="s">
        <v>338</v>
      </c>
      <c r="T16" s="44">
        <v>94</v>
      </c>
      <c r="U16" s="44">
        <v>3196</v>
      </c>
      <c r="V16" s="44">
        <v>3196</v>
      </c>
      <c r="W16" s="44">
        <v>1551</v>
      </c>
      <c r="X16" s="44">
        <v>0</v>
      </c>
      <c r="Y16" s="107">
        <v>1645</v>
      </c>
      <c r="Z16" s="44">
        <v>1645</v>
      </c>
    </row>
    <row r="17" spans="1:26" x14ac:dyDescent="0.25">
      <c r="A17" s="43">
        <v>2025</v>
      </c>
      <c r="B17" s="43" t="s">
        <v>290</v>
      </c>
      <c r="C17" s="106" t="s">
        <v>360</v>
      </c>
      <c r="D17" s="43" t="s">
        <v>361</v>
      </c>
      <c r="E17" s="43" t="s">
        <v>362</v>
      </c>
      <c r="F17" s="43" t="s">
        <v>158</v>
      </c>
      <c r="G17" s="43" t="s">
        <v>158</v>
      </c>
      <c r="H17" s="43" t="s">
        <v>306</v>
      </c>
      <c r="I17" s="43" t="s">
        <v>186</v>
      </c>
      <c r="J17" s="43" t="s">
        <v>186</v>
      </c>
      <c r="K17" s="49" t="s">
        <v>307</v>
      </c>
      <c r="L17" s="49" t="s">
        <v>363</v>
      </c>
      <c r="M17" s="43" t="s">
        <v>309</v>
      </c>
      <c r="N17" s="43" t="s">
        <v>310</v>
      </c>
      <c r="O17" s="43" t="s">
        <v>311</v>
      </c>
      <c r="P17" s="43" t="s">
        <v>312</v>
      </c>
      <c r="Q17" s="49" t="s">
        <v>313</v>
      </c>
      <c r="R17" s="43" t="s">
        <v>314</v>
      </c>
      <c r="S17" s="43" t="s">
        <v>315</v>
      </c>
      <c r="T17" s="44">
        <v>50</v>
      </c>
      <c r="U17" s="44">
        <v>1900</v>
      </c>
      <c r="V17" s="44">
        <v>1900</v>
      </c>
      <c r="W17" s="44">
        <v>925</v>
      </c>
      <c r="X17" s="44">
        <v>0</v>
      </c>
      <c r="Y17" s="107">
        <v>975</v>
      </c>
      <c r="Z17" s="44">
        <v>975</v>
      </c>
    </row>
    <row r="18" spans="1:26" x14ac:dyDescent="0.25">
      <c r="A18" s="43">
        <v>2025</v>
      </c>
      <c r="B18" s="43" t="s">
        <v>290</v>
      </c>
      <c r="C18" s="106" t="s">
        <v>364</v>
      </c>
      <c r="D18" s="43" t="s">
        <v>365</v>
      </c>
      <c r="E18" s="43" t="s">
        <v>366</v>
      </c>
      <c r="F18" s="43" t="s">
        <v>163</v>
      </c>
      <c r="G18" s="43" t="s">
        <v>163</v>
      </c>
      <c r="H18" s="43" t="s">
        <v>306</v>
      </c>
      <c r="I18" s="43" t="s">
        <v>186</v>
      </c>
      <c r="J18" s="43" t="s">
        <v>186</v>
      </c>
      <c r="K18" s="49" t="s">
        <v>307</v>
      </c>
      <c r="L18" s="49" t="s">
        <v>367</v>
      </c>
      <c r="M18" s="43" t="s">
        <v>309</v>
      </c>
      <c r="N18" s="43" t="s">
        <v>310</v>
      </c>
      <c r="O18" s="43" t="s">
        <v>311</v>
      </c>
      <c r="P18" s="43" t="s">
        <v>312</v>
      </c>
      <c r="Q18" s="49" t="s">
        <v>313</v>
      </c>
      <c r="R18" s="43" t="s">
        <v>320</v>
      </c>
      <c r="S18" s="43" t="s">
        <v>321</v>
      </c>
      <c r="T18" s="44">
        <v>61</v>
      </c>
      <c r="U18" s="44">
        <v>2196</v>
      </c>
      <c r="V18" s="44">
        <v>2196</v>
      </c>
      <c r="W18" s="44">
        <v>1049.2</v>
      </c>
      <c r="X18" s="44">
        <v>0</v>
      </c>
      <c r="Y18" s="107">
        <v>1146.8</v>
      </c>
      <c r="Z18" s="44">
        <v>1146.8</v>
      </c>
    </row>
    <row r="19" spans="1:26" x14ac:dyDescent="0.25">
      <c r="A19" s="43">
        <v>2025</v>
      </c>
      <c r="B19" s="43" t="s">
        <v>290</v>
      </c>
      <c r="C19" s="106" t="s">
        <v>368</v>
      </c>
      <c r="D19" s="43" t="s">
        <v>369</v>
      </c>
      <c r="E19" s="43" t="s">
        <v>370</v>
      </c>
      <c r="F19" s="43" t="s">
        <v>325</v>
      </c>
      <c r="G19" s="43" t="s">
        <v>325</v>
      </c>
      <c r="H19" s="43" t="s">
        <v>306</v>
      </c>
      <c r="I19" s="43" t="s">
        <v>186</v>
      </c>
      <c r="J19" s="43" t="s">
        <v>186</v>
      </c>
      <c r="K19" s="49" t="s">
        <v>307</v>
      </c>
      <c r="L19" s="49" t="s">
        <v>371</v>
      </c>
      <c r="M19" s="43" t="s">
        <v>309</v>
      </c>
      <c r="N19" s="43" t="s">
        <v>310</v>
      </c>
      <c r="O19" s="43" t="s">
        <v>311</v>
      </c>
      <c r="P19" s="43" t="s">
        <v>312</v>
      </c>
      <c r="Q19" s="49" t="s">
        <v>313</v>
      </c>
      <c r="R19" s="43" t="s">
        <v>327</v>
      </c>
      <c r="S19" s="43" t="s">
        <v>328</v>
      </c>
      <c r="T19" s="44">
        <v>72</v>
      </c>
      <c r="U19" s="44">
        <v>2592</v>
      </c>
      <c r="V19" s="44">
        <v>2592</v>
      </c>
      <c r="W19" s="44">
        <v>1260</v>
      </c>
      <c r="X19" s="44">
        <v>0</v>
      </c>
      <c r="Y19" s="107">
        <v>1332</v>
      </c>
      <c r="Z19" s="44">
        <v>1332</v>
      </c>
    </row>
    <row r="20" spans="1:26" x14ac:dyDescent="0.25">
      <c r="A20" s="43">
        <v>2025</v>
      </c>
      <c r="B20" s="43" t="s">
        <v>290</v>
      </c>
      <c r="C20" s="106" t="s">
        <v>372</v>
      </c>
      <c r="D20" s="43" t="s">
        <v>373</v>
      </c>
      <c r="E20" s="43" t="s">
        <v>374</v>
      </c>
      <c r="F20" s="43" t="s">
        <v>167</v>
      </c>
      <c r="G20" s="43" t="s">
        <v>167</v>
      </c>
      <c r="H20" s="43" t="s">
        <v>306</v>
      </c>
      <c r="I20" s="43" t="s">
        <v>186</v>
      </c>
      <c r="J20" s="43" t="s">
        <v>186</v>
      </c>
      <c r="K20" s="49" t="s">
        <v>307</v>
      </c>
      <c r="L20" s="49" t="s">
        <v>375</v>
      </c>
      <c r="M20" s="43" t="s">
        <v>309</v>
      </c>
      <c r="N20" s="43" t="s">
        <v>310</v>
      </c>
      <c r="O20" s="43" t="s">
        <v>311</v>
      </c>
      <c r="P20" s="43" t="s">
        <v>312</v>
      </c>
      <c r="Q20" s="49" t="s">
        <v>313</v>
      </c>
      <c r="R20" s="43" t="s">
        <v>314</v>
      </c>
      <c r="S20" s="43" t="s">
        <v>333</v>
      </c>
      <c r="T20" s="44">
        <v>83</v>
      </c>
      <c r="U20" s="44">
        <v>2905</v>
      </c>
      <c r="V20" s="44">
        <v>2905</v>
      </c>
      <c r="W20" s="44">
        <v>1394.4</v>
      </c>
      <c r="X20" s="44">
        <v>0</v>
      </c>
      <c r="Y20" s="107">
        <v>1510.6</v>
      </c>
      <c r="Z20" s="44">
        <v>1510.6</v>
      </c>
    </row>
    <row r="21" spans="1:26" x14ac:dyDescent="0.25">
      <c r="A21" s="43">
        <v>2025</v>
      </c>
      <c r="B21" s="43" t="s">
        <v>290</v>
      </c>
      <c r="C21" s="106" t="s">
        <v>376</v>
      </c>
      <c r="D21" s="43" t="s">
        <v>377</v>
      </c>
      <c r="E21" s="43" t="s">
        <v>378</v>
      </c>
      <c r="F21" s="43" t="s">
        <v>165</v>
      </c>
      <c r="G21" s="43" t="s">
        <v>165</v>
      </c>
      <c r="H21" s="43" t="s">
        <v>306</v>
      </c>
      <c r="I21" s="43" t="s">
        <v>186</v>
      </c>
      <c r="J21" s="43" t="s">
        <v>186</v>
      </c>
      <c r="K21" s="49" t="s">
        <v>307</v>
      </c>
      <c r="L21" s="49" t="s">
        <v>379</v>
      </c>
      <c r="M21" s="43" t="s">
        <v>309</v>
      </c>
      <c r="N21" s="43" t="s">
        <v>310</v>
      </c>
      <c r="O21" s="43" t="s">
        <v>311</v>
      </c>
      <c r="P21" s="43" t="s">
        <v>312</v>
      </c>
      <c r="Q21" s="49" t="s">
        <v>313</v>
      </c>
      <c r="R21" s="43" t="s">
        <v>320</v>
      </c>
      <c r="S21" s="43" t="s">
        <v>338</v>
      </c>
      <c r="T21" s="44">
        <v>94</v>
      </c>
      <c r="U21" s="44">
        <v>3196</v>
      </c>
      <c r="V21" s="44">
        <v>3196</v>
      </c>
      <c r="W21" s="44">
        <v>1551</v>
      </c>
      <c r="X21" s="44">
        <v>0</v>
      </c>
      <c r="Y21" s="107">
        <v>1645</v>
      </c>
      <c r="Z21" s="44">
        <v>1645</v>
      </c>
    </row>
    <row r="22" spans="1:26" x14ac:dyDescent="0.25">
      <c r="A22" s="43">
        <v>2025</v>
      </c>
      <c r="B22" s="43" t="s">
        <v>380</v>
      </c>
      <c r="C22" s="106" t="s">
        <v>381</v>
      </c>
      <c r="D22" s="43" t="s">
        <v>304</v>
      </c>
      <c r="E22" s="43" t="s">
        <v>382</v>
      </c>
      <c r="F22" s="43" t="s">
        <v>158</v>
      </c>
      <c r="G22" s="43" t="s">
        <v>158</v>
      </c>
      <c r="H22" s="43" t="s">
        <v>306</v>
      </c>
      <c r="I22" s="43" t="s">
        <v>186</v>
      </c>
      <c r="J22" s="43" t="s">
        <v>186</v>
      </c>
      <c r="K22" s="49" t="s">
        <v>307</v>
      </c>
      <c r="L22" s="49" t="s">
        <v>383</v>
      </c>
      <c r="M22" s="43" t="s">
        <v>309</v>
      </c>
      <c r="N22" s="43" t="s">
        <v>310</v>
      </c>
      <c r="O22" s="43" t="s">
        <v>311</v>
      </c>
      <c r="P22" s="43" t="s">
        <v>312</v>
      </c>
      <c r="Q22" s="49" t="s">
        <v>313</v>
      </c>
      <c r="R22" s="43" t="s">
        <v>314</v>
      </c>
      <c r="S22" s="43" t="s">
        <v>315</v>
      </c>
      <c r="T22" s="44">
        <v>50</v>
      </c>
      <c r="U22" s="44">
        <v>1900</v>
      </c>
      <c r="V22" s="44">
        <v>1900</v>
      </c>
      <c r="W22" s="44">
        <v>925</v>
      </c>
      <c r="X22" s="44">
        <v>0</v>
      </c>
      <c r="Y22" s="107">
        <v>975</v>
      </c>
      <c r="Z22" s="44">
        <v>975</v>
      </c>
    </row>
    <row r="23" spans="1:26" x14ac:dyDescent="0.25">
      <c r="A23" s="43">
        <v>2025</v>
      </c>
      <c r="B23" s="43" t="s">
        <v>380</v>
      </c>
      <c r="C23" s="106" t="s">
        <v>384</v>
      </c>
      <c r="D23" s="43" t="s">
        <v>317</v>
      </c>
      <c r="E23" s="43" t="s">
        <v>385</v>
      </c>
      <c r="F23" s="43" t="s">
        <v>163</v>
      </c>
      <c r="G23" s="43" t="s">
        <v>163</v>
      </c>
      <c r="H23" s="43" t="s">
        <v>306</v>
      </c>
      <c r="I23" s="43" t="s">
        <v>186</v>
      </c>
      <c r="J23" s="43" t="s">
        <v>186</v>
      </c>
      <c r="K23" s="49" t="s">
        <v>307</v>
      </c>
      <c r="L23" s="49" t="s">
        <v>386</v>
      </c>
      <c r="M23" s="43" t="s">
        <v>309</v>
      </c>
      <c r="N23" s="43" t="s">
        <v>310</v>
      </c>
      <c r="O23" s="43" t="s">
        <v>311</v>
      </c>
      <c r="P23" s="43" t="s">
        <v>312</v>
      </c>
      <c r="Q23" s="49" t="s">
        <v>313</v>
      </c>
      <c r="R23" s="43" t="s">
        <v>320</v>
      </c>
      <c r="S23" s="43" t="s">
        <v>321</v>
      </c>
      <c r="T23" s="44">
        <v>61</v>
      </c>
      <c r="U23" s="44">
        <v>2196</v>
      </c>
      <c r="V23" s="44">
        <v>2196</v>
      </c>
      <c r="W23" s="44">
        <v>1049.2</v>
      </c>
      <c r="X23" s="44">
        <v>0</v>
      </c>
      <c r="Y23" s="107">
        <v>1146.8</v>
      </c>
      <c r="Z23" s="44">
        <v>1146.8</v>
      </c>
    </row>
    <row r="24" spans="1:26" x14ac:dyDescent="0.25">
      <c r="A24" s="43">
        <v>2025</v>
      </c>
      <c r="B24" s="43" t="s">
        <v>380</v>
      </c>
      <c r="C24" s="106" t="s">
        <v>387</v>
      </c>
      <c r="D24" s="43" t="s">
        <v>323</v>
      </c>
      <c r="E24" s="43" t="s">
        <v>388</v>
      </c>
      <c r="F24" s="43" t="s">
        <v>325</v>
      </c>
      <c r="G24" s="43" t="s">
        <v>325</v>
      </c>
      <c r="H24" s="43" t="s">
        <v>306</v>
      </c>
      <c r="I24" s="43" t="s">
        <v>186</v>
      </c>
      <c r="J24" s="43" t="s">
        <v>186</v>
      </c>
      <c r="K24" s="49" t="s">
        <v>307</v>
      </c>
      <c r="L24" s="49" t="s">
        <v>389</v>
      </c>
      <c r="M24" s="43" t="s">
        <v>309</v>
      </c>
      <c r="N24" s="43" t="s">
        <v>310</v>
      </c>
      <c r="O24" s="43" t="s">
        <v>311</v>
      </c>
      <c r="P24" s="43" t="s">
        <v>312</v>
      </c>
      <c r="Q24" s="49" t="s">
        <v>313</v>
      </c>
      <c r="R24" s="43" t="s">
        <v>327</v>
      </c>
      <c r="S24" s="43" t="s">
        <v>328</v>
      </c>
      <c r="T24" s="44">
        <v>72</v>
      </c>
      <c r="U24" s="44">
        <v>2592</v>
      </c>
      <c r="V24" s="44">
        <v>2592</v>
      </c>
      <c r="W24" s="44">
        <v>1260</v>
      </c>
      <c r="X24" s="44">
        <v>0</v>
      </c>
      <c r="Y24" s="107">
        <v>1332</v>
      </c>
      <c r="Z24" s="44">
        <v>1332</v>
      </c>
    </row>
    <row r="25" spans="1:26" x14ac:dyDescent="0.25">
      <c r="A25" s="43">
        <v>2025</v>
      </c>
      <c r="B25" s="43" t="s">
        <v>380</v>
      </c>
      <c r="C25" s="106" t="s">
        <v>390</v>
      </c>
      <c r="D25" s="43" t="s">
        <v>330</v>
      </c>
      <c r="E25" s="43" t="s">
        <v>391</v>
      </c>
      <c r="F25" s="43" t="s">
        <v>167</v>
      </c>
      <c r="G25" s="43" t="s">
        <v>167</v>
      </c>
      <c r="H25" s="43" t="s">
        <v>306</v>
      </c>
      <c r="I25" s="43" t="s">
        <v>186</v>
      </c>
      <c r="J25" s="43" t="s">
        <v>186</v>
      </c>
      <c r="K25" s="49" t="s">
        <v>307</v>
      </c>
      <c r="L25" s="49" t="s">
        <v>392</v>
      </c>
      <c r="M25" s="43" t="s">
        <v>309</v>
      </c>
      <c r="N25" s="43" t="s">
        <v>310</v>
      </c>
      <c r="O25" s="43" t="s">
        <v>311</v>
      </c>
      <c r="P25" s="43" t="s">
        <v>312</v>
      </c>
      <c r="Q25" s="49" t="s">
        <v>313</v>
      </c>
      <c r="R25" s="43" t="s">
        <v>314</v>
      </c>
      <c r="S25" s="43" t="s">
        <v>333</v>
      </c>
      <c r="T25" s="44">
        <v>83</v>
      </c>
      <c r="U25" s="44">
        <v>2905</v>
      </c>
      <c r="V25" s="44">
        <v>2905</v>
      </c>
      <c r="W25" s="44">
        <v>1394.4</v>
      </c>
      <c r="X25" s="44">
        <v>0</v>
      </c>
      <c r="Y25" s="107">
        <v>1510.6</v>
      </c>
      <c r="Z25" s="44">
        <v>1510.6</v>
      </c>
    </row>
    <row r="26" spans="1:26" x14ac:dyDescent="0.25">
      <c r="A26" s="43">
        <v>2025</v>
      </c>
      <c r="B26" s="43" t="s">
        <v>380</v>
      </c>
      <c r="C26" s="106" t="s">
        <v>393</v>
      </c>
      <c r="D26" s="43" t="s">
        <v>335</v>
      </c>
      <c r="E26" s="43" t="s">
        <v>394</v>
      </c>
      <c r="F26" s="43" t="s">
        <v>165</v>
      </c>
      <c r="G26" s="43" t="s">
        <v>165</v>
      </c>
      <c r="H26" s="43" t="s">
        <v>306</v>
      </c>
      <c r="I26" s="43" t="s">
        <v>186</v>
      </c>
      <c r="J26" s="43" t="s">
        <v>186</v>
      </c>
      <c r="K26" s="49" t="s">
        <v>307</v>
      </c>
      <c r="L26" s="49" t="s">
        <v>395</v>
      </c>
      <c r="M26" s="43" t="s">
        <v>309</v>
      </c>
      <c r="N26" s="43" t="s">
        <v>310</v>
      </c>
      <c r="O26" s="43" t="s">
        <v>311</v>
      </c>
      <c r="P26" s="43" t="s">
        <v>312</v>
      </c>
      <c r="Q26" s="49" t="s">
        <v>313</v>
      </c>
      <c r="R26" s="43" t="s">
        <v>320</v>
      </c>
      <c r="S26" s="43" t="s">
        <v>338</v>
      </c>
      <c r="T26" s="44">
        <v>94</v>
      </c>
      <c r="U26" s="44">
        <v>3196</v>
      </c>
      <c r="V26" s="44">
        <v>3196</v>
      </c>
      <c r="W26" s="44">
        <v>1551</v>
      </c>
      <c r="X26" s="44">
        <v>0</v>
      </c>
      <c r="Y26" s="107">
        <v>1645</v>
      </c>
      <c r="Z26" s="44">
        <v>1645</v>
      </c>
    </row>
    <row r="27" spans="1:26" x14ac:dyDescent="0.25">
      <c r="A27" s="43">
        <v>2025</v>
      </c>
      <c r="B27" s="43" t="s">
        <v>396</v>
      </c>
      <c r="C27" s="106" t="s">
        <v>397</v>
      </c>
      <c r="D27" s="43" t="s">
        <v>341</v>
      </c>
      <c r="E27" s="43" t="s">
        <v>398</v>
      </c>
      <c r="F27" s="43" t="s">
        <v>158</v>
      </c>
      <c r="G27" s="43" t="s">
        <v>158</v>
      </c>
      <c r="H27" s="43" t="s">
        <v>306</v>
      </c>
      <c r="I27" s="43" t="s">
        <v>186</v>
      </c>
      <c r="J27" s="43" t="s">
        <v>186</v>
      </c>
      <c r="K27" s="49" t="s">
        <v>307</v>
      </c>
      <c r="L27" s="49" t="s">
        <v>399</v>
      </c>
      <c r="M27" s="43" t="s">
        <v>309</v>
      </c>
      <c r="N27" s="43" t="s">
        <v>310</v>
      </c>
      <c r="O27" s="43" t="s">
        <v>311</v>
      </c>
      <c r="P27" s="43" t="s">
        <v>312</v>
      </c>
      <c r="Q27" s="49" t="s">
        <v>313</v>
      </c>
      <c r="R27" s="43" t="s">
        <v>314</v>
      </c>
      <c r="S27" s="43" t="s">
        <v>315</v>
      </c>
      <c r="T27" s="44">
        <v>50</v>
      </c>
      <c r="U27" s="44">
        <v>1900</v>
      </c>
      <c r="V27" s="44">
        <v>1900</v>
      </c>
      <c r="W27" s="44">
        <v>925</v>
      </c>
      <c r="X27" s="44">
        <v>0</v>
      </c>
      <c r="Y27" s="107">
        <v>975</v>
      </c>
      <c r="Z27" s="44">
        <v>975</v>
      </c>
    </row>
    <row r="28" spans="1:26" x14ac:dyDescent="0.25">
      <c r="A28" s="43">
        <v>2025</v>
      </c>
      <c r="B28" s="43" t="s">
        <v>396</v>
      </c>
      <c r="C28" s="106" t="s">
        <v>400</v>
      </c>
      <c r="D28" s="43" t="s">
        <v>345</v>
      </c>
      <c r="E28" s="43" t="s">
        <v>401</v>
      </c>
      <c r="F28" s="43" t="s">
        <v>163</v>
      </c>
      <c r="G28" s="43" t="s">
        <v>163</v>
      </c>
      <c r="H28" s="43" t="s">
        <v>306</v>
      </c>
      <c r="I28" s="43" t="s">
        <v>186</v>
      </c>
      <c r="J28" s="43" t="s">
        <v>186</v>
      </c>
      <c r="K28" s="49" t="s">
        <v>307</v>
      </c>
      <c r="L28" s="49" t="s">
        <v>402</v>
      </c>
      <c r="M28" s="43" t="s">
        <v>309</v>
      </c>
      <c r="N28" s="43" t="s">
        <v>310</v>
      </c>
      <c r="O28" s="43" t="s">
        <v>311</v>
      </c>
      <c r="P28" s="43" t="s">
        <v>312</v>
      </c>
      <c r="Q28" s="49" t="s">
        <v>313</v>
      </c>
      <c r="R28" s="43" t="s">
        <v>320</v>
      </c>
      <c r="S28" s="43" t="s">
        <v>321</v>
      </c>
      <c r="T28" s="44">
        <v>61</v>
      </c>
      <c r="U28" s="44">
        <v>2196</v>
      </c>
      <c r="V28" s="44">
        <v>2196</v>
      </c>
      <c r="W28" s="44">
        <v>1049.2</v>
      </c>
      <c r="X28" s="44">
        <v>0</v>
      </c>
      <c r="Y28" s="107">
        <v>1146.8</v>
      </c>
      <c r="Z28" s="44">
        <v>1146.8</v>
      </c>
    </row>
    <row r="29" spans="1:26" x14ac:dyDescent="0.25">
      <c r="A29" s="43">
        <v>2025</v>
      </c>
      <c r="B29" s="43" t="s">
        <v>396</v>
      </c>
      <c r="C29" s="106" t="s">
        <v>403</v>
      </c>
      <c r="D29" s="43" t="s">
        <v>349</v>
      </c>
      <c r="E29" s="43" t="s">
        <v>404</v>
      </c>
      <c r="F29" s="43" t="s">
        <v>325</v>
      </c>
      <c r="G29" s="43" t="s">
        <v>325</v>
      </c>
      <c r="H29" s="43" t="s">
        <v>306</v>
      </c>
      <c r="I29" s="43" t="s">
        <v>186</v>
      </c>
      <c r="J29" s="43" t="s">
        <v>186</v>
      </c>
      <c r="K29" s="49" t="s">
        <v>307</v>
      </c>
      <c r="L29" s="49" t="s">
        <v>405</v>
      </c>
      <c r="M29" s="43" t="s">
        <v>309</v>
      </c>
      <c r="N29" s="43" t="s">
        <v>310</v>
      </c>
      <c r="O29" s="43" t="s">
        <v>311</v>
      </c>
      <c r="P29" s="43" t="s">
        <v>312</v>
      </c>
      <c r="Q29" s="49" t="s">
        <v>313</v>
      </c>
      <c r="R29" s="43" t="s">
        <v>327</v>
      </c>
      <c r="S29" s="43" t="s">
        <v>328</v>
      </c>
      <c r="T29" s="44">
        <v>72</v>
      </c>
      <c r="U29" s="44">
        <v>2592</v>
      </c>
      <c r="V29" s="44">
        <v>2592</v>
      </c>
      <c r="W29" s="44">
        <v>1260</v>
      </c>
      <c r="X29" s="44">
        <v>0</v>
      </c>
      <c r="Y29" s="107">
        <v>1332</v>
      </c>
      <c r="Z29" s="44">
        <v>1332</v>
      </c>
    </row>
    <row r="30" spans="1:26" x14ac:dyDescent="0.25">
      <c r="A30" s="43">
        <v>2025</v>
      </c>
      <c r="B30" s="43" t="s">
        <v>396</v>
      </c>
      <c r="C30" s="106" t="s">
        <v>406</v>
      </c>
      <c r="D30" s="43" t="s">
        <v>353</v>
      </c>
      <c r="E30" s="43" t="s">
        <v>407</v>
      </c>
      <c r="F30" s="43" t="s">
        <v>167</v>
      </c>
      <c r="G30" s="43" t="s">
        <v>167</v>
      </c>
      <c r="H30" s="43" t="s">
        <v>306</v>
      </c>
      <c r="I30" s="43" t="s">
        <v>186</v>
      </c>
      <c r="J30" s="43" t="s">
        <v>186</v>
      </c>
      <c r="K30" s="49" t="s">
        <v>307</v>
      </c>
      <c r="L30" s="49" t="s">
        <v>408</v>
      </c>
      <c r="M30" s="43" t="s">
        <v>309</v>
      </c>
      <c r="N30" s="43" t="s">
        <v>310</v>
      </c>
      <c r="O30" s="43" t="s">
        <v>311</v>
      </c>
      <c r="P30" s="43" t="s">
        <v>312</v>
      </c>
      <c r="Q30" s="49" t="s">
        <v>313</v>
      </c>
      <c r="R30" s="43" t="s">
        <v>314</v>
      </c>
      <c r="S30" s="43" t="s">
        <v>333</v>
      </c>
      <c r="T30" s="44">
        <v>83</v>
      </c>
      <c r="U30" s="44">
        <v>2905</v>
      </c>
      <c r="V30" s="44">
        <v>2905</v>
      </c>
      <c r="W30" s="44">
        <v>1394.4</v>
      </c>
      <c r="X30" s="44">
        <v>0</v>
      </c>
      <c r="Y30" s="107">
        <v>1510.6</v>
      </c>
      <c r="Z30" s="44">
        <v>1510.6</v>
      </c>
    </row>
    <row r="31" spans="1:26" x14ac:dyDescent="0.25">
      <c r="A31" s="43">
        <v>2025</v>
      </c>
      <c r="B31" s="43" t="s">
        <v>396</v>
      </c>
      <c r="C31" s="106" t="s">
        <v>409</v>
      </c>
      <c r="D31" s="43" t="s">
        <v>357</v>
      </c>
      <c r="E31" s="43" t="s">
        <v>410</v>
      </c>
      <c r="F31" s="43" t="s">
        <v>165</v>
      </c>
      <c r="G31" s="43" t="s">
        <v>165</v>
      </c>
      <c r="H31" s="43" t="s">
        <v>306</v>
      </c>
      <c r="I31" s="43" t="s">
        <v>186</v>
      </c>
      <c r="J31" s="43" t="s">
        <v>186</v>
      </c>
      <c r="K31" s="49" t="s">
        <v>307</v>
      </c>
      <c r="L31" s="49" t="s">
        <v>411</v>
      </c>
      <c r="M31" s="43" t="s">
        <v>309</v>
      </c>
      <c r="N31" s="43" t="s">
        <v>310</v>
      </c>
      <c r="O31" s="43" t="s">
        <v>311</v>
      </c>
      <c r="P31" s="43" t="s">
        <v>312</v>
      </c>
      <c r="Q31" s="49" t="s">
        <v>313</v>
      </c>
      <c r="R31" s="43" t="s">
        <v>320</v>
      </c>
      <c r="S31" s="43" t="s">
        <v>338</v>
      </c>
      <c r="T31" s="44">
        <v>94</v>
      </c>
      <c r="U31" s="44">
        <v>3196</v>
      </c>
      <c r="V31" s="44">
        <v>3196</v>
      </c>
      <c r="W31" s="44">
        <v>1551</v>
      </c>
      <c r="X31" s="44">
        <v>0</v>
      </c>
      <c r="Y31" s="107">
        <v>1645</v>
      </c>
      <c r="Z31" s="44">
        <v>1645</v>
      </c>
    </row>
    <row r="32" spans="1:26" x14ac:dyDescent="0.25">
      <c r="A32" s="43">
        <v>2025</v>
      </c>
      <c r="B32" s="43" t="s">
        <v>412</v>
      </c>
      <c r="C32" s="106" t="s">
        <v>413</v>
      </c>
      <c r="D32" s="43" t="s">
        <v>361</v>
      </c>
      <c r="E32" s="43" t="s">
        <v>414</v>
      </c>
      <c r="F32" s="43" t="s">
        <v>158</v>
      </c>
      <c r="G32" s="43" t="s">
        <v>158</v>
      </c>
      <c r="H32" s="43" t="s">
        <v>306</v>
      </c>
      <c r="I32" s="43" t="s">
        <v>186</v>
      </c>
      <c r="J32" s="43" t="s">
        <v>186</v>
      </c>
      <c r="K32" s="49" t="s">
        <v>307</v>
      </c>
      <c r="L32" s="49" t="s">
        <v>415</v>
      </c>
      <c r="M32" s="43" t="s">
        <v>309</v>
      </c>
      <c r="N32" s="43" t="s">
        <v>310</v>
      </c>
      <c r="O32" s="43" t="s">
        <v>311</v>
      </c>
      <c r="P32" s="43" t="s">
        <v>312</v>
      </c>
      <c r="Q32" s="49" t="s">
        <v>313</v>
      </c>
      <c r="R32" s="43" t="s">
        <v>314</v>
      </c>
      <c r="S32" s="43" t="s">
        <v>315</v>
      </c>
      <c r="T32" s="44">
        <v>50</v>
      </c>
      <c r="U32" s="44">
        <v>1900</v>
      </c>
      <c r="V32" s="44">
        <v>1900</v>
      </c>
      <c r="W32" s="44">
        <v>925</v>
      </c>
      <c r="X32" s="44">
        <v>0</v>
      </c>
      <c r="Y32" s="107">
        <v>975</v>
      </c>
      <c r="Z32" s="44">
        <v>975</v>
      </c>
    </row>
    <row r="33" spans="1:26" x14ac:dyDescent="0.25">
      <c r="A33" s="43">
        <v>2025</v>
      </c>
      <c r="B33" s="43" t="s">
        <v>412</v>
      </c>
      <c r="C33" s="106" t="s">
        <v>416</v>
      </c>
      <c r="D33" s="43" t="s">
        <v>365</v>
      </c>
      <c r="E33" s="43" t="s">
        <v>417</v>
      </c>
      <c r="F33" s="43" t="s">
        <v>163</v>
      </c>
      <c r="G33" s="43" t="s">
        <v>163</v>
      </c>
      <c r="H33" s="43" t="s">
        <v>306</v>
      </c>
      <c r="I33" s="43" t="s">
        <v>186</v>
      </c>
      <c r="J33" s="43" t="s">
        <v>186</v>
      </c>
      <c r="K33" s="49" t="s">
        <v>307</v>
      </c>
      <c r="L33" s="49" t="s">
        <v>418</v>
      </c>
      <c r="M33" s="43" t="s">
        <v>309</v>
      </c>
      <c r="N33" s="43" t="s">
        <v>310</v>
      </c>
      <c r="O33" s="43" t="s">
        <v>311</v>
      </c>
      <c r="P33" s="43" t="s">
        <v>312</v>
      </c>
      <c r="Q33" s="49" t="s">
        <v>313</v>
      </c>
      <c r="R33" s="43" t="s">
        <v>320</v>
      </c>
      <c r="S33" s="43" t="s">
        <v>321</v>
      </c>
      <c r="T33" s="44">
        <v>61</v>
      </c>
      <c r="U33" s="44">
        <v>2196</v>
      </c>
      <c r="V33" s="44">
        <v>2196</v>
      </c>
      <c r="W33" s="44">
        <v>1049.2</v>
      </c>
      <c r="X33" s="44">
        <v>0</v>
      </c>
      <c r="Y33" s="107">
        <v>1146.8</v>
      </c>
      <c r="Z33" s="44">
        <v>1146.8</v>
      </c>
    </row>
    <row r="34" spans="1:26" x14ac:dyDescent="0.25">
      <c r="A34" s="43">
        <v>2025</v>
      </c>
      <c r="B34" s="43" t="s">
        <v>412</v>
      </c>
      <c r="C34" s="106" t="s">
        <v>419</v>
      </c>
      <c r="D34" s="43" t="s">
        <v>369</v>
      </c>
      <c r="E34" s="43" t="s">
        <v>420</v>
      </c>
      <c r="F34" s="43" t="s">
        <v>325</v>
      </c>
      <c r="G34" s="43" t="s">
        <v>325</v>
      </c>
      <c r="H34" s="43" t="s">
        <v>306</v>
      </c>
      <c r="I34" s="43" t="s">
        <v>186</v>
      </c>
      <c r="J34" s="43" t="s">
        <v>186</v>
      </c>
      <c r="K34" s="49" t="s">
        <v>307</v>
      </c>
      <c r="L34" s="49" t="s">
        <v>421</v>
      </c>
      <c r="M34" s="43" t="s">
        <v>309</v>
      </c>
      <c r="N34" s="43" t="s">
        <v>310</v>
      </c>
      <c r="O34" s="43" t="s">
        <v>311</v>
      </c>
      <c r="P34" s="43" t="s">
        <v>312</v>
      </c>
      <c r="Q34" s="49" t="s">
        <v>313</v>
      </c>
      <c r="R34" s="43" t="s">
        <v>327</v>
      </c>
      <c r="S34" s="43" t="s">
        <v>328</v>
      </c>
      <c r="T34" s="44">
        <v>72</v>
      </c>
      <c r="U34" s="44">
        <v>2592</v>
      </c>
      <c r="V34" s="44">
        <v>2592</v>
      </c>
      <c r="W34" s="44">
        <v>1260</v>
      </c>
      <c r="X34" s="44">
        <v>0</v>
      </c>
      <c r="Y34" s="107">
        <v>1332</v>
      </c>
      <c r="Z34" s="44">
        <v>1332</v>
      </c>
    </row>
    <row r="35" spans="1:26" x14ac:dyDescent="0.25">
      <c r="A35" s="43">
        <v>2025</v>
      </c>
      <c r="B35" s="43" t="s">
        <v>412</v>
      </c>
      <c r="C35" s="106" t="s">
        <v>422</v>
      </c>
      <c r="D35" s="43" t="s">
        <v>373</v>
      </c>
      <c r="E35" s="43" t="s">
        <v>423</v>
      </c>
      <c r="F35" s="43" t="s">
        <v>167</v>
      </c>
      <c r="G35" s="43" t="s">
        <v>167</v>
      </c>
      <c r="H35" s="43" t="s">
        <v>306</v>
      </c>
      <c r="I35" s="43" t="s">
        <v>186</v>
      </c>
      <c r="J35" s="43" t="s">
        <v>186</v>
      </c>
      <c r="K35" s="49" t="s">
        <v>307</v>
      </c>
      <c r="L35" s="49" t="s">
        <v>424</v>
      </c>
      <c r="M35" s="43" t="s">
        <v>309</v>
      </c>
      <c r="N35" s="43" t="s">
        <v>310</v>
      </c>
      <c r="O35" s="43" t="s">
        <v>311</v>
      </c>
      <c r="P35" s="43" t="s">
        <v>312</v>
      </c>
      <c r="Q35" s="49" t="s">
        <v>313</v>
      </c>
      <c r="R35" s="43" t="s">
        <v>314</v>
      </c>
      <c r="S35" s="43" t="s">
        <v>333</v>
      </c>
      <c r="T35" s="44">
        <v>83</v>
      </c>
      <c r="U35" s="44">
        <v>2905</v>
      </c>
      <c r="V35" s="44">
        <v>2905</v>
      </c>
      <c r="W35" s="44">
        <v>1394.4</v>
      </c>
      <c r="X35" s="44">
        <v>0</v>
      </c>
      <c r="Y35" s="107">
        <v>1510.6</v>
      </c>
      <c r="Z35" s="44">
        <v>1510.6</v>
      </c>
    </row>
    <row r="36" spans="1:26" x14ac:dyDescent="0.25">
      <c r="A36" s="43">
        <v>2025</v>
      </c>
      <c r="B36" s="43" t="s">
        <v>412</v>
      </c>
      <c r="C36" s="106" t="s">
        <v>425</v>
      </c>
      <c r="D36" s="43" t="s">
        <v>377</v>
      </c>
      <c r="E36" s="43" t="s">
        <v>426</v>
      </c>
      <c r="F36" s="43" t="s">
        <v>165</v>
      </c>
      <c r="G36" s="43" t="s">
        <v>165</v>
      </c>
      <c r="H36" s="43" t="s">
        <v>306</v>
      </c>
      <c r="I36" s="43" t="s">
        <v>186</v>
      </c>
      <c r="J36" s="43" t="s">
        <v>186</v>
      </c>
      <c r="K36" s="49" t="s">
        <v>307</v>
      </c>
      <c r="L36" s="49" t="s">
        <v>427</v>
      </c>
      <c r="M36" s="43" t="s">
        <v>309</v>
      </c>
      <c r="N36" s="43" t="s">
        <v>310</v>
      </c>
      <c r="O36" s="43" t="s">
        <v>311</v>
      </c>
      <c r="P36" s="43" t="s">
        <v>312</v>
      </c>
      <c r="Q36" s="49" t="s">
        <v>313</v>
      </c>
      <c r="R36" s="43" t="s">
        <v>320</v>
      </c>
      <c r="S36" s="43" t="s">
        <v>338</v>
      </c>
      <c r="T36" s="44">
        <v>94</v>
      </c>
      <c r="U36" s="44">
        <v>3196</v>
      </c>
      <c r="V36" s="44">
        <v>3196</v>
      </c>
      <c r="W36" s="44">
        <v>1551</v>
      </c>
      <c r="X36" s="44">
        <v>0</v>
      </c>
      <c r="Y36" s="107">
        <v>1645</v>
      </c>
      <c r="Z36" s="44">
        <v>1645</v>
      </c>
    </row>
    <row r="37" spans="1:26" x14ac:dyDescent="0.25">
      <c r="A37" s="43">
        <v>2025</v>
      </c>
      <c r="B37" s="43" t="s">
        <v>291</v>
      </c>
      <c r="C37" s="106" t="s">
        <v>428</v>
      </c>
      <c r="D37" s="43" t="s">
        <v>304</v>
      </c>
      <c r="E37" s="43" t="s">
        <v>429</v>
      </c>
      <c r="F37" s="43" t="s">
        <v>158</v>
      </c>
      <c r="G37" s="43" t="s">
        <v>158</v>
      </c>
      <c r="H37" s="43" t="s">
        <v>306</v>
      </c>
      <c r="I37" s="43" t="s">
        <v>186</v>
      </c>
      <c r="J37" s="43" t="s">
        <v>186</v>
      </c>
      <c r="K37" s="49" t="s">
        <v>307</v>
      </c>
      <c r="L37" s="49" t="s">
        <v>430</v>
      </c>
      <c r="M37" s="43" t="s">
        <v>309</v>
      </c>
      <c r="N37" s="43" t="s">
        <v>310</v>
      </c>
      <c r="O37" s="43" t="s">
        <v>311</v>
      </c>
      <c r="P37" s="43" t="s">
        <v>312</v>
      </c>
      <c r="Q37" s="49" t="s">
        <v>313</v>
      </c>
      <c r="R37" s="43" t="s">
        <v>314</v>
      </c>
      <c r="S37" s="43" t="s">
        <v>315</v>
      </c>
      <c r="T37" s="44">
        <v>50</v>
      </c>
      <c r="U37" s="44">
        <v>1900</v>
      </c>
      <c r="V37" s="44">
        <v>1900</v>
      </c>
      <c r="W37" s="44">
        <v>925</v>
      </c>
      <c r="X37" s="44">
        <v>0</v>
      </c>
      <c r="Y37" s="107">
        <v>975</v>
      </c>
      <c r="Z37" s="44">
        <v>975</v>
      </c>
    </row>
    <row r="38" spans="1:26" x14ac:dyDescent="0.25">
      <c r="A38" s="43">
        <v>2025</v>
      </c>
      <c r="B38" s="43" t="s">
        <v>291</v>
      </c>
      <c r="C38" s="106" t="s">
        <v>431</v>
      </c>
      <c r="D38" s="43" t="s">
        <v>317</v>
      </c>
      <c r="E38" s="43" t="s">
        <v>432</v>
      </c>
      <c r="F38" s="43" t="s">
        <v>163</v>
      </c>
      <c r="G38" s="43" t="s">
        <v>163</v>
      </c>
      <c r="H38" s="43" t="s">
        <v>306</v>
      </c>
      <c r="I38" s="43" t="s">
        <v>186</v>
      </c>
      <c r="J38" s="43" t="s">
        <v>186</v>
      </c>
      <c r="K38" s="49" t="s">
        <v>307</v>
      </c>
      <c r="L38" s="49" t="s">
        <v>433</v>
      </c>
      <c r="M38" s="43" t="s">
        <v>309</v>
      </c>
      <c r="N38" s="43" t="s">
        <v>310</v>
      </c>
      <c r="O38" s="43" t="s">
        <v>311</v>
      </c>
      <c r="P38" s="43" t="s">
        <v>312</v>
      </c>
      <c r="Q38" s="49" t="s">
        <v>313</v>
      </c>
      <c r="R38" s="43" t="s">
        <v>320</v>
      </c>
      <c r="S38" s="43" t="s">
        <v>321</v>
      </c>
      <c r="T38" s="44">
        <v>61</v>
      </c>
      <c r="U38" s="44">
        <v>2196</v>
      </c>
      <c r="V38" s="44">
        <v>2196</v>
      </c>
      <c r="W38" s="44">
        <v>1049.2</v>
      </c>
      <c r="X38" s="44">
        <v>0</v>
      </c>
      <c r="Y38" s="107">
        <v>1146.8</v>
      </c>
      <c r="Z38" s="44">
        <v>1146.8</v>
      </c>
    </row>
    <row r="39" spans="1:26" x14ac:dyDescent="0.25">
      <c r="A39" s="43">
        <v>2025</v>
      </c>
      <c r="B39" s="43" t="s">
        <v>291</v>
      </c>
      <c r="C39" s="106" t="s">
        <v>434</v>
      </c>
      <c r="D39" s="43" t="s">
        <v>323</v>
      </c>
      <c r="E39" s="43" t="s">
        <v>435</v>
      </c>
      <c r="F39" s="43" t="s">
        <v>325</v>
      </c>
      <c r="G39" s="43" t="s">
        <v>325</v>
      </c>
      <c r="H39" s="43" t="s">
        <v>306</v>
      </c>
      <c r="I39" s="43" t="s">
        <v>186</v>
      </c>
      <c r="J39" s="43" t="s">
        <v>186</v>
      </c>
      <c r="K39" s="49" t="s">
        <v>307</v>
      </c>
      <c r="L39" s="49" t="s">
        <v>436</v>
      </c>
      <c r="M39" s="43" t="s">
        <v>309</v>
      </c>
      <c r="N39" s="43" t="s">
        <v>310</v>
      </c>
      <c r="O39" s="43" t="s">
        <v>311</v>
      </c>
      <c r="P39" s="43" t="s">
        <v>312</v>
      </c>
      <c r="Q39" s="49" t="s">
        <v>313</v>
      </c>
      <c r="R39" s="43" t="s">
        <v>327</v>
      </c>
      <c r="S39" s="43" t="s">
        <v>328</v>
      </c>
      <c r="T39" s="44">
        <v>72</v>
      </c>
      <c r="U39" s="44">
        <v>2592</v>
      </c>
      <c r="V39" s="44">
        <v>2592</v>
      </c>
      <c r="W39" s="44">
        <v>1260</v>
      </c>
      <c r="X39" s="44">
        <v>0</v>
      </c>
      <c r="Y39" s="107">
        <v>1332</v>
      </c>
      <c r="Z39" s="44">
        <v>1332</v>
      </c>
    </row>
    <row r="40" spans="1:26" x14ac:dyDescent="0.25">
      <c r="A40" s="43">
        <v>2025</v>
      </c>
      <c r="B40" s="43" t="s">
        <v>291</v>
      </c>
      <c r="C40" s="106" t="s">
        <v>437</v>
      </c>
      <c r="D40" s="43" t="s">
        <v>330</v>
      </c>
      <c r="E40" s="43" t="s">
        <v>438</v>
      </c>
      <c r="F40" s="43" t="s">
        <v>167</v>
      </c>
      <c r="G40" s="43" t="s">
        <v>167</v>
      </c>
      <c r="H40" s="43" t="s">
        <v>306</v>
      </c>
      <c r="I40" s="43" t="s">
        <v>186</v>
      </c>
      <c r="J40" s="43" t="s">
        <v>186</v>
      </c>
      <c r="K40" s="49" t="s">
        <v>307</v>
      </c>
      <c r="L40" s="49" t="s">
        <v>439</v>
      </c>
      <c r="M40" s="43" t="s">
        <v>309</v>
      </c>
      <c r="N40" s="43" t="s">
        <v>310</v>
      </c>
      <c r="O40" s="43" t="s">
        <v>311</v>
      </c>
      <c r="P40" s="43" t="s">
        <v>312</v>
      </c>
      <c r="Q40" s="49" t="s">
        <v>313</v>
      </c>
      <c r="R40" s="43" t="s">
        <v>314</v>
      </c>
      <c r="S40" s="43" t="s">
        <v>333</v>
      </c>
      <c r="T40" s="44">
        <v>83</v>
      </c>
      <c r="U40" s="44">
        <v>2905</v>
      </c>
      <c r="V40" s="44">
        <v>2905</v>
      </c>
      <c r="W40" s="44">
        <v>1394.4</v>
      </c>
      <c r="X40" s="44">
        <v>0</v>
      </c>
      <c r="Y40" s="107">
        <v>1510.6</v>
      </c>
      <c r="Z40" s="44">
        <v>1510.6</v>
      </c>
    </row>
    <row r="41" spans="1:26" x14ac:dyDescent="0.25">
      <c r="A41" s="43">
        <v>2025</v>
      </c>
      <c r="B41" s="43" t="s">
        <v>291</v>
      </c>
      <c r="C41" s="106" t="s">
        <v>440</v>
      </c>
      <c r="D41" s="43" t="s">
        <v>335</v>
      </c>
      <c r="E41" s="43" t="s">
        <v>441</v>
      </c>
      <c r="F41" s="43" t="s">
        <v>165</v>
      </c>
      <c r="G41" s="43" t="s">
        <v>165</v>
      </c>
      <c r="H41" s="43" t="s">
        <v>306</v>
      </c>
      <c r="I41" s="43" t="s">
        <v>186</v>
      </c>
      <c r="J41" s="43" t="s">
        <v>186</v>
      </c>
      <c r="K41" s="49" t="s">
        <v>307</v>
      </c>
      <c r="L41" s="49" t="s">
        <v>442</v>
      </c>
      <c r="M41" s="43" t="s">
        <v>309</v>
      </c>
      <c r="N41" s="43" t="s">
        <v>310</v>
      </c>
      <c r="O41" s="43" t="s">
        <v>311</v>
      </c>
      <c r="P41" s="43" t="s">
        <v>312</v>
      </c>
      <c r="Q41" s="49" t="s">
        <v>313</v>
      </c>
      <c r="R41" s="43" t="s">
        <v>320</v>
      </c>
      <c r="S41" s="43" t="s">
        <v>338</v>
      </c>
      <c r="T41" s="44">
        <v>94</v>
      </c>
      <c r="U41" s="44">
        <v>3196</v>
      </c>
      <c r="V41" s="44">
        <v>3196</v>
      </c>
      <c r="W41" s="44">
        <v>1551</v>
      </c>
      <c r="X41" s="44">
        <v>0</v>
      </c>
      <c r="Y41" s="107">
        <v>1645</v>
      </c>
      <c r="Z41" s="44">
        <v>1645</v>
      </c>
    </row>
    <row r="42" spans="1:26" x14ac:dyDescent="0.25">
      <c r="A42" s="43">
        <v>2025</v>
      </c>
      <c r="B42" s="43" t="s">
        <v>182</v>
      </c>
      <c r="C42" s="106" t="s">
        <v>443</v>
      </c>
      <c r="D42" s="43" t="s">
        <v>341</v>
      </c>
      <c r="E42" s="43" t="s">
        <v>444</v>
      </c>
      <c r="F42" s="43" t="s">
        <v>158</v>
      </c>
      <c r="G42" s="43" t="s">
        <v>158</v>
      </c>
      <c r="H42" s="43" t="s">
        <v>306</v>
      </c>
      <c r="I42" s="43" t="s">
        <v>186</v>
      </c>
      <c r="J42" s="43" t="s">
        <v>186</v>
      </c>
      <c r="K42" s="49" t="s">
        <v>307</v>
      </c>
      <c r="L42" s="49" t="s">
        <v>445</v>
      </c>
      <c r="M42" s="43" t="s">
        <v>309</v>
      </c>
      <c r="N42" s="43" t="s">
        <v>310</v>
      </c>
      <c r="O42" s="43" t="s">
        <v>311</v>
      </c>
      <c r="P42" s="43" t="s">
        <v>312</v>
      </c>
      <c r="Q42" s="49" t="s">
        <v>313</v>
      </c>
      <c r="R42" s="43" t="s">
        <v>314</v>
      </c>
      <c r="S42" s="43" t="s">
        <v>315</v>
      </c>
      <c r="T42" s="44">
        <v>50</v>
      </c>
      <c r="U42" s="44">
        <v>1900</v>
      </c>
      <c r="V42" s="44">
        <v>1900</v>
      </c>
      <c r="W42" s="44">
        <v>925</v>
      </c>
      <c r="X42" s="44">
        <v>0</v>
      </c>
      <c r="Y42" s="107">
        <v>975</v>
      </c>
      <c r="Z42" s="44">
        <v>975</v>
      </c>
    </row>
    <row r="43" spans="1:26" x14ac:dyDescent="0.25">
      <c r="A43" s="43">
        <v>2025</v>
      </c>
      <c r="B43" s="43" t="s">
        <v>182</v>
      </c>
      <c r="C43" s="106" t="s">
        <v>446</v>
      </c>
      <c r="D43" s="43" t="s">
        <v>345</v>
      </c>
      <c r="E43" s="43" t="s">
        <v>447</v>
      </c>
      <c r="F43" s="43" t="s">
        <v>163</v>
      </c>
      <c r="G43" s="43" t="s">
        <v>163</v>
      </c>
      <c r="H43" s="43" t="s">
        <v>306</v>
      </c>
      <c r="I43" s="43" t="s">
        <v>186</v>
      </c>
      <c r="J43" s="43" t="s">
        <v>186</v>
      </c>
      <c r="K43" s="49" t="s">
        <v>307</v>
      </c>
      <c r="L43" s="49" t="s">
        <v>448</v>
      </c>
      <c r="M43" s="43" t="s">
        <v>309</v>
      </c>
      <c r="N43" s="43" t="s">
        <v>310</v>
      </c>
      <c r="O43" s="43" t="s">
        <v>311</v>
      </c>
      <c r="P43" s="43" t="s">
        <v>312</v>
      </c>
      <c r="Q43" s="49" t="s">
        <v>313</v>
      </c>
      <c r="R43" s="43" t="s">
        <v>320</v>
      </c>
      <c r="S43" s="43" t="s">
        <v>321</v>
      </c>
      <c r="T43" s="44">
        <v>61</v>
      </c>
      <c r="U43" s="44">
        <v>2196</v>
      </c>
      <c r="V43" s="44">
        <v>2196</v>
      </c>
      <c r="W43" s="44">
        <v>1049.2</v>
      </c>
      <c r="X43" s="44">
        <v>0</v>
      </c>
      <c r="Y43" s="107">
        <v>1146.8</v>
      </c>
      <c r="Z43" s="44">
        <v>1146.8</v>
      </c>
    </row>
    <row r="44" spans="1:26" x14ac:dyDescent="0.25">
      <c r="A44" s="43">
        <v>2025</v>
      </c>
      <c r="B44" s="43" t="s">
        <v>182</v>
      </c>
      <c r="C44" s="106" t="s">
        <v>449</v>
      </c>
      <c r="D44" s="43" t="s">
        <v>349</v>
      </c>
      <c r="E44" s="43" t="s">
        <v>450</v>
      </c>
      <c r="F44" s="43" t="s">
        <v>325</v>
      </c>
      <c r="G44" s="43" t="s">
        <v>325</v>
      </c>
      <c r="H44" s="43" t="s">
        <v>306</v>
      </c>
      <c r="I44" s="43" t="s">
        <v>186</v>
      </c>
      <c r="J44" s="43" t="s">
        <v>186</v>
      </c>
      <c r="K44" s="49" t="s">
        <v>307</v>
      </c>
      <c r="L44" s="49" t="s">
        <v>451</v>
      </c>
      <c r="M44" s="43" t="s">
        <v>309</v>
      </c>
      <c r="N44" s="43" t="s">
        <v>310</v>
      </c>
      <c r="O44" s="43" t="s">
        <v>311</v>
      </c>
      <c r="P44" s="43" t="s">
        <v>312</v>
      </c>
      <c r="Q44" s="49" t="s">
        <v>313</v>
      </c>
      <c r="R44" s="43" t="s">
        <v>327</v>
      </c>
      <c r="S44" s="43" t="s">
        <v>328</v>
      </c>
      <c r="T44" s="44">
        <v>72</v>
      </c>
      <c r="U44" s="44">
        <v>2592</v>
      </c>
      <c r="V44" s="44">
        <v>2592</v>
      </c>
      <c r="W44" s="44">
        <v>1260</v>
      </c>
      <c r="X44" s="44">
        <v>0</v>
      </c>
      <c r="Y44" s="107">
        <v>1332</v>
      </c>
      <c r="Z44" s="44">
        <v>1332</v>
      </c>
    </row>
    <row r="45" spans="1:26" x14ac:dyDescent="0.25">
      <c r="A45" s="43">
        <v>2025</v>
      </c>
      <c r="B45" s="43" t="s">
        <v>182</v>
      </c>
      <c r="C45" s="106" t="s">
        <v>452</v>
      </c>
      <c r="D45" s="43" t="s">
        <v>353</v>
      </c>
      <c r="E45" s="43" t="s">
        <v>453</v>
      </c>
      <c r="F45" s="43" t="s">
        <v>167</v>
      </c>
      <c r="G45" s="43" t="s">
        <v>167</v>
      </c>
      <c r="H45" s="43" t="s">
        <v>306</v>
      </c>
      <c r="I45" s="43" t="s">
        <v>186</v>
      </c>
      <c r="J45" s="43" t="s">
        <v>186</v>
      </c>
      <c r="K45" s="49" t="s">
        <v>307</v>
      </c>
      <c r="L45" s="49" t="s">
        <v>454</v>
      </c>
      <c r="M45" s="43" t="s">
        <v>309</v>
      </c>
      <c r="N45" s="43" t="s">
        <v>310</v>
      </c>
      <c r="O45" s="43" t="s">
        <v>311</v>
      </c>
      <c r="P45" s="43" t="s">
        <v>312</v>
      </c>
      <c r="Q45" s="49" t="s">
        <v>313</v>
      </c>
      <c r="R45" s="43" t="s">
        <v>314</v>
      </c>
      <c r="S45" s="43" t="s">
        <v>333</v>
      </c>
      <c r="T45" s="44">
        <v>83</v>
      </c>
      <c r="U45" s="44">
        <v>2905</v>
      </c>
      <c r="V45" s="44">
        <v>2905</v>
      </c>
      <c r="W45" s="44">
        <v>1394.4</v>
      </c>
      <c r="X45" s="44">
        <v>0</v>
      </c>
      <c r="Y45" s="107">
        <v>1510.6</v>
      </c>
      <c r="Z45" s="44">
        <v>1510.6</v>
      </c>
    </row>
    <row r="46" spans="1:26" x14ac:dyDescent="0.25">
      <c r="A46" s="43">
        <v>2025</v>
      </c>
      <c r="B46" s="43" t="s">
        <v>182</v>
      </c>
      <c r="C46" s="106" t="s">
        <v>455</v>
      </c>
      <c r="D46" s="43" t="s">
        <v>357</v>
      </c>
      <c r="E46" s="43" t="s">
        <v>456</v>
      </c>
      <c r="F46" s="43" t="s">
        <v>165</v>
      </c>
      <c r="G46" s="43" t="s">
        <v>165</v>
      </c>
      <c r="H46" s="43" t="s">
        <v>306</v>
      </c>
      <c r="I46" s="43" t="s">
        <v>186</v>
      </c>
      <c r="J46" s="43" t="s">
        <v>186</v>
      </c>
      <c r="K46" s="49" t="s">
        <v>307</v>
      </c>
      <c r="L46" s="49" t="s">
        <v>457</v>
      </c>
      <c r="M46" s="43" t="s">
        <v>309</v>
      </c>
      <c r="N46" s="43" t="s">
        <v>310</v>
      </c>
      <c r="O46" s="43" t="s">
        <v>311</v>
      </c>
      <c r="P46" s="43" t="s">
        <v>312</v>
      </c>
      <c r="Q46" s="49" t="s">
        <v>313</v>
      </c>
      <c r="R46" s="43" t="s">
        <v>320</v>
      </c>
      <c r="S46" s="43" t="s">
        <v>338</v>
      </c>
      <c r="T46" s="44">
        <v>94</v>
      </c>
      <c r="U46" s="44">
        <v>3196</v>
      </c>
      <c r="V46" s="44">
        <v>3196</v>
      </c>
      <c r="W46" s="44">
        <v>1551</v>
      </c>
      <c r="X46" s="44">
        <v>0</v>
      </c>
      <c r="Y46" s="107">
        <v>1645</v>
      </c>
      <c r="Z46" s="44">
        <v>1645</v>
      </c>
    </row>
    <row r="47" spans="1:26" x14ac:dyDescent="0.25">
      <c r="A47" s="43">
        <v>2025</v>
      </c>
      <c r="B47" s="43" t="s">
        <v>292</v>
      </c>
      <c r="C47" s="106" t="s">
        <v>458</v>
      </c>
      <c r="D47" s="43" t="s">
        <v>361</v>
      </c>
      <c r="E47" s="43" t="s">
        <v>459</v>
      </c>
      <c r="F47" s="43" t="s">
        <v>158</v>
      </c>
      <c r="G47" s="43" t="s">
        <v>158</v>
      </c>
      <c r="H47" s="43" t="s">
        <v>306</v>
      </c>
      <c r="I47" s="43" t="s">
        <v>186</v>
      </c>
      <c r="J47" s="43" t="s">
        <v>186</v>
      </c>
      <c r="K47" s="49" t="s">
        <v>307</v>
      </c>
      <c r="L47" s="49" t="s">
        <v>460</v>
      </c>
      <c r="M47" s="43" t="s">
        <v>309</v>
      </c>
      <c r="N47" s="43" t="s">
        <v>310</v>
      </c>
      <c r="O47" s="43" t="s">
        <v>311</v>
      </c>
      <c r="P47" s="43" t="s">
        <v>312</v>
      </c>
      <c r="Q47" s="49" t="s">
        <v>313</v>
      </c>
      <c r="R47" s="43" t="s">
        <v>314</v>
      </c>
      <c r="S47" s="43" t="s">
        <v>315</v>
      </c>
      <c r="T47" s="44">
        <v>50</v>
      </c>
      <c r="U47" s="44">
        <v>1900</v>
      </c>
      <c r="V47" s="44">
        <v>1900</v>
      </c>
      <c r="W47" s="44">
        <v>925</v>
      </c>
      <c r="X47" s="44">
        <v>0</v>
      </c>
      <c r="Y47" s="107">
        <v>975</v>
      </c>
      <c r="Z47" s="44">
        <v>975</v>
      </c>
    </row>
    <row r="48" spans="1:26" x14ac:dyDescent="0.25">
      <c r="A48" s="43">
        <v>2025</v>
      </c>
      <c r="B48" s="43" t="s">
        <v>292</v>
      </c>
      <c r="C48" s="106" t="s">
        <v>461</v>
      </c>
      <c r="D48" s="43" t="s">
        <v>365</v>
      </c>
      <c r="E48" s="43" t="s">
        <v>462</v>
      </c>
      <c r="F48" s="43" t="s">
        <v>163</v>
      </c>
      <c r="G48" s="43" t="s">
        <v>163</v>
      </c>
      <c r="H48" s="43" t="s">
        <v>306</v>
      </c>
      <c r="I48" s="43" t="s">
        <v>186</v>
      </c>
      <c r="J48" s="43" t="s">
        <v>186</v>
      </c>
      <c r="K48" s="49" t="s">
        <v>307</v>
      </c>
      <c r="L48" s="49" t="s">
        <v>463</v>
      </c>
      <c r="M48" s="43" t="s">
        <v>309</v>
      </c>
      <c r="N48" s="43" t="s">
        <v>310</v>
      </c>
      <c r="O48" s="43" t="s">
        <v>311</v>
      </c>
      <c r="P48" s="43" t="s">
        <v>312</v>
      </c>
      <c r="Q48" s="49" t="s">
        <v>313</v>
      </c>
      <c r="R48" s="43" t="s">
        <v>320</v>
      </c>
      <c r="S48" s="43" t="s">
        <v>321</v>
      </c>
      <c r="T48" s="44">
        <v>61</v>
      </c>
      <c r="U48" s="44">
        <v>2196</v>
      </c>
      <c r="V48" s="44">
        <v>2196</v>
      </c>
      <c r="W48" s="44">
        <v>1049.2</v>
      </c>
      <c r="X48" s="44">
        <v>0</v>
      </c>
      <c r="Y48" s="107">
        <v>1146.8</v>
      </c>
      <c r="Z48" s="44">
        <v>1146.8</v>
      </c>
    </row>
    <row r="49" spans="1:26" x14ac:dyDescent="0.25">
      <c r="A49" s="43">
        <v>2025</v>
      </c>
      <c r="B49" s="43" t="s">
        <v>292</v>
      </c>
      <c r="C49" s="106" t="s">
        <v>464</v>
      </c>
      <c r="D49" s="43" t="s">
        <v>369</v>
      </c>
      <c r="E49" s="43" t="s">
        <v>465</v>
      </c>
      <c r="F49" s="43" t="s">
        <v>325</v>
      </c>
      <c r="G49" s="43" t="s">
        <v>325</v>
      </c>
      <c r="H49" s="43" t="s">
        <v>306</v>
      </c>
      <c r="I49" s="43" t="s">
        <v>186</v>
      </c>
      <c r="J49" s="43" t="s">
        <v>186</v>
      </c>
      <c r="K49" s="49" t="s">
        <v>307</v>
      </c>
      <c r="L49" s="49" t="s">
        <v>466</v>
      </c>
      <c r="M49" s="43" t="s">
        <v>309</v>
      </c>
      <c r="N49" s="43" t="s">
        <v>310</v>
      </c>
      <c r="O49" s="43" t="s">
        <v>311</v>
      </c>
      <c r="P49" s="43" t="s">
        <v>312</v>
      </c>
      <c r="Q49" s="49" t="s">
        <v>313</v>
      </c>
      <c r="R49" s="43" t="s">
        <v>327</v>
      </c>
      <c r="S49" s="43" t="s">
        <v>328</v>
      </c>
      <c r="T49" s="44">
        <v>72</v>
      </c>
      <c r="U49" s="44">
        <v>2592</v>
      </c>
      <c r="V49" s="44">
        <v>2592</v>
      </c>
      <c r="W49" s="44">
        <v>1260</v>
      </c>
      <c r="X49" s="44">
        <v>0</v>
      </c>
      <c r="Y49" s="107">
        <v>1332</v>
      </c>
      <c r="Z49" s="44">
        <v>1332</v>
      </c>
    </row>
    <row r="50" spans="1:26" x14ac:dyDescent="0.25">
      <c r="A50" s="43">
        <v>2025</v>
      </c>
      <c r="B50" s="43" t="s">
        <v>292</v>
      </c>
      <c r="C50" s="106" t="s">
        <v>467</v>
      </c>
      <c r="D50" s="43" t="s">
        <v>373</v>
      </c>
      <c r="E50" s="43" t="s">
        <v>468</v>
      </c>
      <c r="F50" s="43" t="s">
        <v>167</v>
      </c>
      <c r="G50" s="43" t="s">
        <v>167</v>
      </c>
      <c r="H50" s="43" t="s">
        <v>306</v>
      </c>
      <c r="I50" s="43" t="s">
        <v>186</v>
      </c>
      <c r="J50" s="43" t="s">
        <v>186</v>
      </c>
      <c r="K50" s="49" t="s">
        <v>307</v>
      </c>
      <c r="L50" s="49" t="s">
        <v>469</v>
      </c>
      <c r="M50" s="43" t="s">
        <v>309</v>
      </c>
      <c r="N50" s="43" t="s">
        <v>310</v>
      </c>
      <c r="O50" s="43" t="s">
        <v>311</v>
      </c>
      <c r="P50" s="43" t="s">
        <v>312</v>
      </c>
      <c r="Q50" s="49" t="s">
        <v>313</v>
      </c>
      <c r="R50" s="43" t="s">
        <v>314</v>
      </c>
      <c r="S50" s="43" t="s">
        <v>333</v>
      </c>
      <c r="T50" s="44">
        <v>83</v>
      </c>
      <c r="U50" s="44">
        <v>2905</v>
      </c>
      <c r="V50" s="44">
        <v>2905</v>
      </c>
      <c r="W50" s="44">
        <v>1394.4</v>
      </c>
      <c r="X50" s="44">
        <v>0</v>
      </c>
      <c r="Y50" s="107">
        <v>1510.6</v>
      </c>
      <c r="Z50" s="44">
        <v>1510.6</v>
      </c>
    </row>
    <row r="51" spans="1:26" x14ac:dyDescent="0.25">
      <c r="A51" s="43">
        <v>2025</v>
      </c>
      <c r="B51" s="43" t="s">
        <v>292</v>
      </c>
      <c r="C51" s="106" t="s">
        <v>470</v>
      </c>
      <c r="D51" s="43" t="s">
        <v>377</v>
      </c>
      <c r="E51" s="43" t="s">
        <v>471</v>
      </c>
      <c r="F51" s="43" t="s">
        <v>165</v>
      </c>
      <c r="G51" s="43" t="s">
        <v>165</v>
      </c>
      <c r="H51" s="43" t="s">
        <v>306</v>
      </c>
      <c r="I51" s="43" t="s">
        <v>186</v>
      </c>
      <c r="J51" s="43" t="s">
        <v>186</v>
      </c>
      <c r="K51" s="49" t="s">
        <v>307</v>
      </c>
      <c r="L51" s="49" t="s">
        <v>472</v>
      </c>
      <c r="M51" s="43" t="s">
        <v>309</v>
      </c>
      <c r="N51" s="43" t="s">
        <v>310</v>
      </c>
      <c r="O51" s="43" t="s">
        <v>311</v>
      </c>
      <c r="P51" s="43" t="s">
        <v>312</v>
      </c>
      <c r="Q51" s="49" t="s">
        <v>313</v>
      </c>
      <c r="R51" s="43" t="s">
        <v>320</v>
      </c>
      <c r="S51" s="43" t="s">
        <v>338</v>
      </c>
      <c r="T51" s="44">
        <v>94</v>
      </c>
      <c r="U51" s="44">
        <v>3196</v>
      </c>
      <c r="V51" s="44">
        <v>3196</v>
      </c>
      <c r="W51" s="44">
        <v>1551</v>
      </c>
      <c r="X51" s="44">
        <v>0</v>
      </c>
      <c r="Y51" s="107">
        <v>1645</v>
      </c>
      <c r="Z51" s="44">
        <v>1645</v>
      </c>
    </row>
    <row r="52" spans="1:26" x14ac:dyDescent="0.25">
      <c r="A52" s="43">
        <v>2025</v>
      </c>
      <c r="B52" s="43" t="s">
        <v>293</v>
      </c>
      <c r="C52" s="106" t="s">
        <v>473</v>
      </c>
      <c r="D52" s="43" t="s">
        <v>304</v>
      </c>
      <c r="E52" s="43" t="s">
        <v>474</v>
      </c>
      <c r="F52" s="43" t="s">
        <v>158</v>
      </c>
      <c r="G52" s="43" t="s">
        <v>158</v>
      </c>
      <c r="H52" s="43" t="s">
        <v>306</v>
      </c>
      <c r="I52" s="43" t="s">
        <v>186</v>
      </c>
      <c r="J52" s="43" t="s">
        <v>186</v>
      </c>
      <c r="K52" s="49" t="s">
        <v>307</v>
      </c>
      <c r="L52" s="49" t="s">
        <v>475</v>
      </c>
      <c r="M52" s="43" t="s">
        <v>309</v>
      </c>
      <c r="N52" s="43" t="s">
        <v>310</v>
      </c>
      <c r="O52" s="43" t="s">
        <v>311</v>
      </c>
      <c r="P52" s="43" t="s">
        <v>312</v>
      </c>
      <c r="Q52" s="49" t="s">
        <v>313</v>
      </c>
      <c r="R52" s="43" t="s">
        <v>314</v>
      </c>
      <c r="S52" s="43" t="s">
        <v>315</v>
      </c>
      <c r="T52" s="44">
        <v>50</v>
      </c>
      <c r="U52" s="44">
        <v>1900</v>
      </c>
      <c r="V52" s="44">
        <v>1900</v>
      </c>
      <c r="W52" s="44">
        <v>925</v>
      </c>
      <c r="X52" s="44">
        <v>0</v>
      </c>
      <c r="Y52" s="107">
        <v>975</v>
      </c>
      <c r="Z52" s="44">
        <v>975</v>
      </c>
    </row>
    <row r="53" spans="1:26" x14ac:dyDescent="0.25">
      <c r="A53" s="43">
        <v>2025</v>
      </c>
      <c r="B53" s="43" t="s">
        <v>293</v>
      </c>
      <c r="C53" s="106" t="s">
        <v>476</v>
      </c>
      <c r="D53" s="43" t="s">
        <v>317</v>
      </c>
      <c r="E53" s="43" t="s">
        <v>477</v>
      </c>
      <c r="F53" s="43" t="s">
        <v>163</v>
      </c>
      <c r="G53" s="43" t="s">
        <v>163</v>
      </c>
      <c r="H53" s="43" t="s">
        <v>306</v>
      </c>
      <c r="I53" s="43" t="s">
        <v>186</v>
      </c>
      <c r="J53" s="43" t="s">
        <v>186</v>
      </c>
      <c r="K53" s="49" t="s">
        <v>307</v>
      </c>
      <c r="L53" s="49" t="s">
        <v>478</v>
      </c>
      <c r="M53" s="43" t="s">
        <v>309</v>
      </c>
      <c r="N53" s="43" t="s">
        <v>310</v>
      </c>
      <c r="O53" s="43" t="s">
        <v>311</v>
      </c>
      <c r="P53" s="43" t="s">
        <v>312</v>
      </c>
      <c r="Q53" s="49" t="s">
        <v>313</v>
      </c>
      <c r="R53" s="43" t="s">
        <v>320</v>
      </c>
      <c r="S53" s="43" t="s">
        <v>321</v>
      </c>
      <c r="T53" s="44">
        <v>61</v>
      </c>
      <c r="U53" s="44">
        <v>2196</v>
      </c>
      <c r="V53" s="44">
        <v>2196</v>
      </c>
      <c r="W53" s="44">
        <v>1049.2</v>
      </c>
      <c r="X53" s="44">
        <v>0</v>
      </c>
      <c r="Y53" s="107">
        <v>1146.8</v>
      </c>
      <c r="Z53" s="44">
        <v>1146.8</v>
      </c>
    </row>
    <row r="54" spans="1:26" x14ac:dyDescent="0.25">
      <c r="A54" s="43">
        <v>2025</v>
      </c>
      <c r="B54" s="43" t="s">
        <v>293</v>
      </c>
      <c r="C54" s="106" t="s">
        <v>479</v>
      </c>
      <c r="D54" s="43" t="s">
        <v>323</v>
      </c>
      <c r="E54" s="43" t="s">
        <v>480</v>
      </c>
      <c r="F54" s="43" t="s">
        <v>325</v>
      </c>
      <c r="G54" s="43" t="s">
        <v>325</v>
      </c>
      <c r="H54" s="43" t="s">
        <v>306</v>
      </c>
      <c r="I54" s="43" t="s">
        <v>186</v>
      </c>
      <c r="J54" s="43" t="s">
        <v>186</v>
      </c>
      <c r="K54" s="49" t="s">
        <v>307</v>
      </c>
      <c r="L54" s="49" t="s">
        <v>481</v>
      </c>
      <c r="M54" s="43" t="s">
        <v>309</v>
      </c>
      <c r="N54" s="43" t="s">
        <v>310</v>
      </c>
      <c r="O54" s="43" t="s">
        <v>311</v>
      </c>
      <c r="P54" s="43" t="s">
        <v>312</v>
      </c>
      <c r="Q54" s="49" t="s">
        <v>313</v>
      </c>
      <c r="R54" s="43" t="s">
        <v>327</v>
      </c>
      <c r="S54" s="43" t="s">
        <v>328</v>
      </c>
      <c r="T54" s="44">
        <v>72</v>
      </c>
      <c r="U54" s="44">
        <v>2592</v>
      </c>
      <c r="V54" s="44">
        <v>2592</v>
      </c>
      <c r="W54" s="44">
        <v>1260</v>
      </c>
      <c r="X54" s="44">
        <v>0</v>
      </c>
      <c r="Y54" s="107">
        <v>1332</v>
      </c>
      <c r="Z54" s="44">
        <v>1332</v>
      </c>
    </row>
    <row r="55" spans="1:26" x14ac:dyDescent="0.25">
      <c r="A55" s="43">
        <v>2025</v>
      </c>
      <c r="B55" s="43" t="s">
        <v>293</v>
      </c>
      <c r="C55" s="106" t="s">
        <v>482</v>
      </c>
      <c r="D55" s="43" t="s">
        <v>330</v>
      </c>
      <c r="E55" s="43" t="s">
        <v>483</v>
      </c>
      <c r="F55" s="43" t="s">
        <v>167</v>
      </c>
      <c r="G55" s="43" t="s">
        <v>167</v>
      </c>
      <c r="H55" s="43" t="s">
        <v>306</v>
      </c>
      <c r="I55" s="43" t="s">
        <v>186</v>
      </c>
      <c r="J55" s="43" t="s">
        <v>186</v>
      </c>
      <c r="K55" s="49" t="s">
        <v>307</v>
      </c>
      <c r="L55" s="49" t="s">
        <v>484</v>
      </c>
      <c r="M55" s="43" t="s">
        <v>309</v>
      </c>
      <c r="N55" s="43" t="s">
        <v>310</v>
      </c>
      <c r="O55" s="43" t="s">
        <v>311</v>
      </c>
      <c r="P55" s="43" t="s">
        <v>312</v>
      </c>
      <c r="Q55" s="49" t="s">
        <v>313</v>
      </c>
      <c r="R55" s="43" t="s">
        <v>314</v>
      </c>
      <c r="S55" s="43" t="s">
        <v>333</v>
      </c>
      <c r="T55" s="44">
        <v>83</v>
      </c>
      <c r="U55" s="44">
        <v>2905</v>
      </c>
      <c r="V55" s="44">
        <v>2905</v>
      </c>
      <c r="W55" s="44">
        <v>1394.4</v>
      </c>
      <c r="X55" s="44">
        <v>0</v>
      </c>
      <c r="Y55" s="107">
        <v>1510.6</v>
      </c>
      <c r="Z55" s="44">
        <v>1510.6</v>
      </c>
    </row>
    <row r="56" spans="1:26" x14ac:dyDescent="0.25">
      <c r="A56" s="43">
        <v>2025</v>
      </c>
      <c r="B56" s="43" t="s">
        <v>293</v>
      </c>
      <c r="C56" s="106" t="s">
        <v>485</v>
      </c>
      <c r="D56" s="43" t="s">
        <v>335</v>
      </c>
      <c r="E56" s="43" t="s">
        <v>486</v>
      </c>
      <c r="F56" s="43" t="s">
        <v>165</v>
      </c>
      <c r="G56" s="43" t="s">
        <v>165</v>
      </c>
      <c r="H56" s="43" t="s">
        <v>306</v>
      </c>
      <c r="I56" s="43" t="s">
        <v>186</v>
      </c>
      <c r="J56" s="43" t="s">
        <v>186</v>
      </c>
      <c r="K56" s="49" t="s">
        <v>307</v>
      </c>
      <c r="L56" s="49" t="s">
        <v>487</v>
      </c>
      <c r="M56" s="43" t="s">
        <v>309</v>
      </c>
      <c r="N56" s="43" t="s">
        <v>310</v>
      </c>
      <c r="O56" s="43" t="s">
        <v>311</v>
      </c>
      <c r="P56" s="43" t="s">
        <v>312</v>
      </c>
      <c r="Q56" s="49" t="s">
        <v>313</v>
      </c>
      <c r="R56" s="43" t="s">
        <v>320</v>
      </c>
      <c r="S56" s="43" t="s">
        <v>338</v>
      </c>
      <c r="T56" s="44">
        <v>94</v>
      </c>
      <c r="U56" s="44">
        <v>3196</v>
      </c>
      <c r="V56" s="44">
        <v>3196</v>
      </c>
      <c r="W56" s="44">
        <v>1551</v>
      </c>
      <c r="X56" s="44">
        <v>0</v>
      </c>
      <c r="Y56" s="107">
        <v>1645</v>
      </c>
      <c r="Z56" s="44">
        <v>1645</v>
      </c>
    </row>
    <row r="57" spans="1:26" x14ac:dyDescent="0.25">
      <c r="A57" s="43">
        <v>2025</v>
      </c>
      <c r="B57" s="43" t="s">
        <v>294</v>
      </c>
      <c r="C57" s="106" t="s">
        <v>488</v>
      </c>
      <c r="D57" s="43" t="s">
        <v>341</v>
      </c>
      <c r="E57" s="43" t="s">
        <v>489</v>
      </c>
      <c r="F57" s="43" t="s">
        <v>158</v>
      </c>
      <c r="G57" s="43" t="s">
        <v>158</v>
      </c>
      <c r="H57" s="43" t="s">
        <v>306</v>
      </c>
      <c r="I57" s="43" t="s">
        <v>186</v>
      </c>
      <c r="J57" s="43" t="s">
        <v>186</v>
      </c>
      <c r="K57" s="49" t="s">
        <v>307</v>
      </c>
      <c r="L57" s="49" t="s">
        <v>490</v>
      </c>
      <c r="M57" s="43" t="s">
        <v>309</v>
      </c>
      <c r="N57" s="43" t="s">
        <v>310</v>
      </c>
      <c r="O57" s="43" t="s">
        <v>311</v>
      </c>
      <c r="P57" s="43" t="s">
        <v>312</v>
      </c>
      <c r="Q57" s="49" t="s">
        <v>313</v>
      </c>
      <c r="R57" s="43" t="s">
        <v>314</v>
      </c>
      <c r="S57" s="43" t="s">
        <v>315</v>
      </c>
      <c r="T57" s="44">
        <v>50</v>
      </c>
      <c r="U57" s="44">
        <v>1900</v>
      </c>
      <c r="V57" s="44">
        <v>1900</v>
      </c>
      <c r="W57" s="44">
        <v>925</v>
      </c>
      <c r="X57" s="44">
        <v>0</v>
      </c>
      <c r="Y57" s="107">
        <v>975</v>
      </c>
      <c r="Z57" s="44">
        <v>975</v>
      </c>
    </row>
    <row r="58" spans="1:26" x14ac:dyDescent="0.25">
      <c r="A58" s="43">
        <v>2025</v>
      </c>
      <c r="B58" s="43" t="s">
        <v>294</v>
      </c>
      <c r="C58" s="106" t="s">
        <v>491</v>
      </c>
      <c r="D58" s="43" t="s">
        <v>345</v>
      </c>
      <c r="E58" s="43" t="s">
        <v>492</v>
      </c>
      <c r="F58" s="43" t="s">
        <v>163</v>
      </c>
      <c r="G58" s="43" t="s">
        <v>163</v>
      </c>
      <c r="H58" s="43" t="s">
        <v>306</v>
      </c>
      <c r="I58" s="43" t="s">
        <v>186</v>
      </c>
      <c r="J58" s="43" t="s">
        <v>186</v>
      </c>
      <c r="K58" s="49" t="s">
        <v>307</v>
      </c>
      <c r="L58" s="49" t="s">
        <v>493</v>
      </c>
      <c r="M58" s="43" t="s">
        <v>309</v>
      </c>
      <c r="N58" s="43" t="s">
        <v>310</v>
      </c>
      <c r="O58" s="43" t="s">
        <v>311</v>
      </c>
      <c r="P58" s="43" t="s">
        <v>312</v>
      </c>
      <c r="Q58" s="49" t="s">
        <v>313</v>
      </c>
      <c r="R58" s="43" t="s">
        <v>320</v>
      </c>
      <c r="S58" s="43" t="s">
        <v>321</v>
      </c>
      <c r="T58" s="44">
        <v>61</v>
      </c>
      <c r="U58" s="44">
        <v>2196</v>
      </c>
      <c r="V58" s="44">
        <v>2196</v>
      </c>
      <c r="W58" s="44">
        <v>1049.2</v>
      </c>
      <c r="X58" s="44">
        <v>0</v>
      </c>
      <c r="Y58" s="107">
        <v>1146.8</v>
      </c>
      <c r="Z58" s="44">
        <v>1146.8</v>
      </c>
    </row>
    <row r="59" spans="1:26" x14ac:dyDescent="0.25">
      <c r="A59" s="43">
        <v>2025</v>
      </c>
      <c r="B59" s="43" t="s">
        <v>294</v>
      </c>
      <c r="C59" s="106" t="s">
        <v>494</v>
      </c>
      <c r="D59" s="43" t="s">
        <v>349</v>
      </c>
      <c r="E59" s="43" t="s">
        <v>495</v>
      </c>
      <c r="F59" s="43" t="s">
        <v>325</v>
      </c>
      <c r="G59" s="43" t="s">
        <v>325</v>
      </c>
      <c r="H59" s="43" t="s">
        <v>306</v>
      </c>
      <c r="I59" s="43" t="s">
        <v>186</v>
      </c>
      <c r="J59" s="43" t="s">
        <v>186</v>
      </c>
      <c r="K59" s="49" t="s">
        <v>307</v>
      </c>
      <c r="L59" s="49" t="s">
        <v>496</v>
      </c>
      <c r="M59" s="43" t="s">
        <v>309</v>
      </c>
      <c r="N59" s="43" t="s">
        <v>310</v>
      </c>
      <c r="O59" s="43" t="s">
        <v>311</v>
      </c>
      <c r="P59" s="43" t="s">
        <v>312</v>
      </c>
      <c r="Q59" s="49" t="s">
        <v>313</v>
      </c>
      <c r="R59" s="43" t="s">
        <v>327</v>
      </c>
      <c r="S59" s="43" t="s">
        <v>328</v>
      </c>
      <c r="T59" s="44">
        <v>72</v>
      </c>
      <c r="U59" s="44">
        <v>2592</v>
      </c>
      <c r="V59" s="44">
        <v>2592</v>
      </c>
      <c r="W59" s="44">
        <v>1260</v>
      </c>
      <c r="X59" s="44">
        <v>0</v>
      </c>
      <c r="Y59" s="107">
        <v>1332</v>
      </c>
      <c r="Z59" s="44">
        <v>1332</v>
      </c>
    </row>
    <row r="60" spans="1:26" x14ac:dyDescent="0.25">
      <c r="A60" s="43">
        <v>2025</v>
      </c>
      <c r="B60" s="43" t="s">
        <v>294</v>
      </c>
      <c r="C60" s="106" t="s">
        <v>497</v>
      </c>
      <c r="D60" s="43" t="s">
        <v>353</v>
      </c>
      <c r="E60" s="43" t="s">
        <v>498</v>
      </c>
      <c r="F60" s="43" t="s">
        <v>167</v>
      </c>
      <c r="G60" s="43" t="s">
        <v>167</v>
      </c>
      <c r="H60" s="43" t="s">
        <v>306</v>
      </c>
      <c r="I60" s="43" t="s">
        <v>186</v>
      </c>
      <c r="J60" s="43" t="s">
        <v>186</v>
      </c>
      <c r="K60" s="49" t="s">
        <v>307</v>
      </c>
      <c r="L60" s="49" t="s">
        <v>499</v>
      </c>
      <c r="M60" s="43" t="s">
        <v>309</v>
      </c>
      <c r="N60" s="43" t="s">
        <v>310</v>
      </c>
      <c r="O60" s="43" t="s">
        <v>311</v>
      </c>
      <c r="P60" s="43" t="s">
        <v>312</v>
      </c>
      <c r="Q60" s="49" t="s">
        <v>313</v>
      </c>
      <c r="R60" s="43" t="s">
        <v>314</v>
      </c>
      <c r="S60" s="43" t="s">
        <v>333</v>
      </c>
      <c r="T60" s="44">
        <v>83</v>
      </c>
      <c r="U60" s="44">
        <v>2905</v>
      </c>
      <c r="V60" s="44">
        <v>2905</v>
      </c>
      <c r="W60" s="44">
        <v>1394.4</v>
      </c>
      <c r="X60" s="44">
        <v>0</v>
      </c>
      <c r="Y60" s="107">
        <v>1510.6</v>
      </c>
      <c r="Z60" s="44">
        <v>1510.6</v>
      </c>
    </row>
    <row r="61" spans="1:26" x14ac:dyDescent="0.25">
      <c r="A61" s="43">
        <v>2025</v>
      </c>
      <c r="B61" s="43" t="s">
        <v>294</v>
      </c>
      <c r="C61" s="106" t="s">
        <v>500</v>
      </c>
      <c r="D61" s="43" t="s">
        <v>357</v>
      </c>
      <c r="E61" s="43" t="s">
        <v>501</v>
      </c>
      <c r="F61" s="43" t="s">
        <v>165</v>
      </c>
      <c r="G61" s="43" t="s">
        <v>165</v>
      </c>
      <c r="H61" s="43" t="s">
        <v>306</v>
      </c>
      <c r="I61" s="43" t="s">
        <v>186</v>
      </c>
      <c r="J61" s="43" t="s">
        <v>186</v>
      </c>
      <c r="K61" s="49" t="s">
        <v>307</v>
      </c>
      <c r="L61" s="49" t="s">
        <v>502</v>
      </c>
      <c r="M61" s="43" t="s">
        <v>309</v>
      </c>
      <c r="N61" s="43" t="s">
        <v>310</v>
      </c>
      <c r="O61" s="43" t="s">
        <v>311</v>
      </c>
      <c r="P61" s="43" t="s">
        <v>312</v>
      </c>
      <c r="Q61" s="49" t="s">
        <v>313</v>
      </c>
      <c r="R61" s="43" t="s">
        <v>320</v>
      </c>
      <c r="S61" s="43" t="s">
        <v>338</v>
      </c>
      <c r="T61" s="44">
        <v>94</v>
      </c>
      <c r="U61" s="44">
        <v>3196</v>
      </c>
      <c r="V61" s="44">
        <v>3196</v>
      </c>
      <c r="W61" s="44">
        <v>1551</v>
      </c>
      <c r="X61" s="44">
        <v>0</v>
      </c>
      <c r="Y61" s="107">
        <v>1645</v>
      </c>
      <c r="Z61" s="44">
        <v>1645</v>
      </c>
    </row>
    <row r="62" spans="1:26" x14ac:dyDescent="0.25">
      <c r="A62" s="43">
        <v>2025</v>
      </c>
      <c r="B62" s="43" t="s">
        <v>503</v>
      </c>
      <c r="C62" s="106" t="s">
        <v>504</v>
      </c>
      <c r="D62" s="43" t="s">
        <v>361</v>
      </c>
      <c r="E62" s="43" t="s">
        <v>505</v>
      </c>
      <c r="F62" s="43" t="s">
        <v>158</v>
      </c>
      <c r="G62" s="43" t="s">
        <v>158</v>
      </c>
      <c r="H62" s="43" t="s">
        <v>306</v>
      </c>
      <c r="I62" s="43" t="s">
        <v>186</v>
      </c>
      <c r="J62" s="43" t="s">
        <v>186</v>
      </c>
      <c r="K62" s="49" t="s">
        <v>307</v>
      </c>
      <c r="L62" s="49" t="s">
        <v>506</v>
      </c>
      <c r="M62" s="43" t="s">
        <v>309</v>
      </c>
      <c r="N62" s="43" t="s">
        <v>310</v>
      </c>
      <c r="O62" s="43" t="s">
        <v>311</v>
      </c>
      <c r="P62" s="43" t="s">
        <v>312</v>
      </c>
      <c r="Q62" s="49" t="s">
        <v>313</v>
      </c>
      <c r="R62" s="43" t="s">
        <v>314</v>
      </c>
      <c r="S62" s="43" t="s">
        <v>315</v>
      </c>
      <c r="T62" s="44">
        <v>50</v>
      </c>
      <c r="U62" s="44">
        <v>1900</v>
      </c>
      <c r="V62" s="44">
        <v>1900</v>
      </c>
      <c r="W62" s="44">
        <v>925</v>
      </c>
      <c r="X62" s="44">
        <v>0</v>
      </c>
      <c r="Y62" s="107">
        <v>975</v>
      </c>
      <c r="Z62" s="44">
        <v>975</v>
      </c>
    </row>
    <row r="63" spans="1:26" x14ac:dyDescent="0.25">
      <c r="A63" s="43">
        <v>2025</v>
      </c>
      <c r="B63" s="43" t="s">
        <v>503</v>
      </c>
      <c r="C63" s="106" t="s">
        <v>507</v>
      </c>
      <c r="D63" s="43" t="s">
        <v>365</v>
      </c>
      <c r="E63" s="43" t="s">
        <v>508</v>
      </c>
      <c r="F63" s="43" t="s">
        <v>163</v>
      </c>
      <c r="G63" s="43" t="s">
        <v>163</v>
      </c>
      <c r="H63" s="43" t="s">
        <v>306</v>
      </c>
      <c r="I63" s="43" t="s">
        <v>186</v>
      </c>
      <c r="J63" s="43" t="s">
        <v>186</v>
      </c>
      <c r="K63" s="49" t="s">
        <v>307</v>
      </c>
      <c r="L63" s="49" t="s">
        <v>509</v>
      </c>
      <c r="M63" s="43" t="s">
        <v>309</v>
      </c>
      <c r="N63" s="43" t="s">
        <v>310</v>
      </c>
      <c r="O63" s="43" t="s">
        <v>311</v>
      </c>
      <c r="P63" s="43" t="s">
        <v>312</v>
      </c>
      <c r="Q63" s="49" t="s">
        <v>313</v>
      </c>
      <c r="R63" s="43" t="s">
        <v>320</v>
      </c>
      <c r="S63" s="43" t="s">
        <v>321</v>
      </c>
      <c r="T63" s="44">
        <v>61</v>
      </c>
      <c r="U63" s="44">
        <v>2196</v>
      </c>
      <c r="V63" s="44">
        <v>2196</v>
      </c>
      <c r="W63" s="44">
        <v>1049.2</v>
      </c>
      <c r="X63" s="44">
        <v>0</v>
      </c>
      <c r="Y63" s="107">
        <v>1146.8</v>
      </c>
      <c r="Z63" s="44">
        <v>1146.8</v>
      </c>
    </row>
    <row r="64" spans="1:26" x14ac:dyDescent="0.25">
      <c r="A64" s="43">
        <v>2025</v>
      </c>
      <c r="B64" s="43" t="s">
        <v>503</v>
      </c>
      <c r="C64" s="106" t="s">
        <v>510</v>
      </c>
      <c r="D64" s="43" t="s">
        <v>369</v>
      </c>
      <c r="E64" s="43" t="s">
        <v>511</v>
      </c>
      <c r="F64" s="43" t="s">
        <v>325</v>
      </c>
      <c r="G64" s="43" t="s">
        <v>325</v>
      </c>
      <c r="H64" s="43" t="s">
        <v>306</v>
      </c>
      <c r="I64" s="43" t="s">
        <v>186</v>
      </c>
      <c r="J64" s="43" t="s">
        <v>186</v>
      </c>
      <c r="K64" s="49" t="s">
        <v>307</v>
      </c>
      <c r="L64" s="49" t="s">
        <v>512</v>
      </c>
      <c r="M64" s="43" t="s">
        <v>309</v>
      </c>
      <c r="N64" s="43" t="s">
        <v>310</v>
      </c>
      <c r="O64" s="43" t="s">
        <v>311</v>
      </c>
      <c r="P64" s="43" t="s">
        <v>312</v>
      </c>
      <c r="Q64" s="49" t="s">
        <v>313</v>
      </c>
      <c r="R64" s="43" t="s">
        <v>327</v>
      </c>
      <c r="S64" s="43" t="s">
        <v>328</v>
      </c>
      <c r="T64" s="44">
        <v>72</v>
      </c>
      <c r="U64" s="44">
        <v>2592</v>
      </c>
      <c r="V64" s="44">
        <v>2592</v>
      </c>
      <c r="W64" s="44">
        <v>1260</v>
      </c>
      <c r="X64" s="44">
        <v>0</v>
      </c>
      <c r="Y64" s="107">
        <v>1332</v>
      </c>
      <c r="Z64" s="44">
        <v>1332</v>
      </c>
    </row>
    <row r="65" spans="1:26" x14ac:dyDescent="0.25">
      <c r="A65" s="43">
        <v>2025</v>
      </c>
      <c r="B65" s="43" t="s">
        <v>503</v>
      </c>
      <c r="C65" s="106" t="s">
        <v>513</v>
      </c>
      <c r="D65" s="43" t="s">
        <v>373</v>
      </c>
      <c r="E65" s="43" t="s">
        <v>514</v>
      </c>
      <c r="F65" s="43" t="s">
        <v>167</v>
      </c>
      <c r="G65" s="43" t="s">
        <v>167</v>
      </c>
      <c r="H65" s="43" t="s">
        <v>306</v>
      </c>
      <c r="I65" s="43" t="s">
        <v>186</v>
      </c>
      <c r="J65" s="43" t="s">
        <v>186</v>
      </c>
      <c r="K65" s="49" t="s">
        <v>307</v>
      </c>
      <c r="L65" s="49" t="s">
        <v>515</v>
      </c>
      <c r="M65" s="43" t="s">
        <v>309</v>
      </c>
      <c r="N65" s="43" t="s">
        <v>310</v>
      </c>
      <c r="O65" s="43" t="s">
        <v>311</v>
      </c>
      <c r="P65" s="43" t="s">
        <v>312</v>
      </c>
      <c r="Q65" s="49" t="s">
        <v>313</v>
      </c>
      <c r="R65" s="43" t="s">
        <v>314</v>
      </c>
      <c r="S65" s="43" t="s">
        <v>333</v>
      </c>
      <c r="T65" s="44">
        <v>83</v>
      </c>
      <c r="U65" s="44">
        <v>2905</v>
      </c>
      <c r="V65" s="44">
        <v>2905</v>
      </c>
      <c r="W65" s="44">
        <v>1394.4</v>
      </c>
      <c r="X65" s="44">
        <v>0</v>
      </c>
      <c r="Y65" s="107">
        <v>1510.6</v>
      </c>
      <c r="Z65" s="44">
        <v>1510.6</v>
      </c>
    </row>
    <row r="66" spans="1:26" x14ac:dyDescent="0.25">
      <c r="A66" s="43">
        <v>2025</v>
      </c>
      <c r="B66" s="43" t="s">
        <v>503</v>
      </c>
      <c r="C66" s="106" t="s">
        <v>516</v>
      </c>
      <c r="D66" s="43" t="s">
        <v>377</v>
      </c>
      <c r="E66" s="43" t="s">
        <v>517</v>
      </c>
      <c r="F66" s="43" t="s">
        <v>165</v>
      </c>
      <c r="G66" s="43" t="s">
        <v>165</v>
      </c>
      <c r="H66" s="43" t="s">
        <v>306</v>
      </c>
      <c r="I66" s="43" t="s">
        <v>186</v>
      </c>
      <c r="J66" s="43" t="s">
        <v>186</v>
      </c>
      <c r="K66" s="49" t="s">
        <v>307</v>
      </c>
      <c r="L66" s="49" t="s">
        <v>518</v>
      </c>
      <c r="M66" s="43" t="s">
        <v>309</v>
      </c>
      <c r="N66" s="43" t="s">
        <v>310</v>
      </c>
      <c r="O66" s="43" t="s">
        <v>311</v>
      </c>
      <c r="P66" s="43" t="s">
        <v>312</v>
      </c>
      <c r="Q66" s="49" t="s">
        <v>313</v>
      </c>
      <c r="R66" s="43" t="s">
        <v>320</v>
      </c>
      <c r="S66" s="43" t="s">
        <v>338</v>
      </c>
      <c r="T66" s="44">
        <v>94</v>
      </c>
      <c r="U66" s="44">
        <v>3196</v>
      </c>
      <c r="V66" s="44">
        <v>3196</v>
      </c>
      <c r="W66" s="44">
        <v>1551</v>
      </c>
      <c r="X66" s="44">
        <v>0</v>
      </c>
      <c r="Y66" s="107">
        <v>1645</v>
      </c>
      <c r="Z66" s="44">
        <v>1645</v>
      </c>
    </row>
    <row r="67" spans="1:26" x14ac:dyDescent="0.25">
      <c r="A67" s="43">
        <v>2026</v>
      </c>
      <c r="B67" s="43" t="s">
        <v>302</v>
      </c>
      <c r="C67" s="106" t="s">
        <v>519</v>
      </c>
      <c r="D67" s="43" t="s">
        <v>304</v>
      </c>
      <c r="E67" s="43" t="s">
        <v>520</v>
      </c>
      <c r="F67" s="43" t="s">
        <v>158</v>
      </c>
      <c r="G67" s="43" t="s">
        <v>158</v>
      </c>
      <c r="H67" s="43" t="s">
        <v>306</v>
      </c>
      <c r="I67" s="43" t="s">
        <v>186</v>
      </c>
      <c r="J67" s="43" t="s">
        <v>186</v>
      </c>
      <c r="K67" s="49" t="s">
        <v>307</v>
      </c>
      <c r="L67" s="49" t="s">
        <v>521</v>
      </c>
      <c r="M67" s="43" t="s">
        <v>309</v>
      </c>
      <c r="N67" s="43" t="s">
        <v>310</v>
      </c>
      <c r="O67" s="43" t="s">
        <v>311</v>
      </c>
      <c r="P67" s="43" t="s">
        <v>312</v>
      </c>
      <c r="Q67" s="49" t="s">
        <v>313</v>
      </c>
      <c r="R67" s="43" t="s">
        <v>314</v>
      </c>
      <c r="S67" s="43" t="s">
        <v>315</v>
      </c>
      <c r="T67" s="44">
        <v>50</v>
      </c>
      <c r="U67" s="44">
        <v>1900</v>
      </c>
      <c r="V67" s="44">
        <v>1900</v>
      </c>
      <c r="W67" s="44">
        <v>925</v>
      </c>
      <c r="X67" s="44">
        <v>0</v>
      </c>
      <c r="Y67" s="107">
        <v>975</v>
      </c>
      <c r="Z67" s="44">
        <v>975</v>
      </c>
    </row>
    <row r="68" spans="1:26" x14ac:dyDescent="0.25">
      <c r="A68" s="43">
        <v>2026</v>
      </c>
      <c r="B68" s="43" t="s">
        <v>302</v>
      </c>
      <c r="C68" s="106" t="s">
        <v>522</v>
      </c>
      <c r="D68" s="43" t="s">
        <v>317</v>
      </c>
      <c r="E68" s="43" t="s">
        <v>523</v>
      </c>
      <c r="F68" s="43" t="s">
        <v>163</v>
      </c>
      <c r="G68" s="43" t="s">
        <v>163</v>
      </c>
      <c r="H68" s="43" t="s">
        <v>306</v>
      </c>
      <c r="I68" s="43" t="s">
        <v>186</v>
      </c>
      <c r="J68" s="43" t="s">
        <v>186</v>
      </c>
      <c r="K68" s="49" t="s">
        <v>307</v>
      </c>
      <c r="L68" s="49" t="s">
        <v>524</v>
      </c>
      <c r="M68" s="43" t="s">
        <v>309</v>
      </c>
      <c r="N68" s="43" t="s">
        <v>310</v>
      </c>
      <c r="O68" s="43" t="s">
        <v>311</v>
      </c>
      <c r="P68" s="43" t="s">
        <v>312</v>
      </c>
      <c r="Q68" s="49" t="s">
        <v>313</v>
      </c>
      <c r="R68" s="43" t="s">
        <v>320</v>
      </c>
      <c r="S68" s="43" t="s">
        <v>321</v>
      </c>
      <c r="T68" s="44">
        <v>61</v>
      </c>
      <c r="U68" s="44">
        <v>2196</v>
      </c>
      <c r="V68" s="44">
        <v>2196</v>
      </c>
      <c r="W68" s="44">
        <v>1049.2</v>
      </c>
      <c r="X68" s="44">
        <v>0</v>
      </c>
      <c r="Y68" s="107">
        <v>1146.8</v>
      </c>
      <c r="Z68" s="44">
        <v>1146.8</v>
      </c>
    </row>
    <row r="69" spans="1:26" x14ac:dyDescent="0.25">
      <c r="A69" s="43">
        <v>2026</v>
      </c>
      <c r="B69" s="43" t="s">
        <v>302</v>
      </c>
      <c r="C69" s="106" t="s">
        <v>525</v>
      </c>
      <c r="D69" s="43" t="s">
        <v>323</v>
      </c>
      <c r="E69" s="43" t="s">
        <v>526</v>
      </c>
      <c r="F69" s="43" t="s">
        <v>325</v>
      </c>
      <c r="G69" s="43" t="s">
        <v>325</v>
      </c>
      <c r="H69" s="43" t="s">
        <v>306</v>
      </c>
      <c r="I69" s="43" t="s">
        <v>186</v>
      </c>
      <c r="J69" s="43" t="s">
        <v>186</v>
      </c>
      <c r="K69" s="49" t="s">
        <v>307</v>
      </c>
      <c r="L69" s="49" t="s">
        <v>527</v>
      </c>
      <c r="M69" s="43" t="s">
        <v>309</v>
      </c>
      <c r="N69" s="43" t="s">
        <v>310</v>
      </c>
      <c r="O69" s="43" t="s">
        <v>311</v>
      </c>
      <c r="P69" s="43" t="s">
        <v>312</v>
      </c>
      <c r="Q69" s="49" t="s">
        <v>313</v>
      </c>
      <c r="R69" s="43" t="s">
        <v>327</v>
      </c>
      <c r="S69" s="43" t="s">
        <v>328</v>
      </c>
      <c r="T69" s="44">
        <v>72</v>
      </c>
      <c r="U69" s="44">
        <v>2592</v>
      </c>
      <c r="V69" s="44">
        <v>2592</v>
      </c>
      <c r="W69" s="44">
        <v>1260</v>
      </c>
      <c r="X69" s="44">
        <v>0</v>
      </c>
      <c r="Y69" s="107">
        <v>1332</v>
      </c>
      <c r="Z69" s="44">
        <v>1332</v>
      </c>
    </row>
    <row r="70" spans="1:26" x14ac:dyDescent="0.25">
      <c r="A70" s="43">
        <v>2026</v>
      </c>
      <c r="B70" s="43" t="s">
        <v>302</v>
      </c>
      <c r="C70" s="106" t="s">
        <v>528</v>
      </c>
      <c r="D70" s="43" t="s">
        <v>330</v>
      </c>
      <c r="E70" s="43" t="s">
        <v>529</v>
      </c>
      <c r="F70" s="43" t="s">
        <v>167</v>
      </c>
      <c r="G70" s="43" t="s">
        <v>167</v>
      </c>
      <c r="H70" s="43" t="s">
        <v>306</v>
      </c>
      <c r="I70" s="43" t="s">
        <v>186</v>
      </c>
      <c r="J70" s="43" t="s">
        <v>186</v>
      </c>
      <c r="K70" s="49" t="s">
        <v>307</v>
      </c>
      <c r="L70" s="49" t="s">
        <v>530</v>
      </c>
      <c r="M70" s="43" t="s">
        <v>309</v>
      </c>
      <c r="N70" s="43" t="s">
        <v>310</v>
      </c>
      <c r="O70" s="43" t="s">
        <v>311</v>
      </c>
      <c r="P70" s="43" t="s">
        <v>312</v>
      </c>
      <c r="Q70" s="49" t="s">
        <v>313</v>
      </c>
      <c r="R70" s="43" t="s">
        <v>314</v>
      </c>
      <c r="S70" s="43" t="s">
        <v>333</v>
      </c>
      <c r="T70" s="44">
        <v>83</v>
      </c>
      <c r="U70" s="44">
        <v>2905</v>
      </c>
      <c r="V70" s="44">
        <v>2905</v>
      </c>
      <c r="W70" s="44">
        <v>1394.4</v>
      </c>
      <c r="X70" s="44">
        <v>0</v>
      </c>
      <c r="Y70" s="107">
        <v>1510.6</v>
      </c>
      <c r="Z70" s="44">
        <v>1510.6</v>
      </c>
    </row>
    <row r="71" spans="1:26" x14ac:dyDescent="0.25">
      <c r="A71" s="43">
        <v>2026</v>
      </c>
      <c r="B71" s="43" t="s">
        <v>302</v>
      </c>
      <c r="C71" s="106" t="s">
        <v>531</v>
      </c>
      <c r="D71" s="43" t="s">
        <v>335</v>
      </c>
      <c r="E71" s="43" t="s">
        <v>532</v>
      </c>
      <c r="F71" s="43" t="s">
        <v>165</v>
      </c>
      <c r="G71" s="43" t="s">
        <v>165</v>
      </c>
      <c r="H71" s="43" t="s">
        <v>306</v>
      </c>
      <c r="I71" s="43" t="s">
        <v>186</v>
      </c>
      <c r="J71" s="43" t="s">
        <v>186</v>
      </c>
      <c r="K71" s="49" t="s">
        <v>307</v>
      </c>
      <c r="L71" s="49" t="s">
        <v>533</v>
      </c>
      <c r="M71" s="43" t="s">
        <v>309</v>
      </c>
      <c r="N71" s="43" t="s">
        <v>310</v>
      </c>
      <c r="O71" s="43" t="s">
        <v>311</v>
      </c>
      <c r="P71" s="43" t="s">
        <v>312</v>
      </c>
      <c r="Q71" s="49" t="s">
        <v>313</v>
      </c>
      <c r="R71" s="43" t="s">
        <v>320</v>
      </c>
      <c r="S71" s="43" t="s">
        <v>338</v>
      </c>
      <c r="T71" s="44">
        <v>94</v>
      </c>
      <c r="U71" s="44">
        <v>3196</v>
      </c>
      <c r="V71" s="44">
        <v>3196</v>
      </c>
      <c r="W71" s="44">
        <v>1551</v>
      </c>
      <c r="X71" s="44">
        <v>0</v>
      </c>
      <c r="Y71" s="107">
        <v>1645</v>
      </c>
      <c r="Z71" s="44">
        <v>1645</v>
      </c>
    </row>
    <row r="72" spans="1:26" x14ac:dyDescent="0.25">
      <c r="A72" s="43">
        <v>2026</v>
      </c>
      <c r="B72" s="43" t="s">
        <v>339</v>
      </c>
      <c r="C72" s="106" t="s">
        <v>534</v>
      </c>
      <c r="D72" s="43" t="s">
        <v>341</v>
      </c>
      <c r="E72" s="43" t="s">
        <v>535</v>
      </c>
      <c r="F72" s="43" t="s">
        <v>158</v>
      </c>
      <c r="G72" s="43" t="s">
        <v>158</v>
      </c>
      <c r="H72" s="43" t="s">
        <v>306</v>
      </c>
      <c r="I72" s="43" t="s">
        <v>186</v>
      </c>
      <c r="J72" s="43" t="s">
        <v>186</v>
      </c>
      <c r="K72" s="49" t="s">
        <v>307</v>
      </c>
      <c r="L72" s="49" t="s">
        <v>536</v>
      </c>
      <c r="M72" s="43" t="s">
        <v>309</v>
      </c>
      <c r="N72" s="43" t="s">
        <v>310</v>
      </c>
      <c r="O72" s="43" t="s">
        <v>311</v>
      </c>
      <c r="P72" s="43" t="s">
        <v>312</v>
      </c>
      <c r="Q72" s="49" t="s">
        <v>313</v>
      </c>
      <c r="R72" s="43" t="s">
        <v>314</v>
      </c>
      <c r="S72" s="43" t="s">
        <v>315</v>
      </c>
      <c r="T72" s="44">
        <v>50</v>
      </c>
      <c r="U72" s="44">
        <v>1900</v>
      </c>
      <c r="V72" s="44">
        <v>1900</v>
      </c>
      <c r="W72" s="44">
        <v>925</v>
      </c>
      <c r="X72" s="44">
        <v>0</v>
      </c>
      <c r="Y72" s="107">
        <v>975</v>
      </c>
      <c r="Z72" s="44">
        <v>975</v>
      </c>
    </row>
    <row r="73" spans="1:26" x14ac:dyDescent="0.25">
      <c r="A73" s="43">
        <v>2026</v>
      </c>
      <c r="B73" s="43" t="s">
        <v>339</v>
      </c>
      <c r="C73" s="106" t="s">
        <v>537</v>
      </c>
      <c r="D73" s="43" t="s">
        <v>345</v>
      </c>
      <c r="E73" s="43" t="s">
        <v>538</v>
      </c>
      <c r="F73" s="43" t="s">
        <v>163</v>
      </c>
      <c r="G73" s="43" t="s">
        <v>163</v>
      </c>
      <c r="H73" s="43" t="s">
        <v>306</v>
      </c>
      <c r="I73" s="43" t="s">
        <v>186</v>
      </c>
      <c r="J73" s="43" t="s">
        <v>186</v>
      </c>
      <c r="K73" s="49" t="s">
        <v>307</v>
      </c>
      <c r="L73" s="49" t="s">
        <v>539</v>
      </c>
      <c r="M73" s="43" t="s">
        <v>309</v>
      </c>
      <c r="N73" s="43" t="s">
        <v>310</v>
      </c>
      <c r="O73" s="43" t="s">
        <v>311</v>
      </c>
      <c r="P73" s="43" t="s">
        <v>312</v>
      </c>
      <c r="Q73" s="49" t="s">
        <v>313</v>
      </c>
      <c r="R73" s="43" t="s">
        <v>320</v>
      </c>
      <c r="S73" s="43" t="s">
        <v>321</v>
      </c>
      <c r="T73" s="44">
        <v>61</v>
      </c>
      <c r="U73" s="44">
        <v>2196</v>
      </c>
      <c r="V73" s="44">
        <v>2196</v>
      </c>
      <c r="W73" s="44">
        <v>1049.2</v>
      </c>
      <c r="X73" s="44">
        <v>0</v>
      </c>
      <c r="Y73" s="107">
        <v>1146.8</v>
      </c>
      <c r="Z73" s="44">
        <v>1146.8</v>
      </c>
    </row>
    <row r="74" spans="1:26" x14ac:dyDescent="0.25">
      <c r="A74" s="43">
        <v>2026</v>
      </c>
      <c r="B74" s="43" t="s">
        <v>339</v>
      </c>
      <c r="C74" s="106" t="s">
        <v>540</v>
      </c>
      <c r="D74" s="43" t="s">
        <v>349</v>
      </c>
      <c r="E74" s="43" t="s">
        <v>541</v>
      </c>
      <c r="F74" s="43" t="s">
        <v>325</v>
      </c>
      <c r="G74" s="43" t="s">
        <v>325</v>
      </c>
      <c r="H74" s="43" t="s">
        <v>306</v>
      </c>
      <c r="I74" s="43" t="s">
        <v>186</v>
      </c>
      <c r="J74" s="43" t="s">
        <v>186</v>
      </c>
      <c r="K74" s="49" t="s">
        <v>307</v>
      </c>
      <c r="L74" s="49" t="s">
        <v>542</v>
      </c>
      <c r="M74" s="43" t="s">
        <v>309</v>
      </c>
      <c r="N74" s="43" t="s">
        <v>310</v>
      </c>
      <c r="O74" s="43" t="s">
        <v>311</v>
      </c>
      <c r="P74" s="43" t="s">
        <v>312</v>
      </c>
      <c r="Q74" s="49" t="s">
        <v>313</v>
      </c>
      <c r="R74" s="43" t="s">
        <v>327</v>
      </c>
      <c r="S74" s="43" t="s">
        <v>328</v>
      </c>
      <c r="T74" s="44">
        <v>72</v>
      </c>
      <c r="U74" s="44">
        <v>2592</v>
      </c>
      <c r="V74" s="44">
        <v>2592</v>
      </c>
      <c r="W74" s="44">
        <v>1260</v>
      </c>
      <c r="X74" s="44">
        <v>0</v>
      </c>
      <c r="Y74" s="107">
        <v>1332</v>
      </c>
      <c r="Z74" s="44">
        <v>1332</v>
      </c>
    </row>
    <row r="75" spans="1:26" x14ac:dyDescent="0.25">
      <c r="A75" s="43">
        <v>2026</v>
      </c>
      <c r="B75" s="43" t="s">
        <v>339</v>
      </c>
      <c r="C75" s="106" t="s">
        <v>543</v>
      </c>
      <c r="D75" s="43" t="s">
        <v>353</v>
      </c>
      <c r="E75" s="43" t="s">
        <v>544</v>
      </c>
      <c r="F75" s="43" t="s">
        <v>167</v>
      </c>
      <c r="G75" s="43" t="s">
        <v>167</v>
      </c>
      <c r="H75" s="43" t="s">
        <v>306</v>
      </c>
      <c r="I75" s="43" t="s">
        <v>186</v>
      </c>
      <c r="J75" s="43" t="s">
        <v>186</v>
      </c>
      <c r="K75" s="49" t="s">
        <v>307</v>
      </c>
      <c r="L75" s="49" t="s">
        <v>545</v>
      </c>
      <c r="M75" s="43" t="s">
        <v>309</v>
      </c>
      <c r="N75" s="43" t="s">
        <v>310</v>
      </c>
      <c r="O75" s="43" t="s">
        <v>311</v>
      </c>
      <c r="P75" s="43" t="s">
        <v>312</v>
      </c>
      <c r="Q75" s="49" t="s">
        <v>313</v>
      </c>
      <c r="R75" s="43" t="s">
        <v>314</v>
      </c>
      <c r="S75" s="43" t="s">
        <v>333</v>
      </c>
      <c r="T75" s="44">
        <v>83</v>
      </c>
      <c r="U75" s="44">
        <v>2905</v>
      </c>
      <c r="V75" s="44">
        <v>2905</v>
      </c>
      <c r="W75" s="44">
        <v>1394.4</v>
      </c>
      <c r="X75" s="44">
        <v>0</v>
      </c>
      <c r="Y75" s="107">
        <v>1510.6</v>
      </c>
      <c r="Z75" s="44">
        <v>1510.6</v>
      </c>
    </row>
    <row r="76" spans="1:26" x14ac:dyDescent="0.25">
      <c r="A76" s="43">
        <v>2026</v>
      </c>
      <c r="B76" s="43" t="s">
        <v>339</v>
      </c>
      <c r="C76" s="106" t="s">
        <v>546</v>
      </c>
      <c r="D76" s="43" t="s">
        <v>357</v>
      </c>
      <c r="E76" s="43" t="s">
        <v>547</v>
      </c>
      <c r="F76" s="43" t="s">
        <v>165</v>
      </c>
      <c r="G76" s="43" t="s">
        <v>165</v>
      </c>
      <c r="H76" s="43" t="s">
        <v>306</v>
      </c>
      <c r="I76" s="43" t="s">
        <v>186</v>
      </c>
      <c r="J76" s="43" t="s">
        <v>186</v>
      </c>
      <c r="K76" s="49" t="s">
        <v>307</v>
      </c>
      <c r="L76" s="49" t="s">
        <v>548</v>
      </c>
      <c r="M76" s="43" t="s">
        <v>309</v>
      </c>
      <c r="N76" s="43" t="s">
        <v>310</v>
      </c>
      <c r="O76" s="43" t="s">
        <v>311</v>
      </c>
      <c r="P76" s="43" t="s">
        <v>312</v>
      </c>
      <c r="Q76" s="49" t="s">
        <v>313</v>
      </c>
      <c r="R76" s="43" t="s">
        <v>320</v>
      </c>
      <c r="S76" s="43" t="s">
        <v>338</v>
      </c>
      <c r="T76" s="44">
        <v>94</v>
      </c>
      <c r="U76" s="44">
        <v>3196</v>
      </c>
      <c r="V76" s="44">
        <v>3196</v>
      </c>
      <c r="W76" s="44">
        <v>1551</v>
      </c>
      <c r="X76" s="44">
        <v>0</v>
      </c>
      <c r="Y76" s="107">
        <v>1645</v>
      </c>
      <c r="Z76" s="44">
        <v>1645</v>
      </c>
    </row>
    <row r="77" spans="1:26" x14ac:dyDescent="0.25">
      <c r="A77" s="43">
        <v>2026</v>
      </c>
      <c r="B77" s="43" t="s">
        <v>290</v>
      </c>
      <c r="C77" s="106" t="s">
        <v>549</v>
      </c>
      <c r="D77" s="43" t="s">
        <v>361</v>
      </c>
      <c r="E77" s="43" t="s">
        <v>550</v>
      </c>
      <c r="F77" s="43" t="s">
        <v>158</v>
      </c>
      <c r="G77" s="43" t="s">
        <v>158</v>
      </c>
      <c r="H77" s="43" t="s">
        <v>306</v>
      </c>
      <c r="I77" s="43" t="s">
        <v>186</v>
      </c>
      <c r="J77" s="43" t="s">
        <v>186</v>
      </c>
      <c r="K77" s="49" t="s">
        <v>307</v>
      </c>
      <c r="L77" s="49" t="s">
        <v>551</v>
      </c>
      <c r="M77" s="43" t="s">
        <v>309</v>
      </c>
      <c r="N77" s="43" t="s">
        <v>310</v>
      </c>
      <c r="O77" s="43" t="s">
        <v>311</v>
      </c>
      <c r="P77" s="43" t="s">
        <v>312</v>
      </c>
      <c r="Q77" s="49" t="s">
        <v>313</v>
      </c>
      <c r="R77" s="43" t="s">
        <v>314</v>
      </c>
      <c r="S77" s="43" t="s">
        <v>315</v>
      </c>
      <c r="T77" s="44">
        <v>50</v>
      </c>
      <c r="U77" s="44">
        <v>1900</v>
      </c>
      <c r="V77" s="44">
        <v>1900</v>
      </c>
      <c r="W77" s="44">
        <v>925</v>
      </c>
      <c r="X77" s="44">
        <v>0</v>
      </c>
      <c r="Y77" s="107">
        <v>975</v>
      </c>
      <c r="Z77" s="44">
        <v>975</v>
      </c>
    </row>
    <row r="78" spans="1:26" x14ac:dyDescent="0.25">
      <c r="A78" s="43">
        <v>2026</v>
      </c>
      <c r="B78" s="43" t="s">
        <v>290</v>
      </c>
      <c r="C78" s="106" t="s">
        <v>552</v>
      </c>
      <c r="D78" s="43" t="s">
        <v>365</v>
      </c>
      <c r="E78" s="43" t="s">
        <v>553</v>
      </c>
      <c r="F78" s="43" t="s">
        <v>163</v>
      </c>
      <c r="G78" s="43" t="s">
        <v>163</v>
      </c>
      <c r="H78" s="43" t="s">
        <v>306</v>
      </c>
      <c r="I78" s="43" t="s">
        <v>186</v>
      </c>
      <c r="J78" s="43" t="s">
        <v>186</v>
      </c>
      <c r="K78" s="49" t="s">
        <v>307</v>
      </c>
      <c r="L78" s="49" t="s">
        <v>554</v>
      </c>
      <c r="M78" s="43" t="s">
        <v>309</v>
      </c>
      <c r="N78" s="43" t="s">
        <v>310</v>
      </c>
      <c r="O78" s="43" t="s">
        <v>311</v>
      </c>
      <c r="P78" s="43" t="s">
        <v>312</v>
      </c>
      <c r="Q78" s="49" t="s">
        <v>313</v>
      </c>
      <c r="R78" s="43" t="s">
        <v>320</v>
      </c>
      <c r="S78" s="43" t="s">
        <v>321</v>
      </c>
      <c r="T78" s="44">
        <v>61</v>
      </c>
      <c r="U78" s="44">
        <v>2196</v>
      </c>
      <c r="V78" s="44">
        <v>2196</v>
      </c>
      <c r="W78" s="44">
        <v>1049.2</v>
      </c>
      <c r="X78" s="44">
        <v>0</v>
      </c>
      <c r="Y78" s="107">
        <v>1146.8</v>
      </c>
      <c r="Z78" s="44">
        <v>1146.8</v>
      </c>
    </row>
    <row r="79" spans="1:26" x14ac:dyDescent="0.25">
      <c r="A79" s="43">
        <v>2026</v>
      </c>
      <c r="B79" s="43" t="s">
        <v>290</v>
      </c>
      <c r="C79" s="106" t="s">
        <v>555</v>
      </c>
      <c r="D79" s="43" t="s">
        <v>369</v>
      </c>
      <c r="E79" s="43" t="s">
        <v>556</v>
      </c>
      <c r="F79" s="43" t="s">
        <v>325</v>
      </c>
      <c r="G79" s="43" t="s">
        <v>325</v>
      </c>
      <c r="H79" s="43" t="s">
        <v>306</v>
      </c>
      <c r="I79" s="43" t="s">
        <v>186</v>
      </c>
      <c r="J79" s="43" t="s">
        <v>186</v>
      </c>
      <c r="K79" s="49" t="s">
        <v>307</v>
      </c>
      <c r="L79" s="49" t="s">
        <v>557</v>
      </c>
      <c r="M79" s="43" t="s">
        <v>309</v>
      </c>
      <c r="N79" s="43" t="s">
        <v>310</v>
      </c>
      <c r="O79" s="43" t="s">
        <v>311</v>
      </c>
      <c r="P79" s="43" t="s">
        <v>312</v>
      </c>
      <c r="Q79" s="49" t="s">
        <v>313</v>
      </c>
      <c r="R79" s="43" t="s">
        <v>327</v>
      </c>
      <c r="S79" s="43" t="s">
        <v>328</v>
      </c>
      <c r="T79" s="44">
        <v>72</v>
      </c>
      <c r="U79" s="44">
        <v>2592</v>
      </c>
      <c r="V79" s="44">
        <v>2592</v>
      </c>
      <c r="W79" s="44">
        <v>1260</v>
      </c>
      <c r="X79" s="44">
        <v>0</v>
      </c>
      <c r="Y79" s="107">
        <v>1332</v>
      </c>
      <c r="Z79" s="44">
        <v>1332</v>
      </c>
    </row>
    <row r="80" spans="1:26" x14ac:dyDescent="0.25">
      <c r="A80" s="43">
        <v>2026</v>
      </c>
      <c r="B80" s="43" t="s">
        <v>290</v>
      </c>
      <c r="C80" s="106" t="s">
        <v>558</v>
      </c>
      <c r="D80" s="43" t="s">
        <v>373</v>
      </c>
      <c r="E80" s="43" t="s">
        <v>559</v>
      </c>
      <c r="F80" s="43" t="s">
        <v>167</v>
      </c>
      <c r="G80" s="43" t="s">
        <v>167</v>
      </c>
      <c r="H80" s="43" t="s">
        <v>306</v>
      </c>
      <c r="I80" s="43" t="s">
        <v>186</v>
      </c>
      <c r="J80" s="43" t="s">
        <v>186</v>
      </c>
      <c r="K80" s="49" t="s">
        <v>307</v>
      </c>
      <c r="L80" s="49" t="s">
        <v>560</v>
      </c>
      <c r="M80" s="43" t="s">
        <v>309</v>
      </c>
      <c r="N80" s="43" t="s">
        <v>310</v>
      </c>
      <c r="O80" s="43" t="s">
        <v>311</v>
      </c>
      <c r="P80" s="43" t="s">
        <v>312</v>
      </c>
      <c r="Q80" s="49" t="s">
        <v>313</v>
      </c>
      <c r="R80" s="43" t="s">
        <v>314</v>
      </c>
      <c r="S80" s="43" t="s">
        <v>333</v>
      </c>
      <c r="T80" s="44">
        <v>83</v>
      </c>
      <c r="U80" s="44">
        <v>2905</v>
      </c>
      <c r="V80" s="44">
        <v>2905</v>
      </c>
      <c r="W80" s="44">
        <v>1394.4</v>
      </c>
      <c r="X80" s="44">
        <v>0</v>
      </c>
      <c r="Y80" s="107">
        <v>1510.6</v>
      </c>
      <c r="Z80" s="44">
        <v>1510.6</v>
      </c>
    </row>
    <row r="81" spans="1:26" x14ac:dyDescent="0.25">
      <c r="A81" s="43">
        <v>2026</v>
      </c>
      <c r="B81" s="43" t="s">
        <v>290</v>
      </c>
      <c r="C81" s="106" t="s">
        <v>561</v>
      </c>
      <c r="D81" s="43" t="s">
        <v>377</v>
      </c>
      <c r="E81" s="43" t="s">
        <v>562</v>
      </c>
      <c r="F81" s="43" t="s">
        <v>165</v>
      </c>
      <c r="G81" s="43" t="s">
        <v>165</v>
      </c>
      <c r="H81" s="43" t="s">
        <v>306</v>
      </c>
      <c r="I81" s="43" t="s">
        <v>186</v>
      </c>
      <c r="J81" s="43" t="s">
        <v>186</v>
      </c>
      <c r="K81" s="49" t="s">
        <v>307</v>
      </c>
      <c r="L81" s="49" t="s">
        <v>563</v>
      </c>
      <c r="M81" s="43" t="s">
        <v>309</v>
      </c>
      <c r="N81" s="43" t="s">
        <v>310</v>
      </c>
      <c r="O81" s="43" t="s">
        <v>311</v>
      </c>
      <c r="P81" s="43" t="s">
        <v>312</v>
      </c>
      <c r="Q81" s="49" t="s">
        <v>313</v>
      </c>
      <c r="R81" s="43" t="s">
        <v>320</v>
      </c>
      <c r="S81" s="43" t="s">
        <v>338</v>
      </c>
      <c r="T81" s="44">
        <v>94</v>
      </c>
      <c r="U81" s="44">
        <v>3196</v>
      </c>
      <c r="V81" s="44">
        <v>3196</v>
      </c>
      <c r="W81" s="44">
        <v>1551</v>
      </c>
      <c r="X81" s="44">
        <v>0</v>
      </c>
      <c r="Y81" s="107">
        <v>1645</v>
      </c>
      <c r="Z81" s="44">
        <v>1645</v>
      </c>
    </row>
    <row r="82" spans="1:26" x14ac:dyDescent="0.25">
      <c r="A82" s="43">
        <v>2026</v>
      </c>
      <c r="B82" s="43" t="s">
        <v>380</v>
      </c>
      <c r="C82" s="106" t="s">
        <v>564</v>
      </c>
      <c r="D82" s="43" t="s">
        <v>304</v>
      </c>
      <c r="E82" s="43" t="s">
        <v>565</v>
      </c>
      <c r="F82" s="43" t="s">
        <v>158</v>
      </c>
      <c r="G82" s="43" t="s">
        <v>158</v>
      </c>
      <c r="H82" s="43" t="s">
        <v>306</v>
      </c>
      <c r="I82" s="43" t="s">
        <v>186</v>
      </c>
      <c r="J82" s="43" t="s">
        <v>186</v>
      </c>
      <c r="K82" s="49" t="s">
        <v>307</v>
      </c>
      <c r="L82" s="49" t="s">
        <v>566</v>
      </c>
      <c r="M82" s="43" t="s">
        <v>309</v>
      </c>
      <c r="N82" s="43" t="s">
        <v>310</v>
      </c>
      <c r="O82" s="43" t="s">
        <v>311</v>
      </c>
      <c r="P82" s="43" t="s">
        <v>312</v>
      </c>
      <c r="Q82" s="49" t="s">
        <v>313</v>
      </c>
      <c r="R82" s="43" t="s">
        <v>314</v>
      </c>
      <c r="S82" s="43" t="s">
        <v>315</v>
      </c>
      <c r="T82" s="44">
        <v>50</v>
      </c>
      <c r="U82" s="44">
        <v>1900</v>
      </c>
      <c r="V82" s="44">
        <v>1900</v>
      </c>
      <c r="W82" s="44">
        <v>925</v>
      </c>
      <c r="X82" s="44">
        <v>0</v>
      </c>
      <c r="Y82" s="107">
        <v>975</v>
      </c>
      <c r="Z82" s="44">
        <v>975</v>
      </c>
    </row>
    <row r="83" spans="1:26" x14ac:dyDescent="0.25">
      <c r="A83" s="43">
        <v>2026</v>
      </c>
      <c r="B83" s="43" t="s">
        <v>380</v>
      </c>
      <c r="C83" s="106" t="s">
        <v>567</v>
      </c>
      <c r="D83" s="43" t="s">
        <v>317</v>
      </c>
      <c r="E83" s="43" t="s">
        <v>568</v>
      </c>
      <c r="F83" s="43" t="s">
        <v>163</v>
      </c>
      <c r="G83" s="43" t="s">
        <v>163</v>
      </c>
      <c r="H83" s="43" t="s">
        <v>306</v>
      </c>
      <c r="I83" s="43" t="s">
        <v>186</v>
      </c>
      <c r="J83" s="43" t="s">
        <v>186</v>
      </c>
      <c r="K83" s="49" t="s">
        <v>307</v>
      </c>
      <c r="L83" s="49" t="s">
        <v>569</v>
      </c>
      <c r="M83" s="43" t="s">
        <v>309</v>
      </c>
      <c r="N83" s="43" t="s">
        <v>310</v>
      </c>
      <c r="O83" s="43" t="s">
        <v>311</v>
      </c>
      <c r="P83" s="43" t="s">
        <v>312</v>
      </c>
      <c r="Q83" s="49" t="s">
        <v>313</v>
      </c>
      <c r="R83" s="43" t="s">
        <v>320</v>
      </c>
      <c r="S83" s="43" t="s">
        <v>321</v>
      </c>
      <c r="T83" s="44">
        <v>61</v>
      </c>
      <c r="U83" s="44">
        <v>2196</v>
      </c>
      <c r="V83" s="44">
        <v>2196</v>
      </c>
      <c r="W83" s="44">
        <v>1049.2</v>
      </c>
      <c r="X83" s="44">
        <v>0</v>
      </c>
      <c r="Y83" s="107">
        <v>1146.8</v>
      </c>
      <c r="Z83" s="44">
        <v>1146.8</v>
      </c>
    </row>
    <row r="84" spans="1:26" x14ac:dyDescent="0.25">
      <c r="A84" s="43">
        <v>2026</v>
      </c>
      <c r="B84" s="43" t="s">
        <v>380</v>
      </c>
      <c r="C84" s="106" t="s">
        <v>570</v>
      </c>
      <c r="D84" s="43" t="s">
        <v>323</v>
      </c>
      <c r="E84" s="43" t="s">
        <v>571</v>
      </c>
      <c r="F84" s="43" t="s">
        <v>325</v>
      </c>
      <c r="G84" s="43" t="s">
        <v>325</v>
      </c>
      <c r="H84" s="43" t="s">
        <v>306</v>
      </c>
      <c r="I84" s="43" t="s">
        <v>186</v>
      </c>
      <c r="J84" s="43" t="s">
        <v>186</v>
      </c>
      <c r="K84" s="49" t="s">
        <v>307</v>
      </c>
      <c r="L84" s="49" t="s">
        <v>572</v>
      </c>
      <c r="M84" s="43" t="s">
        <v>309</v>
      </c>
      <c r="N84" s="43" t="s">
        <v>310</v>
      </c>
      <c r="O84" s="43" t="s">
        <v>311</v>
      </c>
      <c r="P84" s="43" t="s">
        <v>312</v>
      </c>
      <c r="Q84" s="49" t="s">
        <v>313</v>
      </c>
      <c r="R84" s="43" t="s">
        <v>327</v>
      </c>
      <c r="S84" s="43" t="s">
        <v>328</v>
      </c>
      <c r="T84" s="44">
        <v>72</v>
      </c>
      <c r="U84" s="44">
        <v>2592</v>
      </c>
      <c r="V84" s="44">
        <v>2592</v>
      </c>
      <c r="W84" s="44">
        <v>1260</v>
      </c>
      <c r="X84" s="44">
        <v>0</v>
      </c>
      <c r="Y84" s="107">
        <v>1332</v>
      </c>
      <c r="Z84" s="44">
        <v>1332</v>
      </c>
    </row>
    <row r="85" spans="1:26" x14ac:dyDescent="0.25">
      <c r="A85" s="43">
        <v>2026</v>
      </c>
      <c r="B85" s="43" t="s">
        <v>380</v>
      </c>
      <c r="C85" s="106" t="s">
        <v>573</v>
      </c>
      <c r="D85" s="43" t="s">
        <v>330</v>
      </c>
      <c r="E85" s="43" t="s">
        <v>574</v>
      </c>
      <c r="F85" s="43" t="s">
        <v>167</v>
      </c>
      <c r="G85" s="43" t="s">
        <v>167</v>
      </c>
      <c r="H85" s="43" t="s">
        <v>306</v>
      </c>
      <c r="I85" s="43" t="s">
        <v>186</v>
      </c>
      <c r="J85" s="43" t="s">
        <v>186</v>
      </c>
      <c r="K85" s="49" t="s">
        <v>307</v>
      </c>
      <c r="L85" s="49" t="s">
        <v>575</v>
      </c>
      <c r="M85" s="43" t="s">
        <v>309</v>
      </c>
      <c r="N85" s="43" t="s">
        <v>310</v>
      </c>
      <c r="O85" s="43" t="s">
        <v>311</v>
      </c>
      <c r="P85" s="43" t="s">
        <v>312</v>
      </c>
      <c r="Q85" s="49" t="s">
        <v>313</v>
      </c>
      <c r="R85" s="43" t="s">
        <v>314</v>
      </c>
      <c r="S85" s="43" t="s">
        <v>333</v>
      </c>
      <c r="T85" s="44">
        <v>83</v>
      </c>
      <c r="U85" s="44">
        <v>2905</v>
      </c>
      <c r="V85" s="44">
        <v>2905</v>
      </c>
      <c r="W85" s="44">
        <v>1394.4</v>
      </c>
      <c r="X85" s="44">
        <v>0</v>
      </c>
      <c r="Y85" s="107">
        <v>1510.6</v>
      </c>
      <c r="Z85" s="44">
        <v>1510.6</v>
      </c>
    </row>
    <row r="86" spans="1:26" x14ac:dyDescent="0.25">
      <c r="A86" s="43">
        <v>2026</v>
      </c>
      <c r="B86" s="43" t="s">
        <v>380</v>
      </c>
      <c r="C86" s="106" t="s">
        <v>576</v>
      </c>
      <c r="D86" s="43" t="s">
        <v>335</v>
      </c>
      <c r="E86" s="43" t="s">
        <v>577</v>
      </c>
      <c r="F86" s="43" t="s">
        <v>165</v>
      </c>
      <c r="G86" s="43" t="s">
        <v>165</v>
      </c>
      <c r="H86" s="43" t="s">
        <v>306</v>
      </c>
      <c r="I86" s="43" t="s">
        <v>186</v>
      </c>
      <c r="J86" s="43" t="s">
        <v>186</v>
      </c>
      <c r="K86" s="49" t="s">
        <v>307</v>
      </c>
      <c r="L86" s="49" t="s">
        <v>578</v>
      </c>
      <c r="M86" s="43" t="s">
        <v>309</v>
      </c>
      <c r="N86" s="43" t="s">
        <v>310</v>
      </c>
      <c r="O86" s="43" t="s">
        <v>311</v>
      </c>
      <c r="P86" s="43" t="s">
        <v>312</v>
      </c>
      <c r="Q86" s="49" t="s">
        <v>313</v>
      </c>
      <c r="R86" s="43" t="s">
        <v>320</v>
      </c>
      <c r="S86" s="43" t="s">
        <v>338</v>
      </c>
      <c r="T86" s="44">
        <v>94</v>
      </c>
      <c r="U86" s="44">
        <v>3196</v>
      </c>
      <c r="V86" s="44">
        <v>3196</v>
      </c>
      <c r="W86" s="44">
        <v>1551</v>
      </c>
      <c r="X86" s="44">
        <v>0</v>
      </c>
      <c r="Y86" s="107">
        <v>1645</v>
      </c>
      <c r="Z86" s="44">
        <v>1645</v>
      </c>
    </row>
    <row r="87" spans="1:26" x14ac:dyDescent="0.25">
      <c r="A87" s="43">
        <v>2026</v>
      </c>
      <c r="B87" s="43" t="s">
        <v>396</v>
      </c>
      <c r="C87" s="106" t="s">
        <v>579</v>
      </c>
      <c r="D87" s="43" t="s">
        <v>341</v>
      </c>
      <c r="E87" s="43" t="s">
        <v>580</v>
      </c>
      <c r="F87" s="43" t="s">
        <v>158</v>
      </c>
      <c r="G87" s="43" t="s">
        <v>158</v>
      </c>
      <c r="H87" s="43" t="s">
        <v>306</v>
      </c>
      <c r="I87" s="43" t="s">
        <v>186</v>
      </c>
      <c r="J87" s="43" t="s">
        <v>186</v>
      </c>
      <c r="K87" s="49" t="s">
        <v>307</v>
      </c>
      <c r="L87" s="49" t="s">
        <v>581</v>
      </c>
      <c r="M87" s="43" t="s">
        <v>309</v>
      </c>
      <c r="N87" s="43" t="s">
        <v>310</v>
      </c>
      <c r="O87" s="43" t="s">
        <v>311</v>
      </c>
      <c r="P87" s="43" t="s">
        <v>312</v>
      </c>
      <c r="Q87" s="49" t="s">
        <v>313</v>
      </c>
      <c r="R87" s="43" t="s">
        <v>314</v>
      </c>
      <c r="S87" s="43" t="s">
        <v>315</v>
      </c>
      <c r="T87" s="44">
        <v>50</v>
      </c>
      <c r="U87" s="44">
        <v>1900</v>
      </c>
      <c r="V87" s="44">
        <v>1900</v>
      </c>
      <c r="W87" s="44">
        <v>925</v>
      </c>
      <c r="X87" s="44">
        <v>0</v>
      </c>
      <c r="Y87" s="107">
        <v>975</v>
      </c>
      <c r="Z87" s="44">
        <v>975</v>
      </c>
    </row>
    <row r="88" spans="1:26" x14ac:dyDescent="0.25">
      <c r="A88" s="43">
        <v>2026</v>
      </c>
      <c r="B88" s="43" t="s">
        <v>396</v>
      </c>
      <c r="C88" s="106" t="s">
        <v>582</v>
      </c>
      <c r="D88" s="43" t="s">
        <v>345</v>
      </c>
      <c r="E88" s="43" t="s">
        <v>583</v>
      </c>
      <c r="F88" s="43" t="s">
        <v>163</v>
      </c>
      <c r="G88" s="43" t="s">
        <v>163</v>
      </c>
      <c r="H88" s="43" t="s">
        <v>306</v>
      </c>
      <c r="I88" s="43" t="s">
        <v>186</v>
      </c>
      <c r="J88" s="43" t="s">
        <v>186</v>
      </c>
      <c r="K88" s="49" t="s">
        <v>307</v>
      </c>
      <c r="L88" s="49" t="s">
        <v>584</v>
      </c>
      <c r="M88" s="43" t="s">
        <v>309</v>
      </c>
      <c r="N88" s="43" t="s">
        <v>310</v>
      </c>
      <c r="O88" s="43" t="s">
        <v>311</v>
      </c>
      <c r="P88" s="43" t="s">
        <v>312</v>
      </c>
      <c r="Q88" s="49" t="s">
        <v>313</v>
      </c>
      <c r="R88" s="43" t="s">
        <v>320</v>
      </c>
      <c r="S88" s="43" t="s">
        <v>321</v>
      </c>
      <c r="T88" s="44">
        <v>61</v>
      </c>
      <c r="U88" s="44">
        <v>2196</v>
      </c>
      <c r="V88" s="44">
        <v>2196</v>
      </c>
      <c r="W88" s="44">
        <v>1049.2</v>
      </c>
      <c r="X88" s="44">
        <v>0</v>
      </c>
      <c r="Y88" s="107">
        <v>1146.8</v>
      </c>
      <c r="Z88" s="44">
        <v>1146.8</v>
      </c>
    </row>
    <row r="89" spans="1:26" x14ac:dyDescent="0.25">
      <c r="A89" s="43">
        <v>2026</v>
      </c>
      <c r="B89" s="43" t="s">
        <v>396</v>
      </c>
      <c r="C89" s="106" t="s">
        <v>585</v>
      </c>
      <c r="D89" s="43" t="s">
        <v>349</v>
      </c>
      <c r="E89" s="43" t="s">
        <v>586</v>
      </c>
      <c r="F89" s="43" t="s">
        <v>325</v>
      </c>
      <c r="G89" s="43" t="s">
        <v>325</v>
      </c>
      <c r="H89" s="43" t="s">
        <v>306</v>
      </c>
      <c r="I89" s="43" t="s">
        <v>186</v>
      </c>
      <c r="J89" s="43" t="s">
        <v>186</v>
      </c>
      <c r="K89" s="49" t="s">
        <v>307</v>
      </c>
      <c r="L89" s="49" t="s">
        <v>587</v>
      </c>
      <c r="M89" s="43" t="s">
        <v>309</v>
      </c>
      <c r="N89" s="43" t="s">
        <v>310</v>
      </c>
      <c r="O89" s="43" t="s">
        <v>311</v>
      </c>
      <c r="P89" s="43" t="s">
        <v>312</v>
      </c>
      <c r="Q89" s="49" t="s">
        <v>313</v>
      </c>
      <c r="R89" s="43" t="s">
        <v>327</v>
      </c>
      <c r="S89" s="43" t="s">
        <v>328</v>
      </c>
      <c r="T89" s="44">
        <v>72</v>
      </c>
      <c r="U89" s="44">
        <v>2592</v>
      </c>
      <c r="V89" s="44">
        <v>2592</v>
      </c>
      <c r="W89" s="44">
        <v>1260</v>
      </c>
      <c r="X89" s="44">
        <v>0</v>
      </c>
      <c r="Y89" s="107">
        <v>1332</v>
      </c>
      <c r="Z89" s="44">
        <v>1332</v>
      </c>
    </row>
    <row r="90" spans="1:26" x14ac:dyDescent="0.25">
      <c r="A90" s="43">
        <v>2026</v>
      </c>
      <c r="B90" s="43" t="s">
        <v>396</v>
      </c>
      <c r="C90" s="106" t="s">
        <v>588</v>
      </c>
      <c r="D90" s="43" t="s">
        <v>353</v>
      </c>
      <c r="E90" s="43" t="s">
        <v>589</v>
      </c>
      <c r="F90" s="43" t="s">
        <v>167</v>
      </c>
      <c r="G90" s="43" t="s">
        <v>167</v>
      </c>
      <c r="H90" s="43" t="s">
        <v>306</v>
      </c>
      <c r="I90" s="43" t="s">
        <v>186</v>
      </c>
      <c r="J90" s="43" t="s">
        <v>186</v>
      </c>
      <c r="K90" s="49" t="s">
        <v>307</v>
      </c>
      <c r="L90" s="49" t="s">
        <v>590</v>
      </c>
      <c r="M90" s="43" t="s">
        <v>309</v>
      </c>
      <c r="N90" s="43" t="s">
        <v>310</v>
      </c>
      <c r="O90" s="43" t="s">
        <v>311</v>
      </c>
      <c r="P90" s="43" t="s">
        <v>312</v>
      </c>
      <c r="Q90" s="49" t="s">
        <v>313</v>
      </c>
      <c r="R90" s="43" t="s">
        <v>314</v>
      </c>
      <c r="S90" s="43" t="s">
        <v>333</v>
      </c>
      <c r="T90" s="44">
        <v>83</v>
      </c>
      <c r="U90" s="44">
        <v>2905</v>
      </c>
      <c r="V90" s="44">
        <v>2905</v>
      </c>
      <c r="W90" s="44">
        <v>1394.4</v>
      </c>
      <c r="X90" s="44">
        <v>0</v>
      </c>
      <c r="Y90" s="107">
        <v>1510.6</v>
      </c>
      <c r="Z90" s="44">
        <v>1510.6</v>
      </c>
    </row>
    <row r="91" spans="1:26" x14ac:dyDescent="0.25">
      <c r="A91" s="43">
        <v>2026</v>
      </c>
      <c r="B91" s="43" t="s">
        <v>396</v>
      </c>
      <c r="C91" s="106" t="s">
        <v>591</v>
      </c>
      <c r="D91" s="43" t="s">
        <v>357</v>
      </c>
      <c r="E91" s="43" t="s">
        <v>592</v>
      </c>
      <c r="F91" s="43" t="s">
        <v>165</v>
      </c>
      <c r="G91" s="43" t="s">
        <v>165</v>
      </c>
      <c r="H91" s="43" t="s">
        <v>306</v>
      </c>
      <c r="I91" s="43" t="s">
        <v>186</v>
      </c>
      <c r="J91" s="43" t="s">
        <v>186</v>
      </c>
      <c r="K91" s="49" t="s">
        <v>307</v>
      </c>
      <c r="L91" s="49" t="s">
        <v>593</v>
      </c>
      <c r="M91" s="43" t="s">
        <v>309</v>
      </c>
      <c r="N91" s="43" t="s">
        <v>310</v>
      </c>
      <c r="O91" s="43" t="s">
        <v>311</v>
      </c>
      <c r="P91" s="43" t="s">
        <v>312</v>
      </c>
      <c r="Q91" s="49" t="s">
        <v>313</v>
      </c>
      <c r="R91" s="43" t="s">
        <v>320</v>
      </c>
      <c r="S91" s="43" t="s">
        <v>338</v>
      </c>
      <c r="T91" s="44">
        <v>94</v>
      </c>
      <c r="U91" s="44">
        <v>3196</v>
      </c>
      <c r="V91" s="44">
        <v>3196</v>
      </c>
      <c r="W91" s="44">
        <v>1551</v>
      </c>
      <c r="X91" s="44">
        <v>0</v>
      </c>
      <c r="Y91" s="107">
        <v>1645</v>
      </c>
      <c r="Z91" s="44">
        <v>1645</v>
      </c>
    </row>
    <row r="92" spans="1:26" x14ac:dyDescent="0.25">
      <c r="A92" s="43">
        <v>2026</v>
      </c>
      <c r="B92" s="43" t="s">
        <v>412</v>
      </c>
      <c r="C92" s="106" t="s">
        <v>594</v>
      </c>
      <c r="D92" s="43" t="s">
        <v>361</v>
      </c>
      <c r="E92" s="43" t="s">
        <v>595</v>
      </c>
      <c r="F92" s="43" t="s">
        <v>158</v>
      </c>
      <c r="G92" s="43" t="s">
        <v>158</v>
      </c>
      <c r="H92" s="43" t="s">
        <v>306</v>
      </c>
      <c r="I92" s="43" t="s">
        <v>186</v>
      </c>
      <c r="J92" s="43" t="s">
        <v>186</v>
      </c>
      <c r="K92" s="49" t="s">
        <v>307</v>
      </c>
      <c r="L92" s="49" t="s">
        <v>596</v>
      </c>
      <c r="M92" s="43" t="s">
        <v>309</v>
      </c>
      <c r="N92" s="43" t="s">
        <v>310</v>
      </c>
      <c r="O92" s="43" t="s">
        <v>311</v>
      </c>
      <c r="P92" s="43" t="s">
        <v>312</v>
      </c>
      <c r="Q92" s="49" t="s">
        <v>313</v>
      </c>
      <c r="R92" s="43" t="s">
        <v>314</v>
      </c>
      <c r="S92" s="43" t="s">
        <v>315</v>
      </c>
      <c r="T92" s="44">
        <v>50</v>
      </c>
      <c r="U92" s="44">
        <v>1900</v>
      </c>
      <c r="V92" s="44">
        <v>1900</v>
      </c>
      <c r="W92" s="44">
        <v>925</v>
      </c>
      <c r="X92" s="44">
        <v>0</v>
      </c>
      <c r="Y92" s="107">
        <v>975</v>
      </c>
      <c r="Z92" s="44">
        <v>975</v>
      </c>
    </row>
    <row r="93" spans="1:26" x14ac:dyDescent="0.25">
      <c r="A93" s="43">
        <v>2026</v>
      </c>
      <c r="B93" s="43" t="s">
        <v>412</v>
      </c>
      <c r="C93" s="106" t="s">
        <v>597</v>
      </c>
      <c r="D93" s="43" t="s">
        <v>365</v>
      </c>
      <c r="E93" s="43" t="s">
        <v>598</v>
      </c>
      <c r="F93" s="43" t="s">
        <v>163</v>
      </c>
      <c r="G93" s="43" t="s">
        <v>163</v>
      </c>
      <c r="H93" s="43" t="s">
        <v>306</v>
      </c>
      <c r="I93" s="43" t="s">
        <v>186</v>
      </c>
      <c r="J93" s="43" t="s">
        <v>186</v>
      </c>
      <c r="K93" s="49" t="s">
        <v>307</v>
      </c>
      <c r="L93" s="49" t="s">
        <v>599</v>
      </c>
      <c r="M93" s="43" t="s">
        <v>309</v>
      </c>
      <c r="N93" s="43" t="s">
        <v>310</v>
      </c>
      <c r="O93" s="43" t="s">
        <v>311</v>
      </c>
      <c r="P93" s="43" t="s">
        <v>312</v>
      </c>
      <c r="Q93" s="49" t="s">
        <v>313</v>
      </c>
      <c r="R93" s="43" t="s">
        <v>320</v>
      </c>
      <c r="S93" s="43" t="s">
        <v>321</v>
      </c>
      <c r="T93" s="44">
        <v>61</v>
      </c>
      <c r="U93" s="44">
        <v>2196</v>
      </c>
      <c r="V93" s="44">
        <v>2196</v>
      </c>
      <c r="W93" s="44">
        <v>1049.2</v>
      </c>
      <c r="X93" s="44">
        <v>0</v>
      </c>
      <c r="Y93" s="107">
        <v>1146.8</v>
      </c>
      <c r="Z93" s="44">
        <v>1146.8</v>
      </c>
    </row>
    <row r="94" spans="1:26" x14ac:dyDescent="0.25">
      <c r="A94" s="43">
        <v>2026</v>
      </c>
      <c r="B94" s="43" t="s">
        <v>412</v>
      </c>
      <c r="C94" s="106" t="s">
        <v>600</v>
      </c>
      <c r="D94" s="43" t="s">
        <v>369</v>
      </c>
      <c r="E94" s="43" t="s">
        <v>601</v>
      </c>
      <c r="F94" s="43" t="s">
        <v>325</v>
      </c>
      <c r="G94" s="43" t="s">
        <v>325</v>
      </c>
      <c r="H94" s="43" t="s">
        <v>306</v>
      </c>
      <c r="I94" s="43" t="s">
        <v>186</v>
      </c>
      <c r="J94" s="43" t="s">
        <v>186</v>
      </c>
      <c r="K94" s="49" t="s">
        <v>307</v>
      </c>
      <c r="L94" s="49" t="s">
        <v>602</v>
      </c>
      <c r="M94" s="43" t="s">
        <v>309</v>
      </c>
      <c r="N94" s="43" t="s">
        <v>310</v>
      </c>
      <c r="O94" s="43" t="s">
        <v>311</v>
      </c>
      <c r="P94" s="43" t="s">
        <v>312</v>
      </c>
      <c r="Q94" s="49" t="s">
        <v>313</v>
      </c>
      <c r="R94" s="43" t="s">
        <v>327</v>
      </c>
      <c r="S94" s="43" t="s">
        <v>328</v>
      </c>
      <c r="T94" s="44">
        <v>72</v>
      </c>
      <c r="U94" s="44">
        <v>2592</v>
      </c>
      <c r="V94" s="44">
        <v>2592</v>
      </c>
      <c r="W94" s="44">
        <v>1260</v>
      </c>
      <c r="X94" s="44">
        <v>0</v>
      </c>
      <c r="Y94" s="107">
        <v>1332</v>
      </c>
      <c r="Z94" s="44">
        <v>1332</v>
      </c>
    </row>
    <row r="95" spans="1:26" x14ac:dyDescent="0.25">
      <c r="A95" s="43">
        <v>2026</v>
      </c>
      <c r="B95" s="43" t="s">
        <v>412</v>
      </c>
      <c r="C95" s="106" t="s">
        <v>603</v>
      </c>
      <c r="D95" s="43" t="s">
        <v>373</v>
      </c>
      <c r="E95" s="43" t="s">
        <v>604</v>
      </c>
      <c r="F95" s="43" t="s">
        <v>167</v>
      </c>
      <c r="G95" s="43" t="s">
        <v>167</v>
      </c>
      <c r="H95" s="43" t="s">
        <v>306</v>
      </c>
      <c r="I95" s="43" t="s">
        <v>186</v>
      </c>
      <c r="J95" s="43" t="s">
        <v>186</v>
      </c>
      <c r="K95" s="49" t="s">
        <v>307</v>
      </c>
      <c r="L95" s="49" t="s">
        <v>605</v>
      </c>
      <c r="M95" s="43" t="s">
        <v>309</v>
      </c>
      <c r="N95" s="43" t="s">
        <v>310</v>
      </c>
      <c r="O95" s="43" t="s">
        <v>311</v>
      </c>
      <c r="P95" s="43" t="s">
        <v>312</v>
      </c>
      <c r="Q95" s="49" t="s">
        <v>313</v>
      </c>
      <c r="R95" s="43" t="s">
        <v>314</v>
      </c>
      <c r="S95" s="43" t="s">
        <v>333</v>
      </c>
      <c r="T95" s="44">
        <v>83</v>
      </c>
      <c r="U95" s="44">
        <v>2905</v>
      </c>
      <c r="V95" s="44">
        <v>2905</v>
      </c>
      <c r="W95" s="44">
        <v>1394.4</v>
      </c>
      <c r="X95" s="44">
        <v>0</v>
      </c>
      <c r="Y95" s="107">
        <v>1510.6</v>
      </c>
      <c r="Z95" s="44">
        <v>1510.6</v>
      </c>
    </row>
    <row r="96" spans="1:26" x14ac:dyDescent="0.25">
      <c r="A96" s="43">
        <v>2026</v>
      </c>
      <c r="B96" s="43" t="s">
        <v>412</v>
      </c>
      <c r="C96" s="106" t="s">
        <v>606</v>
      </c>
      <c r="D96" s="43" t="s">
        <v>377</v>
      </c>
      <c r="E96" s="43" t="s">
        <v>607</v>
      </c>
      <c r="F96" s="43" t="s">
        <v>165</v>
      </c>
      <c r="G96" s="43" t="s">
        <v>165</v>
      </c>
      <c r="H96" s="43" t="s">
        <v>306</v>
      </c>
      <c r="I96" s="43" t="s">
        <v>186</v>
      </c>
      <c r="J96" s="43" t="s">
        <v>186</v>
      </c>
      <c r="K96" s="49" t="s">
        <v>307</v>
      </c>
      <c r="L96" s="49" t="s">
        <v>608</v>
      </c>
      <c r="M96" s="43" t="s">
        <v>309</v>
      </c>
      <c r="N96" s="43" t="s">
        <v>310</v>
      </c>
      <c r="O96" s="43" t="s">
        <v>311</v>
      </c>
      <c r="P96" s="43" t="s">
        <v>312</v>
      </c>
      <c r="Q96" s="49" t="s">
        <v>313</v>
      </c>
      <c r="R96" s="43" t="s">
        <v>320</v>
      </c>
      <c r="S96" s="43" t="s">
        <v>338</v>
      </c>
      <c r="T96" s="44">
        <v>94</v>
      </c>
      <c r="U96" s="44">
        <v>3196</v>
      </c>
      <c r="V96" s="44">
        <v>3196</v>
      </c>
      <c r="W96" s="44">
        <v>1551</v>
      </c>
      <c r="X96" s="44">
        <v>0</v>
      </c>
      <c r="Y96" s="107">
        <v>1645</v>
      </c>
      <c r="Z96" s="44">
        <v>1645</v>
      </c>
    </row>
    <row r="97" spans="1:26" x14ac:dyDescent="0.25">
      <c r="A97" s="43">
        <v>2026</v>
      </c>
      <c r="B97" s="43" t="s">
        <v>291</v>
      </c>
      <c r="C97" s="106" t="s">
        <v>609</v>
      </c>
      <c r="D97" s="43" t="s">
        <v>304</v>
      </c>
      <c r="E97" s="43" t="s">
        <v>610</v>
      </c>
      <c r="F97" s="43" t="s">
        <v>158</v>
      </c>
      <c r="G97" s="43" t="s">
        <v>158</v>
      </c>
      <c r="H97" s="43" t="s">
        <v>306</v>
      </c>
      <c r="I97" s="43" t="s">
        <v>186</v>
      </c>
      <c r="J97" s="43" t="s">
        <v>186</v>
      </c>
      <c r="K97" s="49" t="s">
        <v>307</v>
      </c>
      <c r="L97" s="49" t="s">
        <v>611</v>
      </c>
      <c r="M97" s="43" t="s">
        <v>309</v>
      </c>
      <c r="N97" s="43" t="s">
        <v>310</v>
      </c>
      <c r="O97" s="43" t="s">
        <v>311</v>
      </c>
      <c r="P97" s="43" t="s">
        <v>312</v>
      </c>
      <c r="Q97" s="49" t="s">
        <v>313</v>
      </c>
      <c r="R97" s="43" t="s">
        <v>314</v>
      </c>
      <c r="S97" s="43" t="s">
        <v>315</v>
      </c>
      <c r="T97" s="44">
        <v>50</v>
      </c>
      <c r="U97" s="44">
        <v>1900</v>
      </c>
      <c r="V97" s="44">
        <v>1900</v>
      </c>
      <c r="W97" s="44">
        <v>925</v>
      </c>
      <c r="X97" s="44">
        <v>0</v>
      </c>
      <c r="Y97" s="107">
        <v>975</v>
      </c>
      <c r="Z97" s="44">
        <v>975</v>
      </c>
    </row>
    <row r="98" spans="1:26" x14ac:dyDescent="0.25">
      <c r="A98" s="43">
        <v>2026</v>
      </c>
      <c r="B98" s="43" t="s">
        <v>291</v>
      </c>
      <c r="C98" s="106" t="s">
        <v>612</v>
      </c>
      <c r="D98" s="43" t="s">
        <v>317</v>
      </c>
      <c r="E98" s="43" t="s">
        <v>613</v>
      </c>
      <c r="F98" s="43" t="s">
        <v>163</v>
      </c>
      <c r="G98" s="43" t="s">
        <v>163</v>
      </c>
      <c r="H98" s="43" t="s">
        <v>306</v>
      </c>
      <c r="I98" s="43" t="s">
        <v>186</v>
      </c>
      <c r="J98" s="43" t="s">
        <v>186</v>
      </c>
      <c r="K98" s="49" t="s">
        <v>307</v>
      </c>
      <c r="L98" s="49" t="s">
        <v>614</v>
      </c>
      <c r="M98" s="43" t="s">
        <v>309</v>
      </c>
      <c r="N98" s="43" t="s">
        <v>310</v>
      </c>
      <c r="O98" s="43" t="s">
        <v>311</v>
      </c>
      <c r="P98" s="43" t="s">
        <v>312</v>
      </c>
      <c r="Q98" s="49" t="s">
        <v>313</v>
      </c>
      <c r="R98" s="43" t="s">
        <v>320</v>
      </c>
      <c r="S98" s="43" t="s">
        <v>321</v>
      </c>
      <c r="T98" s="44">
        <v>61</v>
      </c>
      <c r="U98" s="44">
        <v>2196</v>
      </c>
      <c r="V98" s="44">
        <v>2196</v>
      </c>
      <c r="W98" s="44">
        <v>1049.2</v>
      </c>
      <c r="X98" s="44">
        <v>0</v>
      </c>
      <c r="Y98" s="107">
        <v>1146.8</v>
      </c>
      <c r="Z98" s="44">
        <v>1146.8</v>
      </c>
    </row>
    <row r="99" spans="1:26" x14ac:dyDescent="0.25">
      <c r="A99" s="43">
        <v>2026</v>
      </c>
      <c r="B99" s="43" t="s">
        <v>291</v>
      </c>
      <c r="C99" s="106" t="s">
        <v>615</v>
      </c>
      <c r="D99" s="43" t="s">
        <v>323</v>
      </c>
      <c r="E99" s="43" t="s">
        <v>616</v>
      </c>
      <c r="F99" s="43" t="s">
        <v>325</v>
      </c>
      <c r="G99" s="43" t="s">
        <v>325</v>
      </c>
      <c r="H99" s="43" t="s">
        <v>306</v>
      </c>
      <c r="I99" s="43" t="s">
        <v>186</v>
      </c>
      <c r="J99" s="43" t="s">
        <v>186</v>
      </c>
      <c r="K99" s="49" t="s">
        <v>307</v>
      </c>
      <c r="L99" s="49" t="s">
        <v>617</v>
      </c>
      <c r="M99" s="43" t="s">
        <v>309</v>
      </c>
      <c r="N99" s="43" t="s">
        <v>310</v>
      </c>
      <c r="O99" s="43" t="s">
        <v>311</v>
      </c>
      <c r="P99" s="43" t="s">
        <v>312</v>
      </c>
      <c r="Q99" s="49" t="s">
        <v>313</v>
      </c>
      <c r="R99" s="43" t="s">
        <v>327</v>
      </c>
      <c r="S99" s="43" t="s">
        <v>328</v>
      </c>
      <c r="T99" s="44">
        <v>72</v>
      </c>
      <c r="U99" s="44">
        <v>2592</v>
      </c>
      <c r="V99" s="44">
        <v>2592</v>
      </c>
      <c r="W99" s="44">
        <v>1260</v>
      </c>
      <c r="X99" s="44">
        <v>0</v>
      </c>
      <c r="Y99" s="107">
        <v>1332</v>
      </c>
      <c r="Z99" s="44">
        <v>1332</v>
      </c>
    </row>
    <row r="100" spans="1:26" x14ac:dyDescent="0.25">
      <c r="A100" s="43">
        <v>2026</v>
      </c>
      <c r="B100" s="43" t="s">
        <v>291</v>
      </c>
      <c r="C100" s="106" t="s">
        <v>618</v>
      </c>
      <c r="D100" s="43" t="s">
        <v>330</v>
      </c>
      <c r="E100" s="43" t="s">
        <v>619</v>
      </c>
      <c r="F100" s="43" t="s">
        <v>167</v>
      </c>
      <c r="G100" s="43" t="s">
        <v>167</v>
      </c>
      <c r="H100" s="43" t="s">
        <v>306</v>
      </c>
      <c r="I100" s="43" t="s">
        <v>186</v>
      </c>
      <c r="J100" s="43" t="s">
        <v>186</v>
      </c>
      <c r="K100" s="49" t="s">
        <v>307</v>
      </c>
      <c r="L100" s="49" t="s">
        <v>620</v>
      </c>
      <c r="M100" s="43" t="s">
        <v>309</v>
      </c>
      <c r="N100" s="43" t="s">
        <v>310</v>
      </c>
      <c r="O100" s="43" t="s">
        <v>311</v>
      </c>
      <c r="P100" s="43" t="s">
        <v>312</v>
      </c>
      <c r="Q100" s="49" t="s">
        <v>313</v>
      </c>
      <c r="R100" s="43" t="s">
        <v>314</v>
      </c>
      <c r="S100" s="43" t="s">
        <v>333</v>
      </c>
      <c r="T100" s="44">
        <v>83</v>
      </c>
      <c r="U100" s="44">
        <v>2905</v>
      </c>
      <c r="V100" s="44">
        <v>2905</v>
      </c>
      <c r="W100" s="44">
        <v>1394.4</v>
      </c>
      <c r="X100" s="44">
        <v>0</v>
      </c>
      <c r="Y100" s="107">
        <v>1510.6</v>
      </c>
      <c r="Z100" s="44">
        <v>1510.6</v>
      </c>
    </row>
    <row r="101" spans="1:26" x14ac:dyDescent="0.25">
      <c r="A101" s="43">
        <v>2026</v>
      </c>
      <c r="B101" s="43" t="s">
        <v>291</v>
      </c>
      <c r="C101" s="106" t="s">
        <v>621</v>
      </c>
      <c r="D101" s="43" t="s">
        <v>335</v>
      </c>
      <c r="E101" s="43" t="s">
        <v>622</v>
      </c>
      <c r="F101" s="43" t="s">
        <v>165</v>
      </c>
      <c r="G101" s="43" t="s">
        <v>165</v>
      </c>
      <c r="H101" s="43" t="s">
        <v>306</v>
      </c>
      <c r="I101" s="43" t="s">
        <v>186</v>
      </c>
      <c r="J101" s="43" t="s">
        <v>186</v>
      </c>
      <c r="K101" s="49" t="s">
        <v>307</v>
      </c>
      <c r="L101" s="49" t="s">
        <v>623</v>
      </c>
      <c r="M101" s="43" t="s">
        <v>309</v>
      </c>
      <c r="N101" s="43" t="s">
        <v>310</v>
      </c>
      <c r="O101" s="43" t="s">
        <v>311</v>
      </c>
      <c r="P101" s="43" t="s">
        <v>312</v>
      </c>
      <c r="Q101" s="49" t="s">
        <v>313</v>
      </c>
      <c r="R101" s="43" t="s">
        <v>320</v>
      </c>
      <c r="S101" s="43" t="s">
        <v>338</v>
      </c>
      <c r="T101" s="44">
        <v>94</v>
      </c>
      <c r="U101" s="44">
        <v>3196</v>
      </c>
      <c r="V101" s="44">
        <v>3196</v>
      </c>
      <c r="W101" s="44">
        <v>1551</v>
      </c>
      <c r="X101" s="44">
        <v>0</v>
      </c>
      <c r="Y101" s="107">
        <v>1645</v>
      </c>
      <c r="Z101" s="44">
        <v>1645</v>
      </c>
    </row>
    <row r="102" spans="1:26" x14ac:dyDescent="0.25">
      <c r="A102" s="43">
        <v>2026</v>
      </c>
      <c r="B102" s="43" t="s">
        <v>182</v>
      </c>
      <c r="C102" s="106" t="s">
        <v>624</v>
      </c>
      <c r="D102" s="43" t="s">
        <v>341</v>
      </c>
      <c r="E102" s="43" t="s">
        <v>625</v>
      </c>
      <c r="F102" s="43" t="s">
        <v>158</v>
      </c>
      <c r="G102" s="43" t="s">
        <v>158</v>
      </c>
      <c r="H102" s="43" t="s">
        <v>306</v>
      </c>
      <c r="I102" s="43" t="s">
        <v>186</v>
      </c>
      <c r="J102" s="43" t="s">
        <v>186</v>
      </c>
      <c r="K102" s="49" t="s">
        <v>307</v>
      </c>
      <c r="L102" s="49" t="s">
        <v>626</v>
      </c>
      <c r="M102" s="43" t="s">
        <v>309</v>
      </c>
      <c r="N102" s="43" t="s">
        <v>310</v>
      </c>
      <c r="O102" s="43" t="s">
        <v>311</v>
      </c>
      <c r="P102" s="43" t="s">
        <v>312</v>
      </c>
      <c r="Q102" s="49" t="s">
        <v>313</v>
      </c>
      <c r="R102" s="43" t="s">
        <v>314</v>
      </c>
      <c r="S102" s="43" t="s">
        <v>315</v>
      </c>
      <c r="T102" s="44">
        <v>50</v>
      </c>
      <c r="U102" s="44">
        <v>1900</v>
      </c>
      <c r="V102" s="44">
        <v>1900</v>
      </c>
      <c r="W102" s="44">
        <v>925</v>
      </c>
      <c r="X102" s="44">
        <v>0</v>
      </c>
      <c r="Y102" s="107">
        <v>975</v>
      </c>
      <c r="Z102" s="44">
        <v>975</v>
      </c>
    </row>
    <row r="103" spans="1:26" x14ac:dyDescent="0.25">
      <c r="A103" s="43">
        <v>2026</v>
      </c>
      <c r="B103" s="43" t="s">
        <v>182</v>
      </c>
      <c r="C103" s="106" t="s">
        <v>627</v>
      </c>
      <c r="D103" s="43" t="s">
        <v>345</v>
      </c>
      <c r="E103" s="43" t="s">
        <v>628</v>
      </c>
      <c r="F103" s="43" t="s">
        <v>163</v>
      </c>
      <c r="G103" s="43" t="s">
        <v>163</v>
      </c>
      <c r="H103" s="43" t="s">
        <v>306</v>
      </c>
      <c r="I103" s="43" t="s">
        <v>186</v>
      </c>
      <c r="J103" s="43" t="s">
        <v>186</v>
      </c>
      <c r="K103" s="49" t="s">
        <v>307</v>
      </c>
      <c r="L103" s="49" t="s">
        <v>629</v>
      </c>
      <c r="M103" s="43" t="s">
        <v>309</v>
      </c>
      <c r="N103" s="43" t="s">
        <v>310</v>
      </c>
      <c r="O103" s="43" t="s">
        <v>311</v>
      </c>
      <c r="P103" s="43" t="s">
        <v>312</v>
      </c>
      <c r="Q103" s="49" t="s">
        <v>313</v>
      </c>
      <c r="R103" s="43" t="s">
        <v>320</v>
      </c>
      <c r="S103" s="43" t="s">
        <v>321</v>
      </c>
      <c r="T103" s="44">
        <v>61</v>
      </c>
      <c r="U103" s="44">
        <v>2196</v>
      </c>
      <c r="V103" s="44">
        <v>2196</v>
      </c>
      <c r="W103" s="44">
        <v>1049.2</v>
      </c>
      <c r="X103" s="44">
        <v>0</v>
      </c>
      <c r="Y103" s="107">
        <v>1146.8</v>
      </c>
      <c r="Z103" s="44">
        <v>1146.8</v>
      </c>
    </row>
    <row r="104" spans="1:26" x14ac:dyDescent="0.25">
      <c r="A104" s="43">
        <v>2026</v>
      </c>
      <c r="B104" s="43" t="s">
        <v>182</v>
      </c>
      <c r="C104" s="106" t="s">
        <v>630</v>
      </c>
      <c r="D104" s="43" t="s">
        <v>349</v>
      </c>
      <c r="E104" s="43" t="s">
        <v>631</v>
      </c>
      <c r="F104" s="43" t="s">
        <v>325</v>
      </c>
      <c r="G104" s="43" t="s">
        <v>325</v>
      </c>
      <c r="H104" s="43" t="s">
        <v>306</v>
      </c>
      <c r="I104" s="43" t="s">
        <v>186</v>
      </c>
      <c r="J104" s="43" t="s">
        <v>186</v>
      </c>
      <c r="K104" s="49" t="s">
        <v>307</v>
      </c>
      <c r="L104" s="49" t="s">
        <v>632</v>
      </c>
      <c r="M104" s="43" t="s">
        <v>309</v>
      </c>
      <c r="N104" s="43" t="s">
        <v>310</v>
      </c>
      <c r="O104" s="43" t="s">
        <v>311</v>
      </c>
      <c r="P104" s="43" t="s">
        <v>312</v>
      </c>
      <c r="Q104" s="49" t="s">
        <v>313</v>
      </c>
      <c r="R104" s="43" t="s">
        <v>327</v>
      </c>
      <c r="S104" s="43" t="s">
        <v>328</v>
      </c>
      <c r="T104" s="44">
        <v>72</v>
      </c>
      <c r="U104" s="44">
        <v>2592</v>
      </c>
      <c r="V104" s="44">
        <v>2592</v>
      </c>
      <c r="W104" s="44">
        <v>1260</v>
      </c>
      <c r="X104" s="44">
        <v>0</v>
      </c>
      <c r="Y104" s="107">
        <v>1332</v>
      </c>
      <c r="Z104" s="44">
        <v>1332</v>
      </c>
    </row>
    <row r="105" spans="1:26" x14ac:dyDescent="0.25">
      <c r="A105" s="43">
        <v>2026</v>
      </c>
      <c r="B105" s="43" t="s">
        <v>182</v>
      </c>
      <c r="C105" s="106" t="s">
        <v>633</v>
      </c>
      <c r="D105" s="43" t="s">
        <v>353</v>
      </c>
      <c r="E105" s="43" t="s">
        <v>634</v>
      </c>
      <c r="F105" s="43" t="s">
        <v>167</v>
      </c>
      <c r="G105" s="43" t="s">
        <v>167</v>
      </c>
      <c r="H105" s="43" t="s">
        <v>306</v>
      </c>
      <c r="I105" s="43" t="s">
        <v>186</v>
      </c>
      <c r="J105" s="43" t="s">
        <v>186</v>
      </c>
      <c r="K105" s="49" t="s">
        <v>307</v>
      </c>
      <c r="L105" s="49" t="s">
        <v>635</v>
      </c>
      <c r="M105" s="43" t="s">
        <v>309</v>
      </c>
      <c r="N105" s="43" t="s">
        <v>310</v>
      </c>
      <c r="O105" s="43" t="s">
        <v>311</v>
      </c>
      <c r="P105" s="43" t="s">
        <v>312</v>
      </c>
      <c r="Q105" s="49" t="s">
        <v>313</v>
      </c>
      <c r="R105" s="43" t="s">
        <v>314</v>
      </c>
      <c r="S105" s="43" t="s">
        <v>333</v>
      </c>
      <c r="T105" s="44">
        <v>83</v>
      </c>
      <c r="U105" s="44">
        <v>2905</v>
      </c>
      <c r="V105" s="44">
        <v>2905</v>
      </c>
      <c r="W105" s="44">
        <v>1394.4</v>
      </c>
      <c r="X105" s="44">
        <v>0</v>
      </c>
      <c r="Y105" s="107">
        <v>1510.6</v>
      </c>
      <c r="Z105" s="44">
        <v>1510.6</v>
      </c>
    </row>
    <row r="106" spans="1:26" x14ac:dyDescent="0.25">
      <c r="A106" s="43">
        <v>2026</v>
      </c>
      <c r="B106" s="43" t="s">
        <v>182</v>
      </c>
      <c r="C106" s="106" t="s">
        <v>636</v>
      </c>
      <c r="D106" s="43" t="s">
        <v>357</v>
      </c>
      <c r="E106" s="43" t="s">
        <v>637</v>
      </c>
      <c r="F106" s="43" t="s">
        <v>165</v>
      </c>
      <c r="G106" s="43" t="s">
        <v>165</v>
      </c>
      <c r="H106" s="43" t="s">
        <v>306</v>
      </c>
      <c r="I106" s="43" t="s">
        <v>186</v>
      </c>
      <c r="J106" s="43" t="s">
        <v>186</v>
      </c>
      <c r="K106" s="49" t="s">
        <v>307</v>
      </c>
      <c r="L106" s="49" t="s">
        <v>638</v>
      </c>
      <c r="M106" s="43" t="s">
        <v>309</v>
      </c>
      <c r="N106" s="43" t="s">
        <v>310</v>
      </c>
      <c r="O106" s="43" t="s">
        <v>311</v>
      </c>
      <c r="P106" s="43" t="s">
        <v>312</v>
      </c>
      <c r="Q106" s="49" t="s">
        <v>313</v>
      </c>
      <c r="R106" s="43" t="s">
        <v>320</v>
      </c>
      <c r="S106" s="43" t="s">
        <v>338</v>
      </c>
      <c r="T106" s="44">
        <v>94</v>
      </c>
      <c r="U106" s="44">
        <v>3196</v>
      </c>
      <c r="V106" s="44">
        <v>3196</v>
      </c>
      <c r="W106" s="44">
        <v>1551</v>
      </c>
      <c r="X106" s="44">
        <v>0</v>
      </c>
      <c r="Y106" s="107">
        <v>1645</v>
      </c>
      <c r="Z106" s="44">
        <v>1645</v>
      </c>
    </row>
    <row r="107" spans="1:26" x14ac:dyDescent="0.25">
      <c r="A107" s="43">
        <v>2026</v>
      </c>
      <c r="B107" s="43" t="s">
        <v>292</v>
      </c>
      <c r="C107" s="106" t="s">
        <v>639</v>
      </c>
      <c r="D107" s="43" t="s">
        <v>361</v>
      </c>
      <c r="E107" s="43" t="s">
        <v>640</v>
      </c>
      <c r="F107" s="43" t="s">
        <v>158</v>
      </c>
      <c r="G107" s="43" t="s">
        <v>158</v>
      </c>
      <c r="H107" s="43" t="s">
        <v>306</v>
      </c>
      <c r="I107" s="43" t="s">
        <v>186</v>
      </c>
      <c r="J107" s="43" t="s">
        <v>186</v>
      </c>
      <c r="K107" s="49" t="s">
        <v>307</v>
      </c>
      <c r="L107" s="49" t="s">
        <v>641</v>
      </c>
      <c r="M107" s="43" t="s">
        <v>309</v>
      </c>
      <c r="N107" s="43" t="s">
        <v>310</v>
      </c>
      <c r="O107" s="43" t="s">
        <v>311</v>
      </c>
      <c r="P107" s="43" t="s">
        <v>312</v>
      </c>
      <c r="Q107" s="49" t="s">
        <v>313</v>
      </c>
      <c r="R107" s="43" t="s">
        <v>314</v>
      </c>
      <c r="S107" s="43" t="s">
        <v>315</v>
      </c>
      <c r="T107" s="44">
        <v>50</v>
      </c>
      <c r="U107" s="44">
        <v>1900</v>
      </c>
      <c r="V107" s="44">
        <v>1900</v>
      </c>
      <c r="W107" s="44">
        <v>925</v>
      </c>
      <c r="X107" s="44">
        <v>0</v>
      </c>
      <c r="Y107" s="107">
        <v>975</v>
      </c>
      <c r="Z107" s="44">
        <v>975</v>
      </c>
    </row>
    <row r="108" spans="1:26" x14ac:dyDescent="0.25">
      <c r="A108" s="43">
        <v>2026</v>
      </c>
      <c r="B108" s="43" t="s">
        <v>292</v>
      </c>
      <c r="C108" s="106" t="s">
        <v>642</v>
      </c>
      <c r="D108" s="43" t="s">
        <v>365</v>
      </c>
      <c r="E108" s="43" t="s">
        <v>643</v>
      </c>
      <c r="F108" s="43" t="s">
        <v>163</v>
      </c>
      <c r="G108" s="43" t="s">
        <v>163</v>
      </c>
      <c r="H108" s="43" t="s">
        <v>306</v>
      </c>
      <c r="I108" s="43" t="s">
        <v>186</v>
      </c>
      <c r="J108" s="43" t="s">
        <v>186</v>
      </c>
      <c r="K108" s="49" t="s">
        <v>307</v>
      </c>
      <c r="L108" s="49" t="s">
        <v>644</v>
      </c>
      <c r="M108" s="43" t="s">
        <v>309</v>
      </c>
      <c r="N108" s="43" t="s">
        <v>310</v>
      </c>
      <c r="O108" s="43" t="s">
        <v>311</v>
      </c>
      <c r="P108" s="43" t="s">
        <v>312</v>
      </c>
      <c r="Q108" s="49" t="s">
        <v>313</v>
      </c>
      <c r="R108" s="43" t="s">
        <v>320</v>
      </c>
      <c r="S108" s="43" t="s">
        <v>321</v>
      </c>
      <c r="T108" s="44">
        <v>61</v>
      </c>
      <c r="U108" s="44">
        <v>2196</v>
      </c>
      <c r="V108" s="44">
        <v>2196</v>
      </c>
      <c r="W108" s="44">
        <v>1049.2</v>
      </c>
      <c r="X108" s="44">
        <v>0</v>
      </c>
      <c r="Y108" s="107">
        <v>1146.8</v>
      </c>
      <c r="Z108" s="44">
        <v>1146.8</v>
      </c>
    </row>
    <row r="109" spans="1:26" x14ac:dyDescent="0.25">
      <c r="A109" s="43">
        <v>2026</v>
      </c>
      <c r="B109" s="43" t="s">
        <v>292</v>
      </c>
      <c r="C109" s="106" t="s">
        <v>645</v>
      </c>
      <c r="D109" s="43" t="s">
        <v>369</v>
      </c>
      <c r="E109" s="43" t="s">
        <v>646</v>
      </c>
      <c r="F109" s="43" t="s">
        <v>325</v>
      </c>
      <c r="G109" s="43" t="s">
        <v>325</v>
      </c>
      <c r="H109" s="43" t="s">
        <v>306</v>
      </c>
      <c r="I109" s="43" t="s">
        <v>186</v>
      </c>
      <c r="J109" s="43" t="s">
        <v>186</v>
      </c>
      <c r="K109" s="49" t="s">
        <v>307</v>
      </c>
      <c r="L109" s="49" t="s">
        <v>647</v>
      </c>
      <c r="M109" s="43" t="s">
        <v>309</v>
      </c>
      <c r="N109" s="43" t="s">
        <v>310</v>
      </c>
      <c r="O109" s="43" t="s">
        <v>311</v>
      </c>
      <c r="P109" s="43" t="s">
        <v>312</v>
      </c>
      <c r="Q109" s="49" t="s">
        <v>313</v>
      </c>
      <c r="R109" s="43" t="s">
        <v>327</v>
      </c>
      <c r="S109" s="43" t="s">
        <v>328</v>
      </c>
      <c r="T109" s="44">
        <v>72</v>
      </c>
      <c r="U109" s="44">
        <v>2592</v>
      </c>
      <c r="V109" s="44">
        <v>2592</v>
      </c>
      <c r="W109" s="44">
        <v>1260</v>
      </c>
      <c r="X109" s="44">
        <v>0</v>
      </c>
      <c r="Y109" s="107">
        <v>1332</v>
      </c>
      <c r="Z109" s="44">
        <v>1332</v>
      </c>
    </row>
    <row r="110" spans="1:26" x14ac:dyDescent="0.25">
      <c r="A110" s="43">
        <v>2026</v>
      </c>
      <c r="B110" s="43" t="s">
        <v>292</v>
      </c>
      <c r="C110" s="106" t="s">
        <v>648</v>
      </c>
      <c r="D110" s="43" t="s">
        <v>373</v>
      </c>
      <c r="E110" s="43" t="s">
        <v>649</v>
      </c>
      <c r="F110" s="43" t="s">
        <v>167</v>
      </c>
      <c r="G110" s="43" t="s">
        <v>167</v>
      </c>
      <c r="H110" s="43" t="s">
        <v>306</v>
      </c>
      <c r="I110" s="43" t="s">
        <v>186</v>
      </c>
      <c r="J110" s="43" t="s">
        <v>186</v>
      </c>
      <c r="K110" s="49" t="s">
        <v>307</v>
      </c>
      <c r="L110" s="49" t="s">
        <v>650</v>
      </c>
      <c r="M110" s="43" t="s">
        <v>309</v>
      </c>
      <c r="N110" s="43" t="s">
        <v>310</v>
      </c>
      <c r="O110" s="43" t="s">
        <v>311</v>
      </c>
      <c r="P110" s="43" t="s">
        <v>312</v>
      </c>
      <c r="Q110" s="49" t="s">
        <v>313</v>
      </c>
      <c r="R110" s="43" t="s">
        <v>314</v>
      </c>
      <c r="S110" s="43" t="s">
        <v>333</v>
      </c>
      <c r="T110" s="44">
        <v>83</v>
      </c>
      <c r="U110" s="44">
        <v>2905</v>
      </c>
      <c r="V110" s="44">
        <v>2905</v>
      </c>
      <c r="W110" s="44">
        <v>1394.4</v>
      </c>
      <c r="X110" s="44">
        <v>0</v>
      </c>
      <c r="Y110" s="107">
        <v>1510.6</v>
      </c>
      <c r="Z110" s="44">
        <v>1510.6</v>
      </c>
    </row>
    <row r="111" spans="1:26" x14ac:dyDescent="0.25">
      <c r="A111" s="43">
        <v>2026</v>
      </c>
      <c r="B111" s="43" t="s">
        <v>292</v>
      </c>
      <c r="C111" s="106" t="s">
        <v>651</v>
      </c>
      <c r="D111" s="43" t="s">
        <v>377</v>
      </c>
      <c r="E111" s="43" t="s">
        <v>652</v>
      </c>
      <c r="F111" s="43" t="s">
        <v>165</v>
      </c>
      <c r="G111" s="43" t="s">
        <v>165</v>
      </c>
      <c r="H111" s="43" t="s">
        <v>306</v>
      </c>
      <c r="I111" s="43" t="s">
        <v>186</v>
      </c>
      <c r="J111" s="43" t="s">
        <v>186</v>
      </c>
      <c r="K111" s="49" t="s">
        <v>307</v>
      </c>
      <c r="L111" s="49" t="s">
        <v>653</v>
      </c>
      <c r="M111" s="43" t="s">
        <v>309</v>
      </c>
      <c r="N111" s="43" t="s">
        <v>310</v>
      </c>
      <c r="O111" s="43" t="s">
        <v>311</v>
      </c>
      <c r="P111" s="43" t="s">
        <v>312</v>
      </c>
      <c r="Q111" s="49" t="s">
        <v>313</v>
      </c>
      <c r="R111" s="43" t="s">
        <v>320</v>
      </c>
      <c r="S111" s="43" t="s">
        <v>338</v>
      </c>
      <c r="T111" s="44">
        <v>94</v>
      </c>
      <c r="U111" s="44">
        <v>3196</v>
      </c>
      <c r="V111" s="44">
        <v>3196</v>
      </c>
      <c r="W111" s="44">
        <v>1551</v>
      </c>
      <c r="X111" s="44">
        <v>0</v>
      </c>
      <c r="Y111" s="107">
        <v>1645</v>
      </c>
      <c r="Z111" s="44">
        <v>1645</v>
      </c>
    </row>
    <row r="112" spans="1:26" x14ac:dyDescent="0.25">
      <c r="A112" s="43">
        <v>2026</v>
      </c>
      <c r="B112" s="43" t="s">
        <v>293</v>
      </c>
      <c r="C112" s="106" t="s">
        <v>654</v>
      </c>
      <c r="D112" s="43" t="s">
        <v>304</v>
      </c>
      <c r="E112" s="43" t="s">
        <v>655</v>
      </c>
      <c r="F112" s="43" t="s">
        <v>158</v>
      </c>
      <c r="G112" s="43" t="s">
        <v>158</v>
      </c>
      <c r="H112" s="43" t="s">
        <v>306</v>
      </c>
      <c r="I112" s="43" t="s">
        <v>186</v>
      </c>
      <c r="J112" s="43" t="s">
        <v>186</v>
      </c>
      <c r="K112" s="49" t="s">
        <v>307</v>
      </c>
      <c r="L112" s="49" t="s">
        <v>656</v>
      </c>
      <c r="M112" s="43" t="s">
        <v>309</v>
      </c>
      <c r="N112" s="43" t="s">
        <v>310</v>
      </c>
      <c r="O112" s="43" t="s">
        <v>311</v>
      </c>
      <c r="P112" s="43" t="s">
        <v>312</v>
      </c>
      <c r="Q112" s="49" t="s">
        <v>313</v>
      </c>
      <c r="R112" s="43" t="s">
        <v>314</v>
      </c>
      <c r="S112" s="43" t="s">
        <v>315</v>
      </c>
      <c r="T112" s="44">
        <v>50</v>
      </c>
      <c r="U112" s="44">
        <v>1900</v>
      </c>
      <c r="V112" s="44">
        <v>1900</v>
      </c>
      <c r="W112" s="44">
        <v>925</v>
      </c>
      <c r="X112" s="44">
        <v>0</v>
      </c>
      <c r="Y112" s="107">
        <v>975</v>
      </c>
      <c r="Z112" s="44">
        <v>975</v>
      </c>
    </row>
    <row r="113" spans="1:26" x14ac:dyDescent="0.25">
      <c r="A113" s="43">
        <v>2026</v>
      </c>
      <c r="B113" s="43" t="s">
        <v>293</v>
      </c>
      <c r="C113" s="106" t="s">
        <v>657</v>
      </c>
      <c r="D113" s="43" t="s">
        <v>317</v>
      </c>
      <c r="E113" s="43" t="s">
        <v>658</v>
      </c>
      <c r="F113" s="43" t="s">
        <v>163</v>
      </c>
      <c r="G113" s="43" t="s">
        <v>163</v>
      </c>
      <c r="H113" s="43" t="s">
        <v>306</v>
      </c>
      <c r="I113" s="43" t="s">
        <v>186</v>
      </c>
      <c r="J113" s="43" t="s">
        <v>186</v>
      </c>
      <c r="K113" s="49" t="s">
        <v>307</v>
      </c>
      <c r="L113" s="49" t="s">
        <v>659</v>
      </c>
      <c r="M113" s="43" t="s">
        <v>309</v>
      </c>
      <c r="N113" s="43" t="s">
        <v>310</v>
      </c>
      <c r="O113" s="43" t="s">
        <v>311</v>
      </c>
      <c r="P113" s="43" t="s">
        <v>312</v>
      </c>
      <c r="Q113" s="49" t="s">
        <v>313</v>
      </c>
      <c r="R113" s="43" t="s">
        <v>320</v>
      </c>
      <c r="S113" s="43" t="s">
        <v>321</v>
      </c>
      <c r="T113" s="44">
        <v>61</v>
      </c>
      <c r="U113" s="44">
        <v>2196</v>
      </c>
      <c r="V113" s="44">
        <v>2196</v>
      </c>
      <c r="W113" s="44">
        <v>1049.2</v>
      </c>
      <c r="X113" s="44">
        <v>0</v>
      </c>
      <c r="Y113" s="107">
        <v>1146.8</v>
      </c>
      <c r="Z113" s="44">
        <v>1146.8</v>
      </c>
    </row>
    <row r="114" spans="1:26" x14ac:dyDescent="0.25">
      <c r="A114" s="43">
        <v>2026</v>
      </c>
      <c r="B114" s="43" t="s">
        <v>293</v>
      </c>
      <c r="C114" s="106" t="s">
        <v>660</v>
      </c>
      <c r="D114" s="43" t="s">
        <v>323</v>
      </c>
      <c r="E114" s="43" t="s">
        <v>661</v>
      </c>
      <c r="F114" s="43" t="s">
        <v>325</v>
      </c>
      <c r="G114" s="43" t="s">
        <v>325</v>
      </c>
      <c r="H114" s="43" t="s">
        <v>306</v>
      </c>
      <c r="I114" s="43" t="s">
        <v>186</v>
      </c>
      <c r="J114" s="43" t="s">
        <v>186</v>
      </c>
      <c r="K114" s="49" t="s">
        <v>307</v>
      </c>
      <c r="L114" s="49" t="s">
        <v>662</v>
      </c>
      <c r="M114" s="43" t="s">
        <v>309</v>
      </c>
      <c r="N114" s="43" t="s">
        <v>310</v>
      </c>
      <c r="O114" s="43" t="s">
        <v>311</v>
      </c>
      <c r="P114" s="43" t="s">
        <v>312</v>
      </c>
      <c r="Q114" s="49" t="s">
        <v>313</v>
      </c>
      <c r="R114" s="43" t="s">
        <v>327</v>
      </c>
      <c r="S114" s="43" t="s">
        <v>328</v>
      </c>
      <c r="T114" s="44">
        <v>72</v>
      </c>
      <c r="U114" s="44">
        <v>2592</v>
      </c>
      <c r="V114" s="44">
        <v>2592</v>
      </c>
      <c r="W114" s="44">
        <v>1260</v>
      </c>
      <c r="X114" s="44">
        <v>0</v>
      </c>
      <c r="Y114" s="107">
        <v>1332</v>
      </c>
      <c r="Z114" s="44">
        <v>1332</v>
      </c>
    </row>
    <row r="115" spans="1:26" x14ac:dyDescent="0.25">
      <c r="A115" s="43">
        <v>2026</v>
      </c>
      <c r="B115" s="43" t="s">
        <v>293</v>
      </c>
      <c r="C115" s="106" t="s">
        <v>663</v>
      </c>
      <c r="D115" s="43" t="s">
        <v>330</v>
      </c>
      <c r="E115" s="43" t="s">
        <v>664</v>
      </c>
      <c r="F115" s="43" t="s">
        <v>167</v>
      </c>
      <c r="G115" s="43" t="s">
        <v>167</v>
      </c>
      <c r="H115" s="43" t="s">
        <v>306</v>
      </c>
      <c r="I115" s="43" t="s">
        <v>186</v>
      </c>
      <c r="J115" s="43" t="s">
        <v>186</v>
      </c>
      <c r="K115" s="49" t="s">
        <v>307</v>
      </c>
      <c r="L115" s="49" t="s">
        <v>665</v>
      </c>
      <c r="M115" s="43" t="s">
        <v>309</v>
      </c>
      <c r="N115" s="43" t="s">
        <v>310</v>
      </c>
      <c r="O115" s="43" t="s">
        <v>311</v>
      </c>
      <c r="P115" s="43" t="s">
        <v>312</v>
      </c>
      <c r="Q115" s="49" t="s">
        <v>313</v>
      </c>
      <c r="R115" s="43" t="s">
        <v>314</v>
      </c>
      <c r="S115" s="43" t="s">
        <v>333</v>
      </c>
      <c r="T115" s="44">
        <v>83</v>
      </c>
      <c r="U115" s="44">
        <v>2905</v>
      </c>
      <c r="V115" s="44">
        <v>2905</v>
      </c>
      <c r="W115" s="44">
        <v>1394.4</v>
      </c>
      <c r="X115" s="44">
        <v>0</v>
      </c>
      <c r="Y115" s="107">
        <v>1510.6</v>
      </c>
      <c r="Z115" s="44">
        <v>1510.6</v>
      </c>
    </row>
    <row r="116" spans="1:26" x14ac:dyDescent="0.25">
      <c r="A116" s="43">
        <v>2026</v>
      </c>
      <c r="B116" s="43" t="s">
        <v>293</v>
      </c>
      <c r="C116" s="106" t="s">
        <v>666</v>
      </c>
      <c r="D116" s="43" t="s">
        <v>335</v>
      </c>
      <c r="E116" s="43" t="s">
        <v>667</v>
      </c>
      <c r="F116" s="43" t="s">
        <v>165</v>
      </c>
      <c r="G116" s="43" t="s">
        <v>165</v>
      </c>
      <c r="H116" s="43" t="s">
        <v>306</v>
      </c>
      <c r="I116" s="43" t="s">
        <v>186</v>
      </c>
      <c r="J116" s="43" t="s">
        <v>186</v>
      </c>
      <c r="K116" s="49" t="s">
        <v>307</v>
      </c>
      <c r="L116" s="49" t="s">
        <v>668</v>
      </c>
      <c r="M116" s="43" t="s">
        <v>309</v>
      </c>
      <c r="N116" s="43" t="s">
        <v>310</v>
      </c>
      <c r="O116" s="43" t="s">
        <v>311</v>
      </c>
      <c r="P116" s="43" t="s">
        <v>312</v>
      </c>
      <c r="Q116" s="49" t="s">
        <v>313</v>
      </c>
      <c r="R116" s="43" t="s">
        <v>320</v>
      </c>
      <c r="S116" s="43" t="s">
        <v>338</v>
      </c>
      <c r="T116" s="44">
        <v>94</v>
      </c>
      <c r="U116" s="44">
        <v>3196</v>
      </c>
      <c r="V116" s="44">
        <v>3196</v>
      </c>
      <c r="W116" s="44">
        <v>1551</v>
      </c>
      <c r="X116" s="44">
        <v>0</v>
      </c>
      <c r="Y116" s="107">
        <v>1645</v>
      </c>
      <c r="Z116" s="44">
        <v>1645</v>
      </c>
    </row>
    <row r="117" spans="1:26" x14ac:dyDescent="0.25">
      <c r="A117" s="43">
        <v>2026</v>
      </c>
      <c r="B117" s="43" t="s">
        <v>294</v>
      </c>
      <c r="C117" s="106" t="s">
        <v>669</v>
      </c>
      <c r="D117" s="43" t="s">
        <v>341</v>
      </c>
      <c r="E117" s="43" t="s">
        <v>670</v>
      </c>
      <c r="F117" s="43" t="s">
        <v>158</v>
      </c>
      <c r="G117" s="43" t="s">
        <v>158</v>
      </c>
      <c r="H117" s="43" t="s">
        <v>306</v>
      </c>
      <c r="I117" s="43" t="s">
        <v>186</v>
      </c>
      <c r="J117" s="43" t="s">
        <v>186</v>
      </c>
      <c r="K117" s="49" t="s">
        <v>307</v>
      </c>
      <c r="L117" s="49" t="s">
        <v>671</v>
      </c>
      <c r="M117" s="43" t="s">
        <v>309</v>
      </c>
      <c r="N117" s="43" t="s">
        <v>310</v>
      </c>
      <c r="O117" s="43" t="s">
        <v>311</v>
      </c>
      <c r="P117" s="43" t="s">
        <v>312</v>
      </c>
      <c r="Q117" s="49" t="s">
        <v>313</v>
      </c>
      <c r="R117" s="43" t="s">
        <v>314</v>
      </c>
      <c r="S117" s="43" t="s">
        <v>315</v>
      </c>
      <c r="T117" s="44">
        <v>50</v>
      </c>
      <c r="U117" s="44">
        <v>1900</v>
      </c>
      <c r="V117" s="44">
        <v>1900</v>
      </c>
      <c r="W117" s="44">
        <v>925</v>
      </c>
      <c r="X117" s="44">
        <v>0</v>
      </c>
      <c r="Y117" s="107">
        <v>975</v>
      </c>
      <c r="Z117" s="44">
        <v>975</v>
      </c>
    </row>
    <row r="118" spans="1:26" x14ac:dyDescent="0.25">
      <c r="A118" s="43">
        <v>2026</v>
      </c>
      <c r="B118" s="43" t="s">
        <v>294</v>
      </c>
      <c r="C118" s="106" t="s">
        <v>672</v>
      </c>
      <c r="D118" s="43" t="s">
        <v>345</v>
      </c>
      <c r="E118" s="43" t="s">
        <v>673</v>
      </c>
      <c r="F118" s="43" t="s">
        <v>163</v>
      </c>
      <c r="G118" s="43" t="s">
        <v>163</v>
      </c>
      <c r="H118" s="43" t="s">
        <v>306</v>
      </c>
      <c r="I118" s="43" t="s">
        <v>186</v>
      </c>
      <c r="J118" s="43" t="s">
        <v>186</v>
      </c>
      <c r="K118" s="49" t="s">
        <v>307</v>
      </c>
      <c r="L118" s="49" t="s">
        <v>674</v>
      </c>
      <c r="M118" s="43" t="s">
        <v>309</v>
      </c>
      <c r="N118" s="43" t="s">
        <v>310</v>
      </c>
      <c r="O118" s="43" t="s">
        <v>311</v>
      </c>
      <c r="P118" s="43" t="s">
        <v>312</v>
      </c>
      <c r="Q118" s="49" t="s">
        <v>313</v>
      </c>
      <c r="R118" s="43" t="s">
        <v>320</v>
      </c>
      <c r="S118" s="43" t="s">
        <v>321</v>
      </c>
      <c r="T118" s="44">
        <v>61</v>
      </c>
      <c r="U118" s="44">
        <v>2196</v>
      </c>
      <c r="V118" s="44">
        <v>2196</v>
      </c>
      <c r="W118" s="44">
        <v>1049.2</v>
      </c>
      <c r="X118" s="44">
        <v>0</v>
      </c>
      <c r="Y118" s="107">
        <v>1146.8</v>
      </c>
      <c r="Z118" s="44">
        <v>1146.8</v>
      </c>
    </row>
    <row r="119" spans="1:26" x14ac:dyDescent="0.25">
      <c r="A119" s="43">
        <v>2026</v>
      </c>
      <c r="B119" s="43" t="s">
        <v>294</v>
      </c>
      <c r="C119" s="106" t="s">
        <v>675</v>
      </c>
      <c r="D119" s="43" t="s">
        <v>349</v>
      </c>
      <c r="E119" s="43" t="s">
        <v>676</v>
      </c>
      <c r="F119" s="43" t="s">
        <v>325</v>
      </c>
      <c r="G119" s="43" t="s">
        <v>325</v>
      </c>
      <c r="H119" s="43" t="s">
        <v>306</v>
      </c>
      <c r="I119" s="43" t="s">
        <v>186</v>
      </c>
      <c r="J119" s="43" t="s">
        <v>186</v>
      </c>
      <c r="K119" s="49" t="s">
        <v>307</v>
      </c>
      <c r="L119" s="49" t="s">
        <v>677</v>
      </c>
      <c r="M119" s="43" t="s">
        <v>309</v>
      </c>
      <c r="N119" s="43" t="s">
        <v>310</v>
      </c>
      <c r="O119" s="43" t="s">
        <v>311</v>
      </c>
      <c r="P119" s="43" t="s">
        <v>312</v>
      </c>
      <c r="Q119" s="49" t="s">
        <v>313</v>
      </c>
      <c r="R119" s="43" t="s">
        <v>327</v>
      </c>
      <c r="S119" s="43" t="s">
        <v>328</v>
      </c>
      <c r="T119" s="44">
        <v>72</v>
      </c>
      <c r="U119" s="44">
        <v>2592</v>
      </c>
      <c r="V119" s="44">
        <v>2592</v>
      </c>
      <c r="W119" s="44">
        <v>1260</v>
      </c>
      <c r="X119" s="44">
        <v>0</v>
      </c>
      <c r="Y119" s="107">
        <v>1332</v>
      </c>
      <c r="Z119" s="44">
        <v>1332</v>
      </c>
    </row>
    <row r="120" spans="1:26" x14ac:dyDescent="0.25">
      <c r="A120" s="43">
        <v>2026</v>
      </c>
      <c r="B120" s="43" t="s">
        <v>294</v>
      </c>
      <c r="C120" s="106" t="s">
        <v>678</v>
      </c>
      <c r="D120" s="43" t="s">
        <v>353</v>
      </c>
      <c r="E120" s="43" t="s">
        <v>679</v>
      </c>
      <c r="F120" s="43" t="s">
        <v>167</v>
      </c>
      <c r="G120" s="43" t="s">
        <v>167</v>
      </c>
      <c r="H120" s="43" t="s">
        <v>306</v>
      </c>
      <c r="I120" s="43" t="s">
        <v>186</v>
      </c>
      <c r="J120" s="43" t="s">
        <v>186</v>
      </c>
      <c r="K120" s="49" t="s">
        <v>307</v>
      </c>
      <c r="L120" s="49" t="s">
        <v>680</v>
      </c>
      <c r="M120" s="43" t="s">
        <v>309</v>
      </c>
      <c r="N120" s="43" t="s">
        <v>310</v>
      </c>
      <c r="O120" s="43" t="s">
        <v>311</v>
      </c>
      <c r="P120" s="43" t="s">
        <v>312</v>
      </c>
      <c r="Q120" s="49" t="s">
        <v>313</v>
      </c>
      <c r="R120" s="43" t="s">
        <v>314</v>
      </c>
      <c r="S120" s="43" t="s">
        <v>333</v>
      </c>
      <c r="T120" s="44">
        <v>83</v>
      </c>
      <c r="U120" s="44">
        <v>2905</v>
      </c>
      <c r="V120" s="44">
        <v>2905</v>
      </c>
      <c r="W120" s="44">
        <v>1394.4</v>
      </c>
      <c r="X120" s="44">
        <v>0</v>
      </c>
      <c r="Y120" s="107">
        <v>1510.6</v>
      </c>
      <c r="Z120" s="44">
        <v>1510.6</v>
      </c>
    </row>
    <row r="121" spans="1:26" x14ac:dyDescent="0.25">
      <c r="A121" s="43">
        <v>2026</v>
      </c>
      <c r="B121" s="43" t="s">
        <v>294</v>
      </c>
      <c r="C121" s="106" t="s">
        <v>681</v>
      </c>
      <c r="D121" s="43" t="s">
        <v>357</v>
      </c>
      <c r="E121" s="43" t="s">
        <v>682</v>
      </c>
      <c r="F121" s="43" t="s">
        <v>165</v>
      </c>
      <c r="G121" s="43" t="s">
        <v>165</v>
      </c>
      <c r="H121" s="43" t="s">
        <v>306</v>
      </c>
      <c r="I121" s="43" t="s">
        <v>186</v>
      </c>
      <c r="J121" s="43" t="s">
        <v>186</v>
      </c>
      <c r="K121" s="49" t="s">
        <v>307</v>
      </c>
      <c r="L121" s="49" t="s">
        <v>683</v>
      </c>
      <c r="M121" s="43" t="s">
        <v>309</v>
      </c>
      <c r="N121" s="43" t="s">
        <v>310</v>
      </c>
      <c r="O121" s="43" t="s">
        <v>311</v>
      </c>
      <c r="P121" s="43" t="s">
        <v>312</v>
      </c>
      <c r="Q121" s="49" t="s">
        <v>313</v>
      </c>
      <c r="R121" s="43" t="s">
        <v>320</v>
      </c>
      <c r="S121" s="43" t="s">
        <v>338</v>
      </c>
      <c r="T121" s="44">
        <v>94</v>
      </c>
      <c r="U121" s="44">
        <v>3196</v>
      </c>
      <c r="V121" s="44">
        <v>3196</v>
      </c>
      <c r="W121" s="44">
        <v>1551</v>
      </c>
      <c r="X121" s="44">
        <v>0</v>
      </c>
      <c r="Y121" s="107">
        <v>1645</v>
      </c>
      <c r="Z121" s="44">
        <v>1645</v>
      </c>
    </row>
    <row r="122" spans="1:26" x14ac:dyDescent="0.25">
      <c r="A122" s="43">
        <v>2026</v>
      </c>
      <c r="B122" s="43" t="s">
        <v>503</v>
      </c>
      <c r="C122" s="106" t="s">
        <v>684</v>
      </c>
      <c r="D122" s="43" t="s">
        <v>361</v>
      </c>
      <c r="E122" s="43" t="s">
        <v>685</v>
      </c>
      <c r="F122" s="43" t="s">
        <v>158</v>
      </c>
      <c r="G122" s="43" t="s">
        <v>158</v>
      </c>
      <c r="H122" s="43" t="s">
        <v>306</v>
      </c>
      <c r="I122" s="43" t="s">
        <v>186</v>
      </c>
      <c r="J122" s="43" t="s">
        <v>186</v>
      </c>
      <c r="K122" s="49" t="s">
        <v>307</v>
      </c>
      <c r="L122" s="49" t="s">
        <v>686</v>
      </c>
      <c r="M122" s="43" t="s">
        <v>309</v>
      </c>
      <c r="N122" s="43" t="s">
        <v>310</v>
      </c>
      <c r="O122" s="43" t="s">
        <v>311</v>
      </c>
      <c r="P122" s="43" t="s">
        <v>312</v>
      </c>
      <c r="Q122" s="49" t="s">
        <v>313</v>
      </c>
      <c r="R122" s="43" t="s">
        <v>314</v>
      </c>
      <c r="S122" s="43" t="s">
        <v>315</v>
      </c>
      <c r="T122" s="44">
        <v>50</v>
      </c>
      <c r="U122" s="44">
        <v>1900</v>
      </c>
      <c r="V122" s="44">
        <v>1900</v>
      </c>
      <c r="W122" s="44">
        <v>925</v>
      </c>
      <c r="X122" s="44">
        <v>0</v>
      </c>
      <c r="Y122" s="107">
        <v>975</v>
      </c>
      <c r="Z122" s="44">
        <v>975</v>
      </c>
    </row>
    <row r="123" spans="1:26" x14ac:dyDescent="0.25">
      <c r="A123" s="43">
        <v>2026</v>
      </c>
      <c r="B123" s="43" t="s">
        <v>503</v>
      </c>
      <c r="C123" s="106" t="s">
        <v>687</v>
      </c>
      <c r="D123" s="43" t="s">
        <v>365</v>
      </c>
      <c r="E123" s="43" t="s">
        <v>688</v>
      </c>
      <c r="F123" s="43" t="s">
        <v>163</v>
      </c>
      <c r="G123" s="43" t="s">
        <v>163</v>
      </c>
      <c r="H123" s="43" t="s">
        <v>306</v>
      </c>
      <c r="I123" s="43" t="s">
        <v>186</v>
      </c>
      <c r="J123" s="43" t="s">
        <v>186</v>
      </c>
      <c r="K123" s="49" t="s">
        <v>307</v>
      </c>
      <c r="L123" s="49" t="s">
        <v>689</v>
      </c>
      <c r="M123" s="43" t="s">
        <v>309</v>
      </c>
      <c r="N123" s="43" t="s">
        <v>310</v>
      </c>
      <c r="O123" s="43" t="s">
        <v>311</v>
      </c>
      <c r="P123" s="43" t="s">
        <v>312</v>
      </c>
      <c r="Q123" s="49" t="s">
        <v>313</v>
      </c>
      <c r="R123" s="43" t="s">
        <v>320</v>
      </c>
      <c r="S123" s="43" t="s">
        <v>321</v>
      </c>
      <c r="T123" s="44">
        <v>61</v>
      </c>
      <c r="U123" s="44">
        <v>2196</v>
      </c>
      <c r="V123" s="44">
        <v>2196</v>
      </c>
      <c r="W123" s="44">
        <v>1049.2</v>
      </c>
      <c r="X123" s="44">
        <v>0</v>
      </c>
      <c r="Y123" s="107">
        <v>1146.8</v>
      </c>
      <c r="Z123" s="44">
        <v>1146.8</v>
      </c>
    </row>
    <row r="124" spans="1:26" x14ac:dyDescent="0.25">
      <c r="A124" s="43">
        <v>2026</v>
      </c>
      <c r="B124" s="43" t="s">
        <v>503</v>
      </c>
      <c r="C124" s="106" t="s">
        <v>690</v>
      </c>
      <c r="D124" s="43" t="s">
        <v>369</v>
      </c>
      <c r="E124" s="43" t="s">
        <v>691</v>
      </c>
      <c r="F124" s="43" t="s">
        <v>325</v>
      </c>
      <c r="G124" s="43" t="s">
        <v>325</v>
      </c>
      <c r="H124" s="43" t="s">
        <v>306</v>
      </c>
      <c r="I124" s="43" t="s">
        <v>186</v>
      </c>
      <c r="J124" s="43" t="s">
        <v>186</v>
      </c>
      <c r="K124" s="49" t="s">
        <v>307</v>
      </c>
      <c r="L124" s="49" t="s">
        <v>692</v>
      </c>
      <c r="M124" s="43" t="s">
        <v>309</v>
      </c>
      <c r="N124" s="43" t="s">
        <v>310</v>
      </c>
      <c r="O124" s="43" t="s">
        <v>311</v>
      </c>
      <c r="P124" s="43" t="s">
        <v>312</v>
      </c>
      <c r="Q124" s="49" t="s">
        <v>313</v>
      </c>
      <c r="R124" s="43" t="s">
        <v>327</v>
      </c>
      <c r="S124" s="43" t="s">
        <v>328</v>
      </c>
      <c r="T124" s="44">
        <v>72</v>
      </c>
      <c r="U124" s="44">
        <v>2592</v>
      </c>
      <c r="V124" s="44">
        <v>2592</v>
      </c>
      <c r="W124" s="44">
        <v>1260</v>
      </c>
      <c r="X124" s="44">
        <v>0</v>
      </c>
      <c r="Y124" s="107">
        <v>1332</v>
      </c>
      <c r="Z124" s="44">
        <v>1332</v>
      </c>
    </row>
    <row r="125" spans="1:26" x14ac:dyDescent="0.25">
      <c r="A125" s="43">
        <v>2026</v>
      </c>
      <c r="B125" s="43" t="s">
        <v>503</v>
      </c>
      <c r="C125" s="106" t="s">
        <v>693</v>
      </c>
      <c r="D125" s="43" t="s">
        <v>373</v>
      </c>
      <c r="E125" s="43" t="s">
        <v>694</v>
      </c>
      <c r="F125" s="43" t="s">
        <v>167</v>
      </c>
      <c r="G125" s="43" t="s">
        <v>167</v>
      </c>
      <c r="H125" s="43" t="s">
        <v>306</v>
      </c>
      <c r="I125" s="43" t="s">
        <v>186</v>
      </c>
      <c r="J125" s="43" t="s">
        <v>186</v>
      </c>
      <c r="K125" s="49" t="s">
        <v>307</v>
      </c>
      <c r="L125" s="49" t="s">
        <v>695</v>
      </c>
      <c r="M125" s="43" t="s">
        <v>309</v>
      </c>
      <c r="N125" s="43" t="s">
        <v>310</v>
      </c>
      <c r="O125" s="43" t="s">
        <v>311</v>
      </c>
      <c r="P125" s="43" t="s">
        <v>312</v>
      </c>
      <c r="Q125" s="49" t="s">
        <v>313</v>
      </c>
      <c r="R125" s="43" t="s">
        <v>314</v>
      </c>
      <c r="S125" s="43" t="s">
        <v>333</v>
      </c>
      <c r="T125" s="44">
        <v>83</v>
      </c>
      <c r="U125" s="44">
        <v>2905</v>
      </c>
      <c r="V125" s="44">
        <v>2905</v>
      </c>
      <c r="W125" s="44">
        <v>1394.4</v>
      </c>
      <c r="X125" s="44">
        <v>0</v>
      </c>
      <c r="Y125" s="107">
        <v>1510.6</v>
      </c>
      <c r="Z125" s="44">
        <v>1510.6</v>
      </c>
    </row>
    <row r="126" spans="1:26" x14ac:dyDescent="0.25">
      <c r="A126" s="43">
        <v>2026</v>
      </c>
      <c r="B126" s="43" t="s">
        <v>503</v>
      </c>
      <c r="C126" s="106" t="s">
        <v>696</v>
      </c>
      <c r="D126" s="43" t="s">
        <v>377</v>
      </c>
      <c r="E126" s="43" t="s">
        <v>697</v>
      </c>
      <c r="F126" s="43" t="s">
        <v>165</v>
      </c>
      <c r="G126" s="43" t="s">
        <v>165</v>
      </c>
      <c r="H126" s="43" t="s">
        <v>306</v>
      </c>
      <c r="I126" s="43" t="s">
        <v>186</v>
      </c>
      <c r="J126" s="43" t="s">
        <v>186</v>
      </c>
      <c r="K126" s="49" t="s">
        <v>307</v>
      </c>
      <c r="L126" s="49" t="s">
        <v>698</v>
      </c>
      <c r="M126" s="43" t="s">
        <v>309</v>
      </c>
      <c r="N126" s="43" t="s">
        <v>310</v>
      </c>
      <c r="O126" s="43" t="s">
        <v>311</v>
      </c>
      <c r="P126" s="43" t="s">
        <v>312</v>
      </c>
      <c r="Q126" s="49" t="s">
        <v>313</v>
      </c>
      <c r="R126" s="43" t="s">
        <v>320</v>
      </c>
      <c r="S126" s="43" t="s">
        <v>338</v>
      </c>
      <c r="T126" s="44">
        <v>94</v>
      </c>
      <c r="U126" s="44">
        <v>3196</v>
      </c>
      <c r="V126" s="44">
        <v>3196</v>
      </c>
      <c r="W126" s="44">
        <v>1551</v>
      </c>
      <c r="X126" s="44">
        <v>0</v>
      </c>
      <c r="Y126" s="107">
        <v>1645</v>
      </c>
      <c r="Z126" s="44">
        <v>1645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7"/>
  <sheetViews>
    <sheetView workbookViewId="0" showGridLines="0" zoomScale="100" zoomScaleNormal="100">
      <selection activeCell="C38" sqref="C38"/>
    </sheetView>
  </sheetViews>
  <sheetFormatPr defaultRowHeight="15" outlineLevelRow="0" outlineLevelCol="0" x14ac:dyDescent="0.25"/>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0</v>
      </c>
      <c r="C5" s="21" t="s">
        <v>155</v>
      </c>
      <c r="D5" s="42">
        <f>SUMIFS('Sales Transactions Raw Data'!T:T,'Sales Transactions Raw Data'!J:J,"Finished Goods")</f>
        <v>0</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0</v>
      </c>
      <c r="C6" s="21" t="s">
        <v>6</v>
      </c>
      <c r="D6" s="41">
        <f>B5-B6</f>
        <v>0</v>
      </c>
      <c r="E6" s="2"/>
      <c r="F6" s="2"/>
      <c r="G6" s="2"/>
      <c r="H6" s="2"/>
      <c r="I6" s="2"/>
      <c r="J6" s="2"/>
      <c r="K6" s="2"/>
      <c r="L6" s="2"/>
      <c r="M6" s="2"/>
      <c r="N6" s="2"/>
      <c r="O6" s="2"/>
      <c r="P6" s="2"/>
      <c r="Q6" s="2"/>
      <c r="R6" s="2"/>
      <c r="S6" s="2"/>
      <c r="T6" s="2"/>
      <c r="U6" s="2"/>
      <c r="V6" s="2"/>
      <c r="W6" s="2"/>
      <c r="X6" s="2"/>
      <c r="Y6" s="2"/>
      <c r="Z6" s="2"/>
    </row>
    <row r="7" spans="1:26" x14ac:dyDescent="0.25">
      <c r="A7" s="43" t="s">
        <v>157</v>
      </c>
      <c r="B7" s="43" t="s">
        <v>158</v>
      </c>
      <c r="C7" s="43" t="s">
        <v>159</v>
      </c>
      <c r="D7" s="43" t="s">
        <v>160</v>
      </c>
      <c r="E7" s="44">
        <v>450</v>
      </c>
      <c r="F7" s="44">
        <v>50</v>
      </c>
      <c r="G7" s="44">
        <v>200</v>
      </c>
      <c r="H7" s="44">
        <v>100</v>
      </c>
      <c r="I7" s="45">
        <v>18.5</v>
      </c>
      <c r="J7" s="45">
        <v>450</v>
      </c>
      <c r="K7" s="44">
        <v>400</v>
      </c>
      <c r="L7" s="2"/>
      <c r="M7" s="2"/>
      <c r="N7" s="2"/>
      <c r="O7" s="2"/>
      <c r="P7" s="2"/>
      <c r="Q7" s="2"/>
      <c r="R7" s="2"/>
      <c r="S7" s="2"/>
      <c r="T7" s="2"/>
      <c r="U7" s="2"/>
      <c r="V7" s="2"/>
      <c r="W7" s="2"/>
      <c r="X7" s="2"/>
      <c r="Y7" s="2"/>
      <c r="Z7" s="2"/>
    </row>
    <row r="8" spans="1:26" x14ac:dyDescent="0.25">
      <c r="A8" s="43" t="s">
        <v>161</v>
      </c>
      <c r="B8" s="43" t="s">
        <v>158</v>
      </c>
      <c r="C8" s="43" t="s">
        <v>159</v>
      </c>
      <c r="D8" s="43" t="s">
        <v>160</v>
      </c>
      <c r="E8" s="44">
        <v>320</v>
      </c>
      <c r="F8" s="44">
        <v>20</v>
      </c>
      <c r="G8" s="44">
        <v>0</v>
      </c>
      <c r="H8" s="44">
        <v>0</v>
      </c>
      <c r="I8" s="45">
        <v>18.5</v>
      </c>
      <c r="J8" s="45">
        <v>320</v>
      </c>
      <c r="K8" s="44">
        <v>300</v>
      </c>
      <c r="L8" s="2"/>
      <c r="M8" s="2"/>
      <c r="N8" s="2"/>
      <c r="O8" s="2"/>
      <c r="P8" s="2"/>
      <c r="Q8" s="2"/>
      <c r="R8" s="2"/>
      <c r="S8" s="2"/>
      <c r="T8" s="2"/>
      <c r="U8" s="2"/>
      <c r="V8" s="2"/>
      <c r="W8" s="2"/>
      <c r="X8" s="2"/>
      <c r="Y8" s="2"/>
      <c r="Z8" s="2"/>
    </row>
    <row r="9" spans="1:26" x14ac:dyDescent="0.25">
      <c r="A9" s="43" t="s">
        <v>162</v>
      </c>
      <c r="B9" s="43" t="s">
        <v>158</v>
      </c>
      <c r="C9" s="43" t="s">
        <v>159</v>
      </c>
      <c r="D9" s="43" t="s">
        <v>160</v>
      </c>
      <c r="E9" s="44">
        <v>1200</v>
      </c>
      <c r="F9" s="44">
        <v>150</v>
      </c>
      <c r="G9" s="44">
        <v>500</v>
      </c>
      <c r="H9" s="44">
        <v>200</v>
      </c>
      <c r="I9" s="45">
        <v>18.5</v>
      </c>
      <c r="J9" s="45">
        <v>1200</v>
      </c>
      <c r="K9" s="44">
        <v>1050</v>
      </c>
      <c r="L9" s="2"/>
      <c r="M9" s="2"/>
      <c r="N9" s="2"/>
      <c r="O9" s="2"/>
      <c r="P9" s="2"/>
      <c r="Q9" s="2"/>
      <c r="R9" s="2"/>
      <c r="S9" s="2"/>
      <c r="T9" s="2"/>
      <c r="U9" s="2"/>
      <c r="V9" s="2"/>
      <c r="W9" s="2"/>
      <c r="X9" s="2"/>
      <c r="Y9" s="2"/>
      <c r="Z9" s="2"/>
    </row>
    <row r="10" spans="1:26" x14ac:dyDescent="0.25">
      <c r="A10" s="43" t="s">
        <v>157</v>
      </c>
      <c r="B10" s="43" t="s">
        <v>163</v>
      </c>
      <c r="C10" s="43" t="s">
        <v>164</v>
      </c>
      <c r="D10" s="43" t="s">
        <v>160</v>
      </c>
      <c r="E10" s="44">
        <v>580</v>
      </c>
      <c r="F10" s="44">
        <v>80</v>
      </c>
      <c r="G10" s="44">
        <v>150</v>
      </c>
      <c r="H10" s="44">
        <v>50</v>
      </c>
      <c r="I10" s="45">
        <v>17.2</v>
      </c>
      <c r="J10" s="45">
        <v>580</v>
      </c>
      <c r="K10" s="44">
        <v>500</v>
      </c>
      <c r="L10" s="2"/>
      <c r="M10" s="2"/>
      <c r="N10" s="2"/>
      <c r="O10" s="2"/>
      <c r="P10" s="2"/>
      <c r="Q10" s="2"/>
      <c r="R10" s="2"/>
      <c r="S10" s="2"/>
      <c r="T10" s="2"/>
      <c r="U10" s="2"/>
      <c r="V10" s="2"/>
      <c r="W10" s="2"/>
      <c r="X10" s="2"/>
      <c r="Y10" s="2"/>
      <c r="Z10" s="2"/>
    </row>
    <row r="11" spans="1:26" x14ac:dyDescent="0.25">
      <c r="A11" s="43" t="s">
        <v>161</v>
      </c>
      <c r="B11" s="43" t="s">
        <v>163</v>
      </c>
      <c r="C11" s="43" t="s">
        <v>164</v>
      </c>
      <c r="D11" s="43" t="s">
        <v>160</v>
      </c>
      <c r="E11" s="44">
        <v>240</v>
      </c>
      <c r="F11" s="44">
        <v>10</v>
      </c>
      <c r="G11" s="44">
        <v>0</v>
      </c>
      <c r="H11" s="44">
        <v>0</v>
      </c>
      <c r="I11" s="45">
        <v>17.2</v>
      </c>
      <c r="J11" s="45">
        <v>240</v>
      </c>
      <c r="K11" s="44">
        <v>230</v>
      </c>
      <c r="L11" s="2"/>
      <c r="M11" s="2"/>
      <c r="N11" s="2"/>
      <c r="O11" s="2"/>
      <c r="P11" s="2"/>
      <c r="Q11" s="2"/>
      <c r="R11" s="2"/>
      <c r="S11" s="2"/>
      <c r="T11" s="2"/>
      <c r="U11" s="2"/>
      <c r="V11" s="2"/>
      <c r="W11" s="2"/>
      <c r="X11" s="2"/>
      <c r="Y11" s="2"/>
      <c r="Z11" s="2"/>
    </row>
    <row r="12" spans="1:26" x14ac:dyDescent="0.25">
      <c r="A12" s="43" t="s">
        <v>162</v>
      </c>
      <c r="B12" s="43" t="s">
        <v>163</v>
      </c>
      <c r="C12" s="43" t="s">
        <v>164</v>
      </c>
      <c r="D12" s="43" t="s">
        <v>160</v>
      </c>
      <c r="E12" s="44">
        <v>890</v>
      </c>
      <c r="F12" s="44">
        <v>90</v>
      </c>
      <c r="G12" s="44">
        <v>300</v>
      </c>
      <c r="H12" s="44">
        <v>100</v>
      </c>
      <c r="I12" s="45">
        <v>17.2</v>
      </c>
      <c r="J12" s="45">
        <v>890</v>
      </c>
      <c r="K12" s="44">
        <v>800</v>
      </c>
      <c r="L12" s="2"/>
      <c r="M12" s="2"/>
      <c r="N12" s="2"/>
      <c r="O12" s="2"/>
      <c r="P12" s="2"/>
      <c r="Q12" s="2"/>
      <c r="R12" s="2"/>
      <c r="S12" s="2"/>
      <c r="T12" s="2"/>
      <c r="U12" s="2"/>
      <c r="V12" s="2"/>
      <c r="W12" s="2"/>
      <c r="X12" s="2"/>
      <c r="Y12" s="2"/>
      <c r="Z12" s="2"/>
    </row>
    <row r="13" spans="1:26" x14ac:dyDescent="0.25">
      <c r="A13" s="43" t="s">
        <v>157</v>
      </c>
      <c r="B13" s="43" t="s">
        <v>165</v>
      </c>
      <c r="C13" s="43" t="s">
        <v>166</v>
      </c>
      <c r="D13" s="43" t="s">
        <v>160</v>
      </c>
      <c r="E13" s="44">
        <v>420</v>
      </c>
      <c r="F13" s="44">
        <v>40</v>
      </c>
      <c r="G13" s="44">
        <v>100</v>
      </c>
      <c r="H13" s="44">
        <v>50</v>
      </c>
      <c r="I13" s="45">
        <v>17.5</v>
      </c>
      <c r="J13" s="45">
        <v>420</v>
      </c>
      <c r="K13" s="44">
        <v>380</v>
      </c>
      <c r="L13" s="2"/>
      <c r="M13" s="2"/>
      <c r="N13" s="2"/>
      <c r="O13" s="2"/>
      <c r="P13" s="2"/>
      <c r="Q13" s="2"/>
      <c r="R13" s="2"/>
      <c r="S13" s="2"/>
      <c r="T13" s="2"/>
      <c r="U13" s="2"/>
      <c r="V13" s="2"/>
      <c r="W13" s="2"/>
      <c r="X13" s="2"/>
      <c r="Y13" s="2"/>
      <c r="Z13" s="2"/>
    </row>
    <row r="14" spans="1:26" x14ac:dyDescent="0.25">
      <c r="A14" s="43" t="s">
        <v>161</v>
      </c>
      <c r="B14" s="43" t="s">
        <v>165</v>
      </c>
      <c r="C14" s="43" t="s">
        <v>166</v>
      </c>
      <c r="D14" s="43" t="s">
        <v>160</v>
      </c>
      <c r="E14" s="44">
        <v>180</v>
      </c>
      <c r="F14" s="44">
        <v>15</v>
      </c>
      <c r="G14" s="44">
        <v>0</v>
      </c>
      <c r="H14" s="44">
        <v>0</v>
      </c>
      <c r="I14" s="45">
        <v>17.5</v>
      </c>
      <c r="J14" s="45">
        <v>180</v>
      </c>
      <c r="K14" s="44">
        <v>165</v>
      </c>
      <c r="L14" s="2"/>
      <c r="M14" s="2"/>
      <c r="N14" s="2"/>
      <c r="O14" s="2"/>
      <c r="P14" s="2"/>
      <c r="Q14" s="2"/>
      <c r="R14" s="2"/>
      <c r="S14" s="2"/>
      <c r="T14" s="2"/>
      <c r="U14" s="2"/>
      <c r="V14" s="2"/>
      <c r="W14" s="2"/>
      <c r="X14" s="2"/>
      <c r="Y14" s="2"/>
      <c r="Z14" s="2"/>
    </row>
    <row r="15" spans="1:26" x14ac:dyDescent="0.25">
      <c r="A15" s="43" t="s">
        <v>162</v>
      </c>
      <c r="B15" s="43" t="s">
        <v>165</v>
      </c>
      <c r="C15" s="43" t="s">
        <v>166</v>
      </c>
      <c r="D15" s="43" t="s">
        <v>160</v>
      </c>
      <c r="E15" s="44">
        <v>750</v>
      </c>
      <c r="F15" s="44">
        <v>60</v>
      </c>
      <c r="G15" s="44">
        <v>250</v>
      </c>
      <c r="H15" s="44">
        <v>80</v>
      </c>
      <c r="I15" s="45">
        <v>17.5</v>
      </c>
      <c r="J15" s="45">
        <v>750</v>
      </c>
      <c r="K15" s="44">
        <v>690</v>
      </c>
      <c r="L15" s="2"/>
      <c r="M15" s="2"/>
      <c r="N15" s="2"/>
      <c r="O15" s="2"/>
      <c r="P15" s="2"/>
      <c r="Q15" s="2"/>
      <c r="R15" s="2"/>
      <c r="S15" s="2"/>
      <c r="T15" s="2"/>
      <c r="U15" s="2"/>
      <c r="V15" s="2"/>
      <c r="W15" s="2"/>
      <c r="X15" s="2"/>
      <c r="Y15" s="2"/>
      <c r="Z15" s="2"/>
    </row>
    <row r="16" spans="1:26" x14ac:dyDescent="0.25">
      <c r="A16" s="43" t="s">
        <v>157</v>
      </c>
      <c r="B16" s="43" t="s">
        <v>167</v>
      </c>
      <c r="C16" s="43" t="s">
        <v>168</v>
      </c>
      <c r="D16" s="43" t="s">
        <v>160</v>
      </c>
      <c r="E16" s="44">
        <v>390</v>
      </c>
      <c r="F16" s="44">
        <v>30</v>
      </c>
      <c r="G16" s="44">
        <v>100</v>
      </c>
      <c r="H16" s="44">
        <v>0</v>
      </c>
      <c r="I16" s="45">
        <v>16.8</v>
      </c>
      <c r="J16" s="45">
        <v>390</v>
      </c>
      <c r="K16" s="44">
        <v>360</v>
      </c>
      <c r="L16" s="2"/>
      <c r="M16" s="2"/>
      <c r="N16" s="2"/>
      <c r="O16" s="2"/>
      <c r="P16" s="2"/>
      <c r="Q16" s="2"/>
      <c r="R16" s="2"/>
      <c r="S16" s="2"/>
      <c r="T16" s="2"/>
      <c r="U16" s="2"/>
      <c r="V16" s="2"/>
      <c r="W16" s="2"/>
      <c r="X16" s="2"/>
      <c r="Y16" s="2"/>
      <c r="Z16" s="2"/>
    </row>
    <row r="17" spans="1:26" x14ac:dyDescent="0.25">
      <c r="A17" s="43" t="s">
        <v>162</v>
      </c>
      <c r="B17" s="43" t="s">
        <v>167</v>
      </c>
      <c r="C17" s="43" t="s">
        <v>169</v>
      </c>
      <c r="D17" s="43" t="s">
        <v>160</v>
      </c>
      <c r="E17" s="44">
        <v>920</v>
      </c>
      <c r="F17" s="44">
        <v>100</v>
      </c>
      <c r="G17" s="44">
        <v>400</v>
      </c>
      <c r="H17" s="44">
        <v>150</v>
      </c>
      <c r="I17" s="45">
        <v>16.5</v>
      </c>
      <c r="J17" s="45">
        <v>920</v>
      </c>
      <c r="K17" s="44">
        <v>820</v>
      </c>
      <c r="L17" s="2"/>
      <c r="M17" s="2"/>
      <c r="N17" s="2"/>
      <c r="O17" s="2"/>
      <c r="P17" s="2"/>
      <c r="Q17" s="2"/>
      <c r="R17" s="2"/>
      <c r="S17" s="2"/>
      <c r="T17" s="2"/>
      <c r="U17" s="2"/>
      <c r="V17" s="2"/>
      <c r="W17" s="2"/>
      <c r="X17" s="2"/>
      <c r="Y17" s="2"/>
      <c r="Z17"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8"/>
  <sheetViews>
    <sheetView workbookViewId="0" showGridLines="0" zoomScale="100" zoomScaleNormal="100">
      <selection activeCell="H9" sqref="H9"/>
    </sheetView>
  </sheetViews>
  <sheetFormatPr defaultRowHeight="15" outlineLevelRow="0" outlineLevelCol="0" x14ac:dyDescent="0.25"/>
  <cols>
    <col min="1" max="1" width="43.85546875" customWidth="1"/>
    <col min="2" max="8" width="20" customWidth="1"/>
  </cols>
  <sheetData>
    <row r="1" ht="20.25" customHeight="1" spans="1:26" x14ac:dyDescent="0.25">
      <c r="A1" s="46" t="s">
        <v>170</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171</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47" t="s">
        <v>172</v>
      </c>
      <c r="B3" s="48">
        <f>TODAY()</f>
        <v>46267</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173</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174</v>
      </c>
      <c r="C6" s="18" t="s">
        <v>175</v>
      </c>
      <c r="D6" s="18" t="s">
        <v>176</v>
      </c>
      <c r="E6" s="18" t="s">
        <v>177</v>
      </c>
      <c r="F6" s="18" t="s">
        <v>6</v>
      </c>
      <c r="G6" s="2"/>
      <c r="H6" s="2"/>
      <c r="I6" s="2"/>
      <c r="J6" s="2"/>
      <c r="K6" s="2"/>
      <c r="L6" s="2"/>
      <c r="M6" s="2"/>
      <c r="N6" s="2"/>
      <c r="O6" s="2"/>
      <c r="P6" s="2"/>
      <c r="Q6" s="2"/>
      <c r="R6" s="2"/>
      <c r="S6" s="2"/>
      <c r="T6" s="2"/>
      <c r="U6" s="2"/>
      <c r="V6" s="2"/>
      <c r="W6" s="2"/>
      <c r="X6" s="2"/>
      <c r="Y6" s="2"/>
      <c r="Z6" s="2"/>
    </row>
    <row r="7" spans="1:26" x14ac:dyDescent="0.25">
      <c r="A7" s="43" t="s">
        <v>178</v>
      </c>
      <c r="B7" s="43" t="s">
        <v>179</v>
      </c>
      <c r="C7" s="43" t="s">
        <v>180</v>
      </c>
      <c r="D7" s="43" t="s">
        <v>181</v>
      </c>
      <c r="E7" s="43" t="s">
        <v>182</v>
      </c>
      <c r="F7" s="43" t="s">
        <v>183</v>
      </c>
      <c r="G7" s="43" t="s">
        <v>184</v>
      </c>
      <c r="H7" s="43" t="s">
        <v>185</v>
      </c>
      <c r="I7" s="49" t="s">
        <v>186</v>
      </c>
      <c r="J7" s="43" t="s">
        <v>187</v>
      </c>
      <c r="K7" s="43" t="s">
        <v>188</v>
      </c>
      <c r="L7" s="43" t="s">
        <v>189</v>
      </c>
      <c r="M7" s="43" t="s">
        <v>190</v>
      </c>
      <c r="N7" s="49" t="s">
        <v>191</v>
      </c>
      <c r="O7" s="43" t="s">
        <v>192</v>
      </c>
      <c r="P7" s="44">
        <v>1</v>
      </c>
      <c r="Q7" s="50">
        <v>NaN</v>
      </c>
      <c r="R7" s="45">
        <v>0</v>
      </c>
      <c r="S7" s="50">
        <v>0</v>
      </c>
      <c r="T7" s="51">
        <v>0</v>
      </c>
      <c r="U7" s="2"/>
      <c r="V7" s="2"/>
      <c r="W7" s="2"/>
      <c r="X7" s="2"/>
      <c r="Y7" s="2"/>
      <c r="Z7" s="2"/>
    </row>
    <row r="8" spans="1:26" x14ac:dyDescent="0.25">
      <c r="A8" s="43" t="s">
        <v>178</v>
      </c>
      <c r="B8" s="43" t="s">
        <v>179</v>
      </c>
      <c r="C8" s="43" t="s">
        <v>180</v>
      </c>
      <c r="D8" s="43" t="s">
        <v>181</v>
      </c>
      <c r="E8" s="43" t="s">
        <v>182</v>
      </c>
      <c r="F8" s="43" t="s">
        <v>183</v>
      </c>
      <c r="G8" s="43" t="s">
        <v>184</v>
      </c>
      <c r="H8" s="43" t="s">
        <v>185</v>
      </c>
      <c r="I8" s="49" t="s">
        <v>186</v>
      </c>
      <c r="J8" s="43" t="s">
        <v>187</v>
      </c>
      <c r="K8" s="43" t="s">
        <v>188</v>
      </c>
      <c r="L8" s="43" t="s">
        <v>189</v>
      </c>
      <c r="M8" s="43" t="s">
        <v>190</v>
      </c>
      <c r="N8" s="49" t="s">
        <v>191</v>
      </c>
      <c r="O8" s="43" t="s">
        <v>193</v>
      </c>
      <c r="P8" s="44">
        <v>1</v>
      </c>
      <c r="Q8" s="50">
        <v>NaN</v>
      </c>
      <c r="R8" s="45">
        <v>0</v>
      </c>
      <c r="S8" s="50">
        <v>0</v>
      </c>
      <c r="T8" s="51">
        <v>0</v>
      </c>
      <c r="U8" s="2"/>
      <c r="V8" s="2"/>
      <c r="W8" s="2"/>
      <c r="X8" s="2"/>
      <c r="Y8" s="2"/>
      <c r="Z8"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0</v>
      </c>
      <c r="B10" s="12"/>
      <c r="C10" s="13">
        <f>'KPI Dashboard'!D6</f>
        <v>0</v>
      </c>
      <c r="D10" s="13"/>
      <c r="E10" s="14" t="str">
        <f>'KPI Dashboard'!B7</f>
        <v>-</v>
      </c>
      <c r="F10" s="14"/>
      <c r="G10" s="15">
        <f>'KPI Dashboard'!D7</f>
        <v>0</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66"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66"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49.5"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 Cover &amp; Index</vt:lpstr>
      <vt:lpstr>KPI Dashboard</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Sales Transactions Raw Data</vt:lpstr>
      <vt:lpstr>Inventory On Hand Raw Data</vt:lpstr>
      <vt:lpstr>Purchase Transactions Raw data</vt:lpstr>
      <vt:lpstr>Cost Inputs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cp:contentStatus/>
  <dcterms:created xsi:type="dcterms:W3CDTF">2026-03-12T06:39:59Z</dcterms:created>
  <dcterms:modified xsi:type="dcterms:W3CDTF">2026-09-02T06:16:51Z</dcterms:modified>
</cp:coreProperties>
</file>